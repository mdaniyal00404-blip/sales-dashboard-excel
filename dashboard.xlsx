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excel\"/>
    </mc:Choice>
  </mc:AlternateContent>
  <xr:revisionPtr revIDLastSave="0" documentId="13_ncr:1_{86766181-3955-41E5-97CC-1D89A6E53C93}" xr6:coauthVersionLast="47" xr6:coauthVersionMax="47" xr10:uidLastSave="{00000000-0000-0000-0000-000000000000}"/>
  <bookViews>
    <workbookView xWindow="-108" yWindow="-108" windowWidth="23256" windowHeight="13896" activeTab="3" xr2:uid="{E8236AA6-E22C-4A6D-937A-B1710A2AFBE2}"/>
  </bookViews>
  <sheets>
    <sheet name="Sheet2" sheetId="3" r:id="rId1"/>
    <sheet name="shopify_pakistan_sales_2k-1" sheetId="1" r:id="rId2"/>
    <sheet name="Sheet1" sheetId="2" r:id="rId3"/>
    <sheet name="dashboard" sheetId="4" r:id="rId4"/>
  </sheets>
  <definedNames>
    <definedName name="_xlchart.v1.0" hidden="1">Sheet1!$AD$16:$AD$19</definedName>
    <definedName name="_xlchart.v1.1" hidden="1">Sheet1!$AE$16:$AE$19</definedName>
    <definedName name="_xlchart.v1.2" hidden="1">Sheet1!$AD$16:$AD$19</definedName>
    <definedName name="_xlchart.v1.3" hidden="1">Sheet1!$AE$16:$AE$19</definedName>
    <definedName name="Ads">Sheet1!$I$12</definedName>
    <definedName name="NativeTimeline_Order_Date">#N/A</definedName>
    <definedName name="Slicer_Acquisition_Source">#N/A</definedName>
    <definedName name="Slicer_City">#N/A</definedName>
    <definedName name="Slicer_Order_Status">#N/A</definedName>
    <definedName name="Slicer_Payment_Method">#N/A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2" l="1" a="1"/>
  <c r="B49" i="2" s="1"/>
  <c r="G57" i="2"/>
  <c r="AE17" i="2"/>
  <c r="AE19" i="2"/>
  <c r="AF81" i="2"/>
  <c r="F57" i="2"/>
  <c r="AE18" i="2"/>
  <c r="AE16" i="2"/>
  <c r="F60" i="2" l="1"/>
  <c r="E64" i="2"/>
  <c r="D6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<sst xmlns="http://schemas.openxmlformats.org/spreadsheetml/2006/main" count="18091" uniqueCount="6024">
  <si>
    <t>Order ID</t>
  </si>
  <si>
    <t>Order Date</t>
  </si>
  <si>
    <t>Customer Name</t>
  </si>
  <si>
    <t>Email</t>
  </si>
  <si>
    <t>Phone</t>
  </si>
  <si>
    <t>City</t>
  </si>
  <si>
    <t>Province</t>
  </si>
  <si>
    <t>Product Category</t>
  </si>
  <si>
    <t>Quantity</t>
  </si>
  <si>
    <t>Unit Price (PKR)</t>
  </si>
  <si>
    <t>Total Sales (PKR)</t>
  </si>
  <si>
    <t>Payment Method</t>
  </si>
  <si>
    <t>Acquisition Source</t>
  </si>
  <si>
    <t>Order Status</t>
  </si>
  <si>
    <t>PK-100001</t>
  </si>
  <si>
    <t>Christopher Hammond</t>
  </si>
  <si>
    <t>tlowe@ford-campos.info</t>
  </si>
  <si>
    <t>Islamabad</t>
  </si>
  <si>
    <t>Pakistan</t>
  </si>
  <si>
    <t>Beauty</t>
  </si>
  <si>
    <t>Credit Card</t>
  </si>
  <si>
    <t>TikTok Ads</t>
  </si>
  <si>
    <t>Cancelled</t>
  </si>
  <si>
    <t>PK-100002</t>
  </si>
  <si>
    <t>Jeremy Thompson</t>
  </si>
  <si>
    <t>abigail66@james.info</t>
  </si>
  <si>
    <t>EasyPaisa</t>
  </si>
  <si>
    <t>Facebook Ads</t>
  </si>
  <si>
    <t>Paid</t>
  </si>
  <si>
    <t>PK-100003</t>
  </si>
  <si>
    <t>Maria Love</t>
  </si>
  <si>
    <t>gpatton@gmail.com</t>
  </si>
  <si>
    <t>Hyderabad</t>
  </si>
  <si>
    <t>Footwear</t>
  </si>
  <si>
    <t>Organic Search</t>
  </si>
  <si>
    <t>Pending</t>
  </si>
  <si>
    <t>PK-100004</t>
  </si>
  <si>
    <t>Mary Thompson</t>
  </si>
  <si>
    <t>danielclark@morris.com</t>
  </si>
  <si>
    <t>Home Decor</t>
  </si>
  <si>
    <t>COD</t>
  </si>
  <si>
    <t>PK-100005</t>
  </si>
  <si>
    <t>Glen Perez</t>
  </si>
  <si>
    <t>scooke@hotmail.com</t>
  </si>
  <si>
    <t>Karachi</t>
  </si>
  <si>
    <t>Direct</t>
  </si>
  <si>
    <t>PK-100006</t>
  </si>
  <si>
    <t>Sherri Griffin</t>
  </si>
  <si>
    <t>johnsonjason@dunlap-martinez.net</t>
  </si>
  <si>
    <t>Quetta</t>
  </si>
  <si>
    <t>Electronics</t>
  </si>
  <si>
    <t>PK-100007</t>
  </si>
  <si>
    <t>Carla Gomez</t>
  </si>
  <si>
    <t>michelle64@gmail.com</t>
  </si>
  <si>
    <t>Peshawar</t>
  </si>
  <si>
    <t>Referral</t>
  </si>
  <si>
    <t>PK-100008</t>
  </si>
  <si>
    <t>Charles King</t>
  </si>
  <si>
    <t>danielle31@gmail.com</t>
  </si>
  <si>
    <t>Fashion</t>
  </si>
  <si>
    <t>PK-100009</t>
  </si>
  <si>
    <t>Robert Hoffman</t>
  </si>
  <si>
    <t>bobdowns@gmail.com</t>
  </si>
  <si>
    <t>Bank Transfer</t>
  </si>
  <si>
    <t>PK-100010</t>
  </si>
  <si>
    <t>Jerry Walters</t>
  </si>
  <si>
    <t>qlewis@gmail.com</t>
  </si>
  <si>
    <t>Faisalabad</t>
  </si>
  <si>
    <t>Debit Card</t>
  </si>
  <si>
    <t>Fulfilled</t>
  </si>
  <si>
    <t>PK-100011</t>
  </si>
  <si>
    <t>John Schmidt</t>
  </si>
  <si>
    <t>mitchell19@payne-parker.com</t>
  </si>
  <si>
    <t>Accessories</t>
  </si>
  <si>
    <t>PK-100012</t>
  </si>
  <si>
    <t>Timothy Harper</t>
  </si>
  <si>
    <t>julie38@wells.com</t>
  </si>
  <si>
    <t>Rawalpindi</t>
  </si>
  <si>
    <t>JazzCash</t>
  </si>
  <si>
    <t>PK-100013</t>
  </si>
  <si>
    <t>Amanda Duncan</t>
  </si>
  <si>
    <t>michael05@rodriguez.net</t>
  </si>
  <si>
    <t>Instagram Ads</t>
  </si>
  <si>
    <t>PK-100014</t>
  </si>
  <si>
    <t>Tami Nichols</t>
  </si>
  <si>
    <t>susancarson@osborne-kelly.org</t>
  </si>
  <si>
    <t>PK-100015</t>
  </si>
  <si>
    <t>Warren Bradley</t>
  </si>
  <si>
    <t>zshah@hotmail.com</t>
  </si>
  <si>
    <t>PK-100016</t>
  </si>
  <si>
    <t>Amber Green</t>
  </si>
  <si>
    <t>shawn59@york.info</t>
  </si>
  <si>
    <t>Lahore</t>
  </si>
  <si>
    <t>Email Marketing</t>
  </si>
  <si>
    <t>PK-100017</t>
  </si>
  <si>
    <t>Lori Zimmerman</t>
  </si>
  <si>
    <t>turnerlori@lee-rivas.com</t>
  </si>
  <si>
    <t>PK-100018</t>
  </si>
  <si>
    <t>Heather Cooper</t>
  </si>
  <si>
    <t>debra86@yahoo.com</t>
  </si>
  <si>
    <t>PK-100019</t>
  </si>
  <si>
    <t>Jennifer Sims</t>
  </si>
  <si>
    <t>cisnerosmisty@ramsey-hensley.com</t>
  </si>
  <si>
    <t>PK-100020</t>
  </si>
  <si>
    <t>Stephanie Baldwin</t>
  </si>
  <si>
    <t>ojackson@davidson.com</t>
  </si>
  <si>
    <t>Multan</t>
  </si>
  <si>
    <t>PK-100021</t>
  </si>
  <si>
    <t>Cheryl Pope</t>
  </si>
  <si>
    <t>smalljohn@smith-gonzalez.com</t>
  </si>
  <si>
    <t>PK-100022</t>
  </si>
  <si>
    <t>Lauren Ayala</t>
  </si>
  <si>
    <t>palmererin@pennington-fischer.com</t>
  </si>
  <si>
    <t>PK-100023</t>
  </si>
  <si>
    <t>William Jensen</t>
  </si>
  <si>
    <t>idonaldson@goodwin-manning.com</t>
  </si>
  <si>
    <t>PK-100024</t>
  </si>
  <si>
    <t>Jeremy Rush</t>
  </si>
  <si>
    <t>robinsonheather@hotmail.com</t>
  </si>
  <si>
    <t>PK-100025</t>
  </si>
  <si>
    <t>Joseph Bennett</t>
  </si>
  <si>
    <t>chadshepherd@gmail.com</t>
  </si>
  <si>
    <t>Sialkot</t>
  </si>
  <si>
    <t>PK-100026</t>
  </si>
  <si>
    <t>Mr. Brian Smith</t>
  </si>
  <si>
    <t>evansjacob@reid.biz</t>
  </si>
  <si>
    <t>PK-100027</t>
  </si>
  <si>
    <t>Jordan King</t>
  </si>
  <si>
    <t>melissa81@gmail.com</t>
  </si>
  <si>
    <t>PK-100028</t>
  </si>
  <si>
    <t>Thomas Galvan</t>
  </si>
  <si>
    <t>johncoleman@allen.com</t>
  </si>
  <si>
    <t>PK-100029</t>
  </si>
  <si>
    <t>Debra Ramsey DDS</t>
  </si>
  <si>
    <t>brownhannah@hotmail.com</t>
  </si>
  <si>
    <t>Google Ads</t>
  </si>
  <si>
    <t>PK-100030</t>
  </si>
  <si>
    <t>Hannah Browning</t>
  </si>
  <si>
    <t>ysolomon@yahoo.com</t>
  </si>
  <si>
    <t>PK-100031</t>
  </si>
  <si>
    <t>John Kennedy</t>
  </si>
  <si>
    <t>philipgarcia@gomez.biz</t>
  </si>
  <si>
    <t>PK-100032</t>
  </si>
  <si>
    <t>Angela Daniel</t>
  </si>
  <si>
    <t>nicholas50@ramirez.info</t>
  </si>
  <si>
    <t>PK-100033</t>
  </si>
  <si>
    <t>John Drake</t>
  </si>
  <si>
    <t>ricardomitchell@oliver.com</t>
  </si>
  <si>
    <t>PK-100034</t>
  </si>
  <si>
    <t>Mr. Charles Johnson</t>
  </si>
  <si>
    <t>leedward@gmail.com</t>
  </si>
  <si>
    <t>PK-100035</t>
  </si>
  <si>
    <t>Victoria Turner</t>
  </si>
  <si>
    <t>briggsmartin@thomas.com</t>
  </si>
  <si>
    <t>PK-100036</t>
  </si>
  <si>
    <t>John Griffith</t>
  </si>
  <si>
    <t>knightjustin@rivers.com</t>
  </si>
  <si>
    <t>PK-100037</t>
  </si>
  <si>
    <t>Michael Allen DVM</t>
  </si>
  <si>
    <t>robert87@watkins.info</t>
  </si>
  <si>
    <t>PK-100038</t>
  </si>
  <si>
    <t>George Mendoza</t>
  </si>
  <si>
    <t>dlopez@sullivan.com</t>
  </si>
  <si>
    <t>PK-100039</t>
  </si>
  <si>
    <t>Vanessa Ellis</t>
  </si>
  <si>
    <t>jamesdurham@hotmail.com</t>
  </si>
  <si>
    <t>PK-100040</t>
  </si>
  <si>
    <t>Jessica Vargas</t>
  </si>
  <si>
    <t>qgarcia@hotmail.com</t>
  </si>
  <si>
    <t>PK-100041</t>
  </si>
  <si>
    <t>Latoya Garcia</t>
  </si>
  <si>
    <t>morrisshannon@bauer.org</t>
  </si>
  <si>
    <t>PK-100042</t>
  </si>
  <si>
    <t>Anthony Mcguire</t>
  </si>
  <si>
    <t>fburton@bennett.com</t>
  </si>
  <si>
    <t>PK-100043</t>
  </si>
  <si>
    <t>Gary Bruce</t>
  </si>
  <si>
    <t>rachelphelps@hall-blackwell.org</t>
  </si>
  <si>
    <t>PK-100044</t>
  </si>
  <si>
    <t>Timothy Hansen</t>
  </si>
  <si>
    <t>kanejason@yahoo.com</t>
  </si>
  <si>
    <t>PK-100045</t>
  </si>
  <si>
    <t>Logan Elliott</t>
  </si>
  <si>
    <t>xchambers@hotmail.com</t>
  </si>
  <si>
    <t>PK-100046</t>
  </si>
  <si>
    <t>Dennis Vega</t>
  </si>
  <si>
    <t>scabrera@cox.com</t>
  </si>
  <si>
    <t>PK-100047</t>
  </si>
  <si>
    <t>Gina Hernandez</t>
  </si>
  <si>
    <t>kevin55@gmail.com</t>
  </si>
  <si>
    <t>PK-100048</t>
  </si>
  <si>
    <t>Gary Herman</t>
  </si>
  <si>
    <t>rjones@garcia.com</t>
  </si>
  <si>
    <t>PK-100049</t>
  </si>
  <si>
    <t>Jessica Morales DDS</t>
  </si>
  <si>
    <t>ymccall@schroeder-brown.com</t>
  </si>
  <si>
    <t>PK-100050</t>
  </si>
  <si>
    <t>Lori Stone</t>
  </si>
  <si>
    <t>patrick05@mclaughlin.net</t>
  </si>
  <si>
    <t>PK-100051</t>
  </si>
  <si>
    <t>Karen Brown</t>
  </si>
  <si>
    <t>lesliesmith@wood-lopez.net</t>
  </si>
  <si>
    <t>PK-100052</t>
  </si>
  <si>
    <t>John Walker</t>
  </si>
  <si>
    <t>carrieespinoza@blair.com</t>
  </si>
  <si>
    <t>PK-100053</t>
  </si>
  <si>
    <t>Kristen Proctor</t>
  </si>
  <si>
    <t>andrew02@hotmail.com</t>
  </si>
  <si>
    <t>PK-100054</t>
  </si>
  <si>
    <t>Debra Wilkerson</t>
  </si>
  <si>
    <t>robert73@yahoo.com</t>
  </si>
  <si>
    <t>PK-100055</t>
  </si>
  <si>
    <t>Michelle Schultz</t>
  </si>
  <si>
    <t>johnnyharris@yahoo.com</t>
  </si>
  <si>
    <t>PK-100056</t>
  </si>
  <si>
    <t>Sharon Mitchell</t>
  </si>
  <si>
    <t>jbrown@jarvis.biz</t>
  </si>
  <si>
    <t>PK-100057</t>
  </si>
  <si>
    <t>Erin Frank</t>
  </si>
  <si>
    <t>laurajones@hale-avery.com</t>
  </si>
  <si>
    <t>PK-100058</t>
  </si>
  <si>
    <t>Laura Keller</t>
  </si>
  <si>
    <t>susanrogers@ingram.com</t>
  </si>
  <si>
    <t>PK-100059</t>
  </si>
  <si>
    <t>Ashley Powers</t>
  </si>
  <si>
    <t>erin75@gmail.com</t>
  </si>
  <si>
    <t>PK-100060</t>
  </si>
  <si>
    <t>Francisco King</t>
  </si>
  <si>
    <t>kelseyhendrix@yahoo.com</t>
  </si>
  <si>
    <t>PK-100061</t>
  </si>
  <si>
    <t>Michael Roberson</t>
  </si>
  <si>
    <t>dcoleman@johnson.com</t>
  </si>
  <si>
    <t>PK-100062</t>
  </si>
  <si>
    <t>Calvin Vaughn</t>
  </si>
  <si>
    <t>dominic00@yahoo.com</t>
  </si>
  <si>
    <t>PK-100063</t>
  </si>
  <si>
    <t>April Wright</t>
  </si>
  <si>
    <t>brian92@hernandez-smith.com</t>
  </si>
  <si>
    <t>PK-100064</t>
  </si>
  <si>
    <t>Amy King</t>
  </si>
  <si>
    <t>monicajackson@yahoo.com</t>
  </si>
  <si>
    <t>PK-100065</t>
  </si>
  <si>
    <t>Preston Nichols</t>
  </si>
  <si>
    <t>tylerbaldwin@hotmail.com</t>
  </si>
  <si>
    <t>PK-100066</t>
  </si>
  <si>
    <t>Danielle Hood</t>
  </si>
  <si>
    <t>christopher10@yahoo.com</t>
  </si>
  <si>
    <t>PK-100067</t>
  </si>
  <si>
    <t>Frances Estrada</t>
  </si>
  <si>
    <t>uandrews@trujillo-watkins.com</t>
  </si>
  <si>
    <t>PK-100068</t>
  </si>
  <si>
    <t>Aaron Moore</t>
  </si>
  <si>
    <t>jenkinskarina@turner.com</t>
  </si>
  <si>
    <t>PK-100069</t>
  </si>
  <si>
    <t>Mark Wilson</t>
  </si>
  <si>
    <t>jessicalin@wilson.com</t>
  </si>
  <si>
    <t>PK-100070</t>
  </si>
  <si>
    <t>April Reyes</t>
  </si>
  <si>
    <t>tfrazier@yahoo.com</t>
  </si>
  <si>
    <t>PK-100071</t>
  </si>
  <si>
    <t>Tara Cobb</t>
  </si>
  <si>
    <t>sjones@yahoo.com</t>
  </si>
  <si>
    <t>PK-100072</t>
  </si>
  <si>
    <t>Jeremy Garcia</t>
  </si>
  <si>
    <t>stephaniekim@hotmail.com</t>
  </si>
  <si>
    <t>PK-100073</t>
  </si>
  <si>
    <t>Craig Chambers</t>
  </si>
  <si>
    <t>taylorsarah@gmail.com</t>
  </si>
  <si>
    <t>PK-100074</t>
  </si>
  <si>
    <t>Scott Kelly</t>
  </si>
  <si>
    <t>eking@gmail.com</t>
  </si>
  <si>
    <t>PK-100075</t>
  </si>
  <si>
    <t>Joseph Spencer DDS</t>
  </si>
  <si>
    <t>ismith@hotmail.com</t>
  </si>
  <si>
    <t>PK-100076</t>
  </si>
  <si>
    <t>Brenda Sanchez</t>
  </si>
  <si>
    <t>rebeccalutz@gmail.com</t>
  </si>
  <si>
    <t>PK-100077</t>
  </si>
  <si>
    <t>Aaron Ortiz</t>
  </si>
  <si>
    <t>brownvanessa@cowan.org</t>
  </si>
  <si>
    <t>PK-100078</t>
  </si>
  <si>
    <t>Jessica Walker</t>
  </si>
  <si>
    <t>samanthaoliver@johnson.com</t>
  </si>
  <si>
    <t>PK-100079</t>
  </si>
  <si>
    <t>Julia Hendrix</t>
  </si>
  <si>
    <t>wfloyd@humphrey-goodwin.com</t>
  </si>
  <si>
    <t>PK-100080</t>
  </si>
  <si>
    <t>Katherine Robinson</t>
  </si>
  <si>
    <t>rcook@wallace-skinner.com</t>
  </si>
  <si>
    <t>PK-100081</t>
  </si>
  <si>
    <t>James Saunders</t>
  </si>
  <si>
    <t>pgreen@nelson-contreras.info</t>
  </si>
  <si>
    <t>PK-100082</t>
  </si>
  <si>
    <t>Corey Garner</t>
  </si>
  <si>
    <t>hardyrachel@hotmail.com</t>
  </si>
  <si>
    <t>PK-100083</t>
  </si>
  <si>
    <t>Steven Chandler</t>
  </si>
  <si>
    <t>juanhernandez@sanchez.com</t>
  </si>
  <si>
    <t>PK-100084</t>
  </si>
  <si>
    <t>Brett Hill</t>
  </si>
  <si>
    <t>felicia67@bush.com</t>
  </si>
  <si>
    <t>PK-100085</t>
  </si>
  <si>
    <t>Nicholas Perez</t>
  </si>
  <si>
    <t>breannadiaz@hotmail.com</t>
  </si>
  <si>
    <t>PK-100086</t>
  </si>
  <si>
    <t>Angel Dillon</t>
  </si>
  <si>
    <t>dawnbennett@gmail.com</t>
  </si>
  <si>
    <t>PK-100087</t>
  </si>
  <si>
    <t>Laura Woods</t>
  </si>
  <si>
    <t>rdeleon@yahoo.com</t>
  </si>
  <si>
    <t>PK-100088</t>
  </si>
  <si>
    <t>Maria Perkins</t>
  </si>
  <si>
    <t>matthewschristopher@moore-arnold.com</t>
  </si>
  <si>
    <t>PK-100089</t>
  </si>
  <si>
    <t>Amy Pierce</t>
  </si>
  <si>
    <t>charles79@greene.com</t>
  </si>
  <si>
    <t>PK-100090</t>
  </si>
  <si>
    <t>David Powell</t>
  </si>
  <si>
    <t>michellegutierrez@lamb.com</t>
  </si>
  <si>
    <t>PK-100091</t>
  </si>
  <si>
    <t>Kenneth Hansen</t>
  </si>
  <si>
    <t>michael93@hotmail.com</t>
  </si>
  <si>
    <t>PK-100092</t>
  </si>
  <si>
    <t>Anthony Finley</t>
  </si>
  <si>
    <t>michellegraves@yahoo.com</t>
  </si>
  <si>
    <t>PK-100093</t>
  </si>
  <si>
    <t>Jasmin Haynes</t>
  </si>
  <si>
    <t>clloyd@yahoo.com</t>
  </si>
  <si>
    <t>PK-100094</t>
  </si>
  <si>
    <t>Brent Clayton</t>
  </si>
  <si>
    <t>greenjonathan@coleman.com</t>
  </si>
  <si>
    <t>PK-100095</t>
  </si>
  <si>
    <t>Amber Reid</t>
  </si>
  <si>
    <t>antonio88@smith.biz</t>
  </si>
  <si>
    <t>PK-100096</t>
  </si>
  <si>
    <t>Emily Freeman</t>
  </si>
  <si>
    <t>jimenezjoshua@lane-bailey.com</t>
  </si>
  <si>
    <t>PK-100097</t>
  </si>
  <si>
    <t>Angela Valentine</t>
  </si>
  <si>
    <t>jarvisedward@blair.net</t>
  </si>
  <si>
    <t>PK-100098</t>
  </si>
  <si>
    <t>Amanda Christensen</t>
  </si>
  <si>
    <t>kwilcox@yahoo.com</t>
  </si>
  <si>
    <t>PK-100099</t>
  </si>
  <si>
    <t>Jason Hernandez</t>
  </si>
  <si>
    <t>ecampos@yahoo.com</t>
  </si>
  <si>
    <t>PK-100100</t>
  </si>
  <si>
    <t>Gary Robinson</t>
  </si>
  <si>
    <t>whenderson@petty.com</t>
  </si>
  <si>
    <t>PK-100101</t>
  </si>
  <si>
    <t>Crystal Powers</t>
  </si>
  <si>
    <t>robertarmstrong@taylor.com</t>
  </si>
  <si>
    <t>PK-100102</t>
  </si>
  <si>
    <t>Carl Howell</t>
  </si>
  <si>
    <t>wagnermelissa@erickson-tran.biz</t>
  </si>
  <si>
    <t>PK-100103</t>
  </si>
  <si>
    <t>Seth Rose</t>
  </si>
  <si>
    <t>eugenechoi@torres.com</t>
  </si>
  <si>
    <t>PK-100104</t>
  </si>
  <si>
    <t>Kevin Mcmillan</t>
  </si>
  <si>
    <t>kristiedaniel@gmail.com</t>
  </si>
  <si>
    <t>PK-100105</t>
  </si>
  <si>
    <t>Catherine Campbell</t>
  </si>
  <si>
    <t>darrenestrada@gmail.com</t>
  </si>
  <si>
    <t>PK-100106</t>
  </si>
  <si>
    <t>Eric Ramirez</t>
  </si>
  <si>
    <t>qbarnes@yahoo.com</t>
  </si>
  <si>
    <t>PK-100107</t>
  </si>
  <si>
    <t>Michael Lester</t>
  </si>
  <si>
    <t>bowenkara@taylor.biz</t>
  </si>
  <si>
    <t>PK-100108</t>
  </si>
  <si>
    <t>David Lee</t>
  </si>
  <si>
    <t>michael02@delacruz-martin.net</t>
  </si>
  <si>
    <t>PK-100109</t>
  </si>
  <si>
    <t>Alexander Wheeler</t>
  </si>
  <si>
    <t>melissa07@hotmail.com</t>
  </si>
  <si>
    <t>PK-100110</t>
  </si>
  <si>
    <t>Eileen Lee</t>
  </si>
  <si>
    <t>gperez@hotmail.com</t>
  </si>
  <si>
    <t>PK-100111</t>
  </si>
  <si>
    <t>Elizabeth Gonzalez</t>
  </si>
  <si>
    <t>donaldsnow@ramirez.net</t>
  </si>
  <si>
    <t>PK-100112</t>
  </si>
  <si>
    <t>James Farley</t>
  </si>
  <si>
    <t>adrianallen@russell.com</t>
  </si>
  <si>
    <t>PK-100113</t>
  </si>
  <si>
    <t>Stephen Rodriguez</t>
  </si>
  <si>
    <t>andersondiana@gmail.com</t>
  </si>
  <si>
    <t>PK-100114</t>
  </si>
  <si>
    <t>Christopher Thomas</t>
  </si>
  <si>
    <t>bowmanbrenda@yahoo.com</t>
  </si>
  <si>
    <t>PK-100115</t>
  </si>
  <si>
    <t>Robert Pace</t>
  </si>
  <si>
    <t>debbierichardson@proctor-clark.biz</t>
  </si>
  <si>
    <t>PK-100116</t>
  </si>
  <si>
    <t>Jade Beasley</t>
  </si>
  <si>
    <t>dyergloria@yahoo.com</t>
  </si>
  <si>
    <t>PK-100117</t>
  </si>
  <si>
    <t>Chelsea Joseph</t>
  </si>
  <si>
    <t>erinmitchell@patel.biz</t>
  </si>
  <si>
    <t>PK-100118</t>
  </si>
  <si>
    <t>Brian Roberts</t>
  </si>
  <si>
    <t>daviddavidson@gmail.com</t>
  </si>
  <si>
    <t>PK-100119</t>
  </si>
  <si>
    <t>Sandra Martin</t>
  </si>
  <si>
    <t>matthewsrobert@gmail.com</t>
  </si>
  <si>
    <t>PK-100120</t>
  </si>
  <si>
    <t>Kevin Nash</t>
  </si>
  <si>
    <t>qschwartz@phillips.com</t>
  </si>
  <si>
    <t>PK-100121</t>
  </si>
  <si>
    <t>Elizabeth Harrison</t>
  </si>
  <si>
    <t>stevenpatrick@hanson.biz</t>
  </si>
  <si>
    <t>PK-100122</t>
  </si>
  <si>
    <t>Joe Schmidt</t>
  </si>
  <si>
    <t>conradjames@gmail.com</t>
  </si>
  <si>
    <t>PK-100123</t>
  </si>
  <si>
    <t>Sherry Poole</t>
  </si>
  <si>
    <t>mendozarachel@montgomery-armstrong.com</t>
  </si>
  <si>
    <t>PK-100124</t>
  </si>
  <si>
    <t>Kara Miller</t>
  </si>
  <si>
    <t>mooreapril@hotmail.com</t>
  </si>
  <si>
    <t>PK-100125</t>
  </si>
  <si>
    <t>Daniel Stanley</t>
  </si>
  <si>
    <t>christophermedina@simpson.com</t>
  </si>
  <si>
    <t>PK-100126</t>
  </si>
  <si>
    <t>David Kelly</t>
  </si>
  <si>
    <t>wangjennifer@hernandez-avila.com</t>
  </si>
  <si>
    <t>PK-100127</t>
  </si>
  <si>
    <t>Frank Walker</t>
  </si>
  <si>
    <t>singletonstephanie@baker.biz</t>
  </si>
  <si>
    <t>PK-100128</t>
  </si>
  <si>
    <t>Stacey Gill</t>
  </si>
  <si>
    <t>zcherry@harding.com</t>
  </si>
  <si>
    <t>PK-100129</t>
  </si>
  <si>
    <t>Veronica Martinez</t>
  </si>
  <si>
    <t>benjamindavis@hotmail.com</t>
  </si>
  <si>
    <t>PK-100130</t>
  </si>
  <si>
    <t>Martha Garcia</t>
  </si>
  <si>
    <t>pcooper@cervantes.info</t>
  </si>
  <si>
    <t>PK-100131</t>
  </si>
  <si>
    <t>Joseph Hancock</t>
  </si>
  <si>
    <t>swhite@gmail.com</t>
  </si>
  <si>
    <t>PK-100132</t>
  </si>
  <si>
    <t>Luis Mcdonald</t>
  </si>
  <si>
    <t>kschroeder@brown.com</t>
  </si>
  <si>
    <t>PK-100133</t>
  </si>
  <si>
    <t>Thomas Archer</t>
  </si>
  <si>
    <t>rwhite@hotmail.com</t>
  </si>
  <si>
    <t>PK-100134</t>
  </si>
  <si>
    <t>Jennifer Smith</t>
  </si>
  <si>
    <t>apratt@thompson.net</t>
  </si>
  <si>
    <t>PK-100135</t>
  </si>
  <si>
    <t>Keith Morgan</t>
  </si>
  <si>
    <t>dmelendez@yahoo.com</t>
  </si>
  <si>
    <t>PK-100136</t>
  </si>
  <si>
    <t>Kristina Evans</t>
  </si>
  <si>
    <t>ryan74@yahoo.com</t>
  </si>
  <si>
    <t>PK-100137</t>
  </si>
  <si>
    <t>Adam Shelton</t>
  </si>
  <si>
    <t>johndavis@simon.com</t>
  </si>
  <si>
    <t>PK-100138</t>
  </si>
  <si>
    <t>Peter Serrano</t>
  </si>
  <si>
    <t>carrillojames@kaufman.com</t>
  </si>
  <si>
    <t>PK-100139</t>
  </si>
  <si>
    <t>Robert Ortiz</t>
  </si>
  <si>
    <t>simmonskimberly@ross.com</t>
  </si>
  <si>
    <t>PK-100140</t>
  </si>
  <si>
    <t>Matthew Thompson</t>
  </si>
  <si>
    <t>cassandrahart@murphy.net</t>
  </si>
  <si>
    <t>PK-100141</t>
  </si>
  <si>
    <t>Jacqueline Brooks</t>
  </si>
  <si>
    <t>bwillis@matthews-allen.net</t>
  </si>
  <si>
    <t>PK-100142</t>
  </si>
  <si>
    <t>Michelle Brennan</t>
  </si>
  <si>
    <t>owensmichael@smith.com</t>
  </si>
  <si>
    <t>PK-100143</t>
  </si>
  <si>
    <t>Hunter Larson</t>
  </si>
  <si>
    <t>mcmahontravis@gmail.com</t>
  </si>
  <si>
    <t>PK-100144</t>
  </si>
  <si>
    <t>Beth Johnson</t>
  </si>
  <si>
    <t>parkerlaura@burgess.com</t>
  </si>
  <si>
    <t>PK-100145</t>
  </si>
  <si>
    <t>Michael Smith</t>
  </si>
  <si>
    <t>christophersmith@hotmail.com</t>
  </si>
  <si>
    <t>PK-100146</t>
  </si>
  <si>
    <t>Natalie Elliott</t>
  </si>
  <si>
    <t>carsonraymond@vance-yates.com</t>
  </si>
  <si>
    <t>PK-100147</t>
  </si>
  <si>
    <t>Tabitha Rodriguez</t>
  </si>
  <si>
    <t>johnreed@owen-mitchell.com</t>
  </si>
  <si>
    <t>PK-100148</t>
  </si>
  <si>
    <t>Kevin Kelly</t>
  </si>
  <si>
    <t>glenda92@welch.info</t>
  </si>
  <si>
    <t>PK-100149</t>
  </si>
  <si>
    <t>Shannon Hall</t>
  </si>
  <si>
    <t>anthony54@lopez.com</t>
  </si>
  <si>
    <t>PK-100150</t>
  </si>
  <si>
    <t>Kayla Wilson</t>
  </si>
  <si>
    <t>ucollier@hotmail.com</t>
  </si>
  <si>
    <t>PK-100151</t>
  </si>
  <si>
    <t>Nicholas Gardner</t>
  </si>
  <si>
    <t>dgrant@jones.com</t>
  </si>
  <si>
    <t>PK-100152</t>
  </si>
  <si>
    <t>Desiree Ward</t>
  </si>
  <si>
    <t>tracy58@gmail.com</t>
  </si>
  <si>
    <t>PK-100153</t>
  </si>
  <si>
    <t>Christian Ellis</t>
  </si>
  <si>
    <t>youngbonnie@gmail.com</t>
  </si>
  <si>
    <t>PK-100154</t>
  </si>
  <si>
    <t>Stephen Johnson</t>
  </si>
  <si>
    <t>robertwalker@edwards-bradley.com</t>
  </si>
  <si>
    <t>PK-100155</t>
  </si>
  <si>
    <t>Kristen Thomas</t>
  </si>
  <si>
    <t>emily72@yahoo.com</t>
  </si>
  <si>
    <t>PK-100156</t>
  </si>
  <si>
    <t>Amber Robles</t>
  </si>
  <si>
    <t>fsmith@gmail.com</t>
  </si>
  <si>
    <t>PK-100157</t>
  </si>
  <si>
    <t>Nicole Jacobs</t>
  </si>
  <si>
    <t>hmartinez@gmail.com</t>
  </si>
  <si>
    <t>PK-100158</t>
  </si>
  <si>
    <t>Traci Grimes</t>
  </si>
  <si>
    <t>christopherpetersen@johnson.com</t>
  </si>
  <si>
    <t>PK-100159</t>
  </si>
  <si>
    <t>Rachel Harris</t>
  </si>
  <si>
    <t>emilyhenderson@hill.org</t>
  </si>
  <si>
    <t>PK-100160</t>
  </si>
  <si>
    <t>David Jones</t>
  </si>
  <si>
    <t>kennethcastro@nelson.com</t>
  </si>
  <si>
    <t>PK-100161</t>
  </si>
  <si>
    <t>James Parker</t>
  </si>
  <si>
    <t>burtonmaria@gmail.com</t>
  </si>
  <si>
    <t>PK-100162</t>
  </si>
  <si>
    <t>Robert Heath</t>
  </si>
  <si>
    <t>epatterson@gmail.com</t>
  </si>
  <si>
    <t>PK-100163</t>
  </si>
  <si>
    <t>Micheal Green</t>
  </si>
  <si>
    <t>gillsean@yahoo.com</t>
  </si>
  <si>
    <t>PK-100164</t>
  </si>
  <si>
    <t>Douglas King</t>
  </si>
  <si>
    <t>robertopayne@chang.com</t>
  </si>
  <si>
    <t>PK-100165</t>
  </si>
  <si>
    <t>Antonio Nguyen</t>
  </si>
  <si>
    <t>torresjeffrey@gmail.com</t>
  </si>
  <si>
    <t>PK-100166</t>
  </si>
  <si>
    <t>Marisa Wheeler</t>
  </si>
  <si>
    <t>davidsonlinda@walters-young.biz</t>
  </si>
  <si>
    <t>PK-100167</t>
  </si>
  <si>
    <t>Andrew Williams</t>
  </si>
  <si>
    <t>jennifer73@arnold.com</t>
  </si>
  <si>
    <t>PK-100168</t>
  </si>
  <si>
    <t>Amanda Ray</t>
  </si>
  <si>
    <t>hsanders@jones.com</t>
  </si>
  <si>
    <t>PK-100169</t>
  </si>
  <si>
    <t>Glenn Cox</t>
  </si>
  <si>
    <t>dunngreg@boyd-macdonald.biz</t>
  </si>
  <si>
    <t>PK-100170</t>
  </si>
  <si>
    <t>Kristen Mitchell</t>
  </si>
  <si>
    <t>glovermike@hotmail.com</t>
  </si>
  <si>
    <t>PK-100171</t>
  </si>
  <si>
    <t>Mrs. Amanda Ferguson</t>
  </si>
  <si>
    <t>uashley@cooper-cochran.biz</t>
  </si>
  <si>
    <t>PK-100172</t>
  </si>
  <si>
    <t>Heather Adams</t>
  </si>
  <si>
    <t>johnkelley@wall.com</t>
  </si>
  <si>
    <t>PK-100173</t>
  </si>
  <si>
    <t>David Golden</t>
  </si>
  <si>
    <t>davisvanessa@martinez.com</t>
  </si>
  <si>
    <t>PK-100174</t>
  </si>
  <si>
    <t>Diane Murray</t>
  </si>
  <si>
    <t>thomas18@kirk.com</t>
  </si>
  <si>
    <t>PK-100175</t>
  </si>
  <si>
    <t>Christopher Butler</t>
  </si>
  <si>
    <t>paul34@hernandez-carter.com</t>
  </si>
  <si>
    <t>PK-100176</t>
  </si>
  <si>
    <t>Tyler Williamson</t>
  </si>
  <si>
    <t>yhoward@hines.com</t>
  </si>
  <si>
    <t>PK-100177</t>
  </si>
  <si>
    <t>Yolanda Stark</t>
  </si>
  <si>
    <t>hilljennifer@yahoo.com</t>
  </si>
  <si>
    <t>PK-100178</t>
  </si>
  <si>
    <t>Jesse Bird</t>
  </si>
  <si>
    <t>adamskinner@gmail.com</t>
  </si>
  <si>
    <t>PK-100179</t>
  </si>
  <si>
    <t>Jeremy Coleman</t>
  </si>
  <si>
    <t>gmoreno@hotmail.com</t>
  </si>
  <si>
    <t>PK-100180</t>
  </si>
  <si>
    <t>Allison Lyons</t>
  </si>
  <si>
    <t>tammie79@gmail.com</t>
  </si>
  <si>
    <t>PK-100181</t>
  </si>
  <si>
    <t>Preston Perez</t>
  </si>
  <si>
    <t>john13@gmail.com</t>
  </si>
  <si>
    <t>PK-100182</t>
  </si>
  <si>
    <t>Kylie Smith</t>
  </si>
  <si>
    <t>cynthia75@beasley-gonzalez.com</t>
  </si>
  <si>
    <t>PK-100183</t>
  </si>
  <si>
    <t>Robyn Graham</t>
  </si>
  <si>
    <t>michael66@simpson-foley.com</t>
  </si>
  <si>
    <t>PK-100184</t>
  </si>
  <si>
    <t>Danielle Baker</t>
  </si>
  <si>
    <t>lanekeith@yahoo.com</t>
  </si>
  <si>
    <t>PK-100185</t>
  </si>
  <si>
    <t>Matthew Vasquez</t>
  </si>
  <si>
    <t>adamsanders@gmail.com</t>
  </si>
  <si>
    <t>PK-100186</t>
  </si>
  <si>
    <t>Patrick Ashley</t>
  </si>
  <si>
    <t>santanaselena@castillo-caldwell.com</t>
  </si>
  <si>
    <t>PK-100187</t>
  </si>
  <si>
    <t>Angela May</t>
  </si>
  <si>
    <t>carlsonadrian@mercado-pacheco.com</t>
  </si>
  <si>
    <t>PK-100188</t>
  </si>
  <si>
    <t>Valerie Cooper</t>
  </si>
  <si>
    <t>johnclark@brown.biz</t>
  </si>
  <si>
    <t>PK-100189</t>
  </si>
  <si>
    <t>Luis Porter</t>
  </si>
  <si>
    <t>joseph79@black.com</t>
  </si>
  <si>
    <t>PK-100190</t>
  </si>
  <si>
    <t>Nicole Chambers</t>
  </si>
  <si>
    <t>monroebrandon@rhodes-frost.biz</t>
  </si>
  <si>
    <t>PK-100191</t>
  </si>
  <si>
    <t>Danielle Richard</t>
  </si>
  <si>
    <t>david05@flores.biz</t>
  </si>
  <si>
    <t>PK-100192</t>
  </si>
  <si>
    <t>Sharon Wall</t>
  </si>
  <si>
    <t>PK-100193</t>
  </si>
  <si>
    <t>John Peterson</t>
  </si>
  <si>
    <t>freeves@barker.net</t>
  </si>
  <si>
    <t>PK-100194</t>
  </si>
  <si>
    <t>Courtney Lucas</t>
  </si>
  <si>
    <t>tgraham@rodriguez.com</t>
  </si>
  <si>
    <t>PK-100195</t>
  </si>
  <si>
    <t>Victor Lopez</t>
  </si>
  <si>
    <t>caseymiles@yahoo.com</t>
  </si>
  <si>
    <t>PK-100196</t>
  </si>
  <si>
    <t>James Payne</t>
  </si>
  <si>
    <t>lclark@stein.net</t>
  </si>
  <si>
    <t>PK-100197</t>
  </si>
  <si>
    <t>Michael Lee</t>
  </si>
  <si>
    <t>kevinrobertson@roberts.net</t>
  </si>
  <si>
    <t>PK-100198</t>
  </si>
  <si>
    <t>Lori Russell</t>
  </si>
  <si>
    <t>emilyestrada@hotmail.com</t>
  </si>
  <si>
    <t>PK-100199</t>
  </si>
  <si>
    <t>Pam Ford DDS</t>
  </si>
  <si>
    <t>pottsashley@gmail.com</t>
  </si>
  <si>
    <t>PK-100200</t>
  </si>
  <si>
    <t>Hector Watkins</t>
  </si>
  <si>
    <t>aclark@gmail.com</t>
  </si>
  <si>
    <t>PK-100201</t>
  </si>
  <si>
    <t>Kimberly Stephenson</t>
  </si>
  <si>
    <t>ashley70@schmitt.com</t>
  </si>
  <si>
    <t>PK-100202</t>
  </si>
  <si>
    <t>Melissa Gomez</t>
  </si>
  <si>
    <t>jade13@espinoza.com</t>
  </si>
  <si>
    <t>PK-100203</t>
  </si>
  <si>
    <t>Savannah Melendez</t>
  </si>
  <si>
    <t>qnguyen@watts.info</t>
  </si>
  <si>
    <t>PK-100204</t>
  </si>
  <si>
    <t>Morgan Olson</t>
  </si>
  <si>
    <t>wbrown@luna.com</t>
  </si>
  <si>
    <t>PK-100205</t>
  </si>
  <si>
    <t>John Osborne</t>
  </si>
  <si>
    <t>robertsdarlene@martinez.com</t>
  </si>
  <si>
    <t>PK-100206</t>
  </si>
  <si>
    <t>Tara Wilcox</t>
  </si>
  <si>
    <t>bethlindsey@gmail.com</t>
  </si>
  <si>
    <t>PK-100207</t>
  </si>
  <si>
    <t>Melanie Richards</t>
  </si>
  <si>
    <t>lvargas@sullivan.info</t>
  </si>
  <si>
    <t>PK-100208</t>
  </si>
  <si>
    <t>Elizabeth Lewis</t>
  </si>
  <si>
    <t>krystal45@stewart.org</t>
  </si>
  <si>
    <t>PK-100209</t>
  </si>
  <si>
    <t>Maria Osborne</t>
  </si>
  <si>
    <t>timothy09@taylor.com</t>
  </si>
  <si>
    <t>PK-100210</t>
  </si>
  <si>
    <t>Dustin Murphy</t>
  </si>
  <si>
    <t>susangreene@gmail.com</t>
  </si>
  <si>
    <t>PK-100211</t>
  </si>
  <si>
    <t>Mrs. Andrea Johnson</t>
  </si>
  <si>
    <t>vshaw@hotmail.com</t>
  </si>
  <si>
    <t>PK-100212</t>
  </si>
  <si>
    <t>Kristi Harris</t>
  </si>
  <si>
    <t>fgill@gmail.com</t>
  </si>
  <si>
    <t>PK-100213</t>
  </si>
  <si>
    <t>Joshua Roberts</t>
  </si>
  <si>
    <t>johnathan98@yahoo.com</t>
  </si>
  <si>
    <t>PK-100214</t>
  </si>
  <si>
    <t>Michael Flores</t>
  </si>
  <si>
    <t>traci08@todd-best.com</t>
  </si>
  <si>
    <t>PK-100215</t>
  </si>
  <si>
    <t>Stephanie Hart</t>
  </si>
  <si>
    <t>johnsonpaul@townsend.com</t>
  </si>
  <si>
    <t>PK-100216</t>
  </si>
  <si>
    <t>Amy Perez</t>
  </si>
  <si>
    <t>kellianderson@medina-johnson.com</t>
  </si>
  <si>
    <t>PK-100217</t>
  </si>
  <si>
    <t>Autumn Hoover</t>
  </si>
  <si>
    <t>psantos@yahoo.com</t>
  </si>
  <si>
    <t>PK-100218</t>
  </si>
  <si>
    <t>Janet Nelson</t>
  </si>
  <si>
    <t>gcurry@yahoo.com</t>
  </si>
  <si>
    <t>PK-100219</t>
  </si>
  <si>
    <t>Timothy Shah</t>
  </si>
  <si>
    <t>veronicaewing@monroe-mitchell.com</t>
  </si>
  <si>
    <t>PK-100220</t>
  </si>
  <si>
    <t>Alexander Smith</t>
  </si>
  <si>
    <t>qlarsen@ross-grimes.net</t>
  </si>
  <si>
    <t>PK-100221</t>
  </si>
  <si>
    <t>Krystal Day</t>
  </si>
  <si>
    <t>april68@yahoo.com</t>
  </si>
  <si>
    <t>PK-100222</t>
  </si>
  <si>
    <t>Laura Leon</t>
  </si>
  <si>
    <t>lcarter@hotmail.com</t>
  </si>
  <si>
    <t>PK-100223</t>
  </si>
  <si>
    <t>Christopher Velasquez</t>
  </si>
  <si>
    <t>janice71@yahoo.com</t>
  </si>
  <si>
    <t>PK-100224</t>
  </si>
  <si>
    <t>Jessica Miller</t>
  </si>
  <si>
    <t>gardnerann@hotmail.com</t>
  </si>
  <si>
    <t>PK-100225</t>
  </si>
  <si>
    <t>Kara Allen</t>
  </si>
  <si>
    <t>maciashenry@sullivan-williamson.com</t>
  </si>
  <si>
    <t>PK-100226</t>
  </si>
  <si>
    <t>Terry Griffin</t>
  </si>
  <si>
    <t>smiller@fields.com</t>
  </si>
  <si>
    <t>PK-100227</t>
  </si>
  <si>
    <t>Mary Miller</t>
  </si>
  <si>
    <t>garciajodi@cox.org</t>
  </si>
  <si>
    <t>PK-100228</t>
  </si>
  <si>
    <t>Mia Arnold</t>
  </si>
  <si>
    <t>xzamora@russell.com</t>
  </si>
  <si>
    <t>PK-100229</t>
  </si>
  <si>
    <t>Lisa Moore</t>
  </si>
  <si>
    <t>youngpatrick@foster.com</t>
  </si>
  <si>
    <t>PK-100230</t>
  </si>
  <si>
    <t>Mr. Troy Smith</t>
  </si>
  <si>
    <t>uspencer@gmail.com</t>
  </si>
  <si>
    <t>PK-100231</t>
  </si>
  <si>
    <t>Elizabeth Delacruz</t>
  </si>
  <si>
    <t>taylorrichardson@gmail.com</t>
  </si>
  <si>
    <t>PK-100232</t>
  </si>
  <si>
    <t>Chad Mendez</t>
  </si>
  <si>
    <t>dgarza@stewart-lopez.biz</t>
  </si>
  <si>
    <t>PK-100233</t>
  </si>
  <si>
    <t>Kristy Sanchez</t>
  </si>
  <si>
    <t>stevensnancy@johnston.info</t>
  </si>
  <si>
    <t>PK-100234</t>
  </si>
  <si>
    <t>Lisa Cooper</t>
  </si>
  <si>
    <t>anna11@garcia-lawrence.info</t>
  </si>
  <si>
    <t>PK-100235</t>
  </si>
  <si>
    <t>Lauren Scott</t>
  </si>
  <si>
    <t>michelle79@gmail.com</t>
  </si>
  <si>
    <t>PK-100236</t>
  </si>
  <si>
    <t>Shane Weber</t>
  </si>
  <si>
    <t>christianmiranda@cruz.com</t>
  </si>
  <si>
    <t>PK-100237</t>
  </si>
  <si>
    <t>Matthew Parker</t>
  </si>
  <si>
    <t>jodymason@lopez.com</t>
  </si>
  <si>
    <t>PK-100238</t>
  </si>
  <si>
    <t>Mary Graham</t>
  </si>
  <si>
    <t>sara17@yahoo.com</t>
  </si>
  <si>
    <t>PK-100239</t>
  </si>
  <si>
    <t>Mary Wilkins</t>
  </si>
  <si>
    <t>jeanette60@hotmail.com</t>
  </si>
  <si>
    <t>PK-100240</t>
  </si>
  <si>
    <t>Peter Harmon</t>
  </si>
  <si>
    <t>andersonjessica@hotmail.com</t>
  </si>
  <si>
    <t>PK-100241</t>
  </si>
  <si>
    <t>Adrienne Richardson</t>
  </si>
  <si>
    <t>deborahlopez@yahoo.com</t>
  </si>
  <si>
    <t>PK-100242</t>
  </si>
  <si>
    <t>Michelle Smith</t>
  </si>
  <si>
    <t>rmeyer@barron-stone.com</t>
  </si>
  <si>
    <t>PK-100243</t>
  </si>
  <si>
    <t>Rebecca Medina</t>
  </si>
  <si>
    <t>kevin31@gmail.com</t>
  </si>
  <si>
    <t>PK-100244</t>
  </si>
  <si>
    <t>Ronnie King</t>
  </si>
  <si>
    <t>peterslindsey@yahoo.com</t>
  </si>
  <si>
    <t>PK-100245</t>
  </si>
  <si>
    <t>Brandon Park</t>
  </si>
  <si>
    <t>jeffreymitchell@gmail.com</t>
  </si>
  <si>
    <t>PK-100246</t>
  </si>
  <si>
    <t>Nicole Perez</t>
  </si>
  <si>
    <t>cfranklin@yahoo.com</t>
  </si>
  <si>
    <t>PK-100247</t>
  </si>
  <si>
    <t>Cheryl Rogers</t>
  </si>
  <si>
    <t>ograves@yahoo.com</t>
  </si>
  <si>
    <t>PK-100248</t>
  </si>
  <si>
    <t>Eric Hull</t>
  </si>
  <si>
    <t>williamsjoseph@hotmail.com</t>
  </si>
  <si>
    <t>PK-100249</t>
  </si>
  <si>
    <t>Jeffrey Shaw</t>
  </si>
  <si>
    <t>kathrynbrooks@hotmail.com</t>
  </si>
  <si>
    <t>PK-100250</t>
  </si>
  <si>
    <t>Joseph Thompson</t>
  </si>
  <si>
    <t>christinemorales@gmail.com</t>
  </si>
  <si>
    <t>PK-100251</t>
  </si>
  <si>
    <t>Christopher Hayes</t>
  </si>
  <si>
    <t>katherinewalker@lowery-ferguson.biz</t>
  </si>
  <si>
    <t>PK-100252</t>
  </si>
  <si>
    <t>Bridget Brooks</t>
  </si>
  <si>
    <t>tjones@gmail.com</t>
  </si>
  <si>
    <t>PK-100253</t>
  </si>
  <si>
    <t>Jacob Montoya</t>
  </si>
  <si>
    <t>vevans@burnett-robinson.com</t>
  </si>
  <si>
    <t>PK-100254</t>
  </si>
  <si>
    <t>Roy Ross</t>
  </si>
  <si>
    <t>moralesjonathan@hotmail.com</t>
  </si>
  <si>
    <t>PK-100255</t>
  </si>
  <si>
    <t>Brett Pineda</t>
  </si>
  <si>
    <t>karen20@yahoo.com</t>
  </si>
  <si>
    <t>PK-100256</t>
  </si>
  <si>
    <t>Dennis Torres</t>
  </si>
  <si>
    <t>tracy94@gmail.com</t>
  </si>
  <si>
    <t>PK-100257</t>
  </si>
  <si>
    <t>Randy Parker</t>
  </si>
  <si>
    <t>janetbenson@hotmail.com</t>
  </si>
  <si>
    <t>PK-100258</t>
  </si>
  <si>
    <t>Mr. Tyler Fernandez DDS</t>
  </si>
  <si>
    <t>lindapowell@yahoo.com</t>
  </si>
  <si>
    <t>PK-100259</t>
  </si>
  <si>
    <t>Emily Gibson</t>
  </si>
  <si>
    <t>okrause@perez-jones.biz</t>
  </si>
  <si>
    <t>PK-100260</t>
  </si>
  <si>
    <t>Andrew Bowen</t>
  </si>
  <si>
    <t>umarshall@todd.com</t>
  </si>
  <si>
    <t>PK-100261</t>
  </si>
  <si>
    <t>Tracy Ramsey</t>
  </si>
  <si>
    <t>tannerdarren@brown.org</t>
  </si>
  <si>
    <t>PK-100262</t>
  </si>
  <si>
    <t>Jennifer Wade</t>
  </si>
  <si>
    <t>troberts@gmail.com</t>
  </si>
  <si>
    <t>PK-100263</t>
  </si>
  <si>
    <t>Patrick Barber</t>
  </si>
  <si>
    <t>angelawells@espinoza-taylor.org</t>
  </si>
  <si>
    <t>PK-100264</t>
  </si>
  <si>
    <t>Jessica Brooks</t>
  </si>
  <si>
    <t>thomaswelch@hotmail.com</t>
  </si>
  <si>
    <t>PK-100265</t>
  </si>
  <si>
    <t>John Clark</t>
  </si>
  <si>
    <t>vmartin@hotmail.com</t>
  </si>
  <si>
    <t>PK-100266</t>
  </si>
  <si>
    <t>Tammy Baker</t>
  </si>
  <si>
    <t>andrewroberts@hotmail.com</t>
  </si>
  <si>
    <t>PK-100267</t>
  </si>
  <si>
    <t>Samuel Mckenzie</t>
  </si>
  <si>
    <t>astephens@maxwell-allen.com</t>
  </si>
  <si>
    <t>PK-100268</t>
  </si>
  <si>
    <t>Jacob Baxter</t>
  </si>
  <si>
    <t>krowe@yahoo.com</t>
  </si>
  <si>
    <t>PK-100269</t>
  </si>
  <si>
    <t>Luke Howell</t>
  </si>
  <si>
    <t>gfinley@yahoo.com</t>
  </si>
  <si>
    <t>PK-100270</t>
  </si>
  <si>
    <t>Teresa Jones</t>
  </si>
  <si>
    <t>danny72@gmail.com</t>
  </si>
  <si>
    <t>PK-100271</t>
  </si>
  <si>
    <t>Kristi Paul DVM</t>
  </si>
  <si>
    <t>wcoleman@hotmail.com</t>
  </si>
  <si>
    <t>PK-100272</t>
  </si>
  <si>
    <t>Anna Suarez</t>
  </si>
  <si>
    <t>jamesthomas@powers.com</t>
  </si>
  <si>
    <t>PK-100273</t>
  </si>
  <si>
    <t>John Pierce</t>
  </si>
  <si>
    <t>samanthapierce@harper.com</t>
  </si>
  <si>
    <t>PK-100274</t>
  </si>
  <si>
    <t>Peter Drake</t>
  </si>
  <si>
    <t>xfreeman@tucker.com</t>
  </si>
  <si>
    <t>PK-100275</t>
  </si>
  <si>
    <t>Gregory Knight</t>
  </si>
  <si>
    <t>frazierchristopher@yahoo.com</t>
  </si>
  <si>
    <t>PK-100276</t>
  </si>
  <si>
    <t>Melissa Warner</t>
  </si>
  <si>
    <t>jdawson@hotmail.com</t>
  </si>
  <si>
    <t>PK-100277</t>
  </si>
  <si>
    <t>Andrew Carrillo</t>
  </si>
  <si>
    <t>igraves@curtis.com</t>
  </si>
  <si>
    <t>PK-100278</t>
  </si>
  <si>
    <t>Nancy Miles</t>
  </si>
  <si>
    <t>ehendricks@watts-carter.com</t>
  </si>
  <si>
    <t>PK-100279</t>
  </si>
  <si>
    <t>Stephen Marquez</t>
  </si>
  <si>
    <t>tina15@hotmail.com</t>
  </si>
  <si>
    <t>PK-100280</t>
  </si>
  <si>
    <t>Hector Baker</t>
  </si>
  <si>
    <t>lisa83@bentley.info</t>
  </si>
  <si>
    <t>PK-100281</t>
  </si>
  <si>
    <t>Valerie Booth</t>
  </si>
  <si>
    <t>taylordana@gmail.com</t>
  </si>
  <si>
    <t>PK-100282</t>
  </si>
  <si>
    <t>Anne Wilson</t>
  </si>
  <si>
    <t>xjohnson@gmail.com</t>
  </si>
  <si>
    <t>PK-100283</t>
  </si>
  <si>
    <t>Ricky Frank</t>
  </si>
  <si>
    <t>amandagarcia@hotmail.com</t>
  </si>
  <si>
    <t>PK-100284</t>
  </si>
  <si>
    <t>Andrea Little</t>
  </si>
  <si>
    <t>snydermaureen@hotmail.com</t>
  </si>
  <si>
    <t>PK-100285</t>
  </si>
  <si>
    <t>Brandon Carlson</t>
  </si>
  <si>
    <t>mgonzalez@fernandez.info</t>
  </si>
  <si>
    <t>PK-100286</t>
  </si>
  <si>
    <t>James Parsons</t>
  </si>
  <si>
    <t>barnesangela@gmail.com</t>
  </si>
  <si>
    <t>PK-100287</t>
  </si>
  <si>
    <t>Larry Bond</t>
  </si>
  <si>
    <t>fpatel@hotmail.com</t>
  </si>
  <si>
    <t>PK-100288</t>
  </si>
  <si>
    <t>Kelly Scott</t>
  </si>
  <si>
    <t>acarson@hunter.com</t>
  </si>
  <si>
    <t>PK-100289</t>
  </si>
  <si>
    <t>Cindy Perez</t>
  </si>
  <si>
    <t>victoria80@gmail.com</t>
  </si>
  <si>
    <t>PK-100290</t>
  </si>
  <si>
    <t>Anthony Kim</t>
  </si>
  <si>
    <t>kherman@gmail.com</t>
  </si>
  <si>
    <t>PK-100291</t>
  </si>
  <si>
    <t>Jaime Hogan</t>
  </si>
  <si>
    <t>brose@herring-reid.com</t>
  </si>
  <si>
    <t>PK-100292</t>
  </si>
  <si>
    <t>Patricia Phillips</t>
  </si>
  <si>
    <t>lwashington@hotmail.com</t>
  </si>
  <si>
    <t>PK-100293</t>
  </si>
  <si>
    <t>Jeffrey Gutierrez</t>
  </si>
  <si>
    <t>michaellynch@morris-paul.com</t>
  </si>
  <si>
    <t>PK-100294</t>
  </si>
  <si>
    <t>Allison Harrison</t>
  </si>
  <si>
    <t>hannah09@johnson.biz</t>
  </si>
  <si>
    <t>PK-100295</t>
  </si>
  <si>
    <t>Brittany Tyler</t>
  </si>
  <si>
    <t>ejenkins@hotmail.com</t>
  </si>
  <si>
    <t>PK-100296</t>
  </si>
  <si>
    <t>Frank Morgan</t>
  </si>
  <si>
    <t>littlemegan@yahoo.com</t>
  </si>
  <si>
    <t>PK-100297</t>
  </si>
  <si>
    <t>Joshua Romero</t>
  </si>
  <si>
    <t>davissandra@hotmail.com</t>
  </si>
  <si>
    <t>PK-100298</t>
  </si>
  <si>
    <t>Natasha Griffin</t>
  </si>
  <si>
    <t>cyoung@gmail.com</t>
  </si>
  <si>
    <t>PK-100299</t>
  </si>
  <si>
    <t>Jonathan Davis</t>
  </si>
  <si>
    <t>patrickevans@elliott.com</t>
  </si>
  <si>
    <t>PK-100300</t>
  </si>
  <si>
    <t>Toni Mclean</t>
  </si>
  <si>
    <t>robertsonrebecca@yahoo.com</t>
  </si>
  <si>
    <t>PK-100301</t>
  </si>
  <si>
    <t>Miss Jessica Obrien</t>
  </si>
  <si>
    <t>kayla56@yahoo.com</t>
  </si>
  <si>
    <t>PK-100302</t>
  </si>
  <si>
    <t>Jerry Perez</t>
  </si>
  <si>
    <t>kennethcameron@yahoo.com</t>
  </si>
  <si>
    <t>PK-100303</t>
  </si>
  <si>
    <t>Jenna Foster</t>
  </si>
  <si>
    <t>johnnywalker@bass-peterson.net</t>
  </si>
  <si>
    <t>PK-100304</t>
  </si>
  <si>
    <t>Julie Fletcher</t>
  </si>
  <si>
    <t>jamesholt@gmail.com</t>
  </si>
  <si>
    <t>PK-100305</t>
  </si>
  <si>
    <t>Anthony Murphy</t>
  </si>
  <si>
    <t>yrussell@hoffman.com</t>
  </si>
  <si>
    <t>PK-100306</t>
  </si>
  <si>
    <t>Angela Reyes</t>
  </si>
  <si>
    <t>tkelly@hotmail.com</t>
  </si>
  <si>
    <t>PK-100307</t>
  </si>
  <si>
    <t>Adam Shannon</t>
  </si>
  <si>
    <t>mvaldez@hotmail.com</t>
  </si>
  <si>
    <t>PK-100308</t>
  </si>
  <si>
    <t>Tammie Fox</t>
  </si>
  <si>
    <t>jonesjames@williams.biz</t>
  </si>
  <si>
    <t>PK-100309</t>
  </si>
  <si>
    <t>Victoria Ruiz</t>
  </si>
  <si>
    <t>shane15@yahoo.com</t>
  </si>
  <si>
    <t>PK-100310</t>
  </si>
  <si>
    <t>Tammy Wise</t>
  </si>
  <si>
    <t>cwalker@arnold.info</t>
  </si>
  <si>
    <t>PK-100311</t>
  </si>
  <si>
    <t>Monique Chambers</t>
  </si>
  <si>
    <t>jacksonstephanie@gmail.com</t>
  </si>
  <si>
    <t>PK-100312</t>
  </si>
  <si>
    <t>Felicia Thompson</t>
  </si>
  <si>
    <t>trantroy@hotmail.com</t>
  </si>
  <si>
    <t>PK-100313</t>
  </si>
  <si>
    <t>Amy Strong</t>
  </si>
  <si>
    <t>abird@nguyen-silva.info</t>
  </si>
  <si>
    <t>PK-100314</t>
  </si>
  <si>
    <t>Sandra Mendez</t>
  </si>
  <si>
    <t>traceywilliams@hotmail.com</t>
  </si>
  <si>
    <t>PK-100315</t>
  </si>
  <si>
    <t>Monique Bean</t>
  </si>
  <si>
    <t>bryan30@yahoo.com</t>
  </si>
  <si>
    <t>PK-100316</t>
  </si>
  <si>
    <t>David Noble</t>
  </si>
  <si>
    <t>hunterlopez@schneider.net</t>
  </si>
  <si>
    <t>PK-100317</t>
  </si>
  <si>
    <t>Connie Cook</t>
  </si>
  <si>
    <t>haleykeller@yahoo.com</t>
  </si>
  <si>
    <t>PK-100318</t>
  </si>
  <si>
    <t>Christopher Erickson</t>
  </si>
  <si>
    <t>alexanderryan@gmail.com</t>
  </si>
  <si>
    <t>PK-100319</t>
  </si>
  <si>
    <t>Randy Bryan</t>
  </si>
  <si>
    <t>qgreen@murphy-mcmillan.com</t>
  </si>
  <si>
    <t>PK-100320</t>
  </si>
  <si>
    <t>Joseph Williams</t>
  </si>
  <si>
    <t>corey56@smith-armstrong.biz</t>
  </si>
  <si>
    <t>PK-100321</t>
  </si>
  <si>
    <t>Alexander Mendoza</t>
  </si>
  <si>
    <t>yfrederick@walker.com</t>
  </si>
  <si>
    <t>PK-100322</t>
  </si>
  <si>
    <t>Corey Lynch</t>
  </si>
  <si>
    <t>williamoconnor@vargas.com</t>
  </si>
  <si>
    <t>PK-100323</t>
  </si>
  <si>
    <t>Kenneth Miller</t>
  </si>
  <si>
    <t>wcruz@brown-white.com</t>
  </si>
  <si>
    <t>PK-100324</t>
  </si>
  <si>
    <t>Susan Watson</t>
  </si>
  <si>
    <t>xmeyer@rodriguez.com</t>
  </si>
  <si>
    <t>PK-100325</t>
  </si>
  <si>
    <t>Abigail Stewart</t>
  </si>
  <si>
    <t>michaelmoses@gmail.com</t>
  </si>
  <si>
    <t>PK-100326</t>
  </si>
  <si>
    <t>Sandra Smith</t>
  </si>
  <si>
    <t>tbarr@bradley.biz</t>
  </si>
  <si>
    <t>PK-100327</t>
  </si>
  <si>
    <t>Katie Gonzalez</t>
  </si>
  <si>
    <t>santosdiane@williams-warren.org</t>
  </si>
  <si>
    <t>PK-100328</t>
  </si>
  <si>
    <t>Juan Martinez</t>
  </si>
  <si>
    <t>zthompson@moore.com</t>
  </si>
  <si>
    <t>PK-100329</t>
  </si>
  <si>
    <t>Melissa Zuniga</t>
  </si>
  <si>
    <t>sanderssamantha@boyle-wright.com</t>
  </si>
  <si>
    <t>PK-100330</t>
  </si>
  <si>
    <t>John Mooney</t>
  </si>
  <si>
    <t>denise12@hotmail.com</t>
  </si>
  <si>
    <t>PK-100331</t>
  </si>
  <si>
    <t>Benjamin Wagner</t>
  </si>
  <si>
    <t>nathan52@yahoo.com</t>
  </si>
  <si>
    <t>PK-100332</t>
  </si>
  <si>
    <t>Nicholas Reed</t>
  </si>
  <si>
    <t>williamsjamie@hotmail.com</t>
  </si>
  <si>
    <t>PK-100333</t>
  </si>
  <si>
    <t>Amy Dickerson</t>
  </si>
  <si>
    <t>reeseshannon@yahoo.com</t>
  </si>
  <si>
    <t>PK-100334</t>
  </si>
  <si>
    <t>Michele Payne</t>
  </si>
  <si>
    <t>rhonda55@yahoo.com</t>
  </si>
  <si>
    <t>PK-100335</t>
  </si>
  <si>
    <t>Daniel Harrison</t>
  </si>
  <si>
    <t>cmarshall@collins-schneider.com</t>
  </si>
  <si>
    <t>PK-100336</t>
  </si>
  <si>
    <t>Jamie Alexander</t>
  </si>
  <si>
    <t>rebecca80@hunt.com</t>
  </si>
  <si>
    <t>PK-100337</t>
  </si>
  <si>
    <t>Cheryl Riddle</t>
  </si>
  <si>
    <t>prestonwhitaker@vincent.com</t>
  </si>
  <si>
    <t>PK-100338</t>
  </si>
  <si>
    <t>Jessica Bradford</t>
  </si>
  <si>
    <t>matthew23@hotmail.com</t>
  </si>
  <si>
    <t>PK-100339</t>
  </si>
  <si>
    <t>Christina Williams</t>
  </si>
  <si>
    <t>calvinrussell@tran.net</t>
  </si>
  <si>
    <t>PK-100340</t>
  </si>
  <si>
    <t>Pamela Ballard</t>
  </si>
  <si>
    <t>longeric@hotmail.com</t>
  </si>
  <si>
    <t>PK-100341</t>
  </si>
  <si>
    <t>April Bradley</t>
  </si>
  <si>
    <t>cory72@gmail.com</t>
  </si>
  <si>
    <t>PK-100342</t>
  </si>
  <si>
    <t>Sally Bennett</t>
  </si>
  <si>
    <t>nashgregory@hotmail.com</t>
  </si>
  <si>
    <t>PK-100343</t>
  </si>
  <si>
    <t>Wanda Riddle</t>
  </si>
  <si>
    <t>browncynthia@yahoo.com</t>
  </si>
  <si>
    <t>PK-100344</t>
  </si>
  <si>
    <t>Heidi Mejia</t>
  </si>
  <si>
    <t>mschwartz@yahoo.com</t>
  </si>
  <si>
    <t>PK-100345</t>
  </si>
  <si>
    <t>Sean Paul</t>
  </si>
  <si>
    <t>evan64@bartlett.com</t>
  </si>
  <si>
    <t>PK-100346</t>
  </si>
  <si>
    <t>Gary Burnett</t>
  </si>
  <si>
    <t>kochmark@hotmail.com</t>
  </si>
  <si>
    <t>PK-100347</t>
  </si>
  <si>
    <t>Mark Lewis</t>
  </si>
  <si>
    <t>brittanyjoseph@white-merritt.org</t>
  </si>
  <si>
    <t>PK-100348</t>
  </si>
  <si>
    <t>Emily Henderson</t>
  </si>
  <si>
    <t>laurenwalton@yahoo.com</t>
  </si>
  <si>
    <t>PK-100349</t>
  </si>
  <si>
    <t>Mr. Thomas Fitzgerald</t>
  </si>
  <si>
    <t>owalker@yahoo.com</t>
  </si>
  <si>
    <t>PK-100350</t>
  </si>
  <si>
    <t>Jeffrey Willis</t>
  </si>
  <si>
    <t>riceeric@yahoo.com</t>
  </si>
  <si>
    <t>PK-100351</t>
  </si>
  <si>
    <t>Jeffrey Hubbard</t>
  </si>
  <si>
    <t>kiddtimothy@hotmail.com</t>
  </si>
  <si>
    <t>PK-100352</t>
  </si>
  <si>
    <t>Brian Mills</t>
  </si>
  <si>
    <t>darren46@kidd.com</t>
  </si>
  <si>
    <t>PK-100353</t>
  </si>
  <si>
    <t>Mr. Ryan Bruce</t>
  </si>
  <si>
    <t>trevormontoya@yahoo.com</t>
  </si>
  <si>
    <t>PK-100354</t>
  </si>
  <si>
    <t>Carmen Ward</t>
  </si>
  <si>
    <t>johnsweeney@rodriguez.biz</t>
  </si>
  <si>
    <t>PK-100355</t>
  </si>
  <si>
    <t>Randy Miller</t>
  </si>
  <si>
    <t>danielkarla@hotmail.com</t>
  </si>
  <si>
    <t>PK-100356</t>
  </si>
  <si>
    <t>Makayla Davis</t>
  </si>
  <si>
    <t>rparker@gmail.com</t>
  </si>
  <si>
    <t>PK-100357</t>
  </si>
  <si>
    <t>Matthew Soto</t>
  </si>
  <si>
    <t>bonniemcdonald@yahoo.com</t>
  </si>
  <si>
    <t>PK-100358</t>
  </si>
  <si>
    <t>Andrea Lane</t>
  </si>
  <si>
    <t>colelisa@gmail.com</t>
  </si>
  <si>
    <t>PK-100359</t>
  </si>
  <si>
    <t>Leslie Crawford</t>
  </si>
  <si>
    <t>jonathanduffy@nelson-rojas.com</t>
  </si>
  <si>
    <t>PK-100360</t>
  </si>
  <si>
    <t>Cassidy Hicks</t>
  </si>
  <si>
    <t>mwilson@nichols.com</t>
  </si>
  <si>
    <t>PK-100361</t>
  </si>
  <si>
    <t>Aimee King</t>
  </si>
  <si>
    <t>qsmith@hotmail.com</t>
  </si>
  <si>
    <t>PK-100362</t>
  </si>
  <si>
    <t>Dr. Norma Lyons</t>
  </si>
  <si>
    <t>kristinagregory@mooney-wells.com</t>
  </si>
  <si>
    <t>PK-100363</t>
  </si>
  <si>
    <t>Adam Munoz</t>
  </si>
  <si>
    <t>lisataylor@hudson-lara.com</t>
  </si>
  <si>
    <t>PK-100364</t>
  </si>
  <si>
    <t>Keith Mills</t>
  </si>
  <si>
    <t>james16@carlson.com</t>
  </si>
  <si>
    <t>PK-100365</t>
  </si>
  <si>
    <t>Michael Edwards</t>
  </si>
  <si>
    <t>cgoodwin@gmail.com</t>
  </si>
  <si>
    <t>PK-100366</t>
  </si>
  <si>
    <t>Lynn Bradshaw</t>
  </si>
  <si>
    <t>robert23@gmail.com</t>
  </si>
  <si>
    <t>PK-100367</t>
  </si>
  <si>
    <t>Melanie Thompson</t>
  </si>
  <si>
    <t>jessica92@yahoo.com</t>
  </si>
  <si>
    <t>PK-100368</t>
  </si>
  <si>
    <t>Ryan Castillo</t>
  </si>
  <si>
    <t>kayla77@davenport.com</t>
  </si>
  <si>
    <t>PK-100369</t>
  </si>
  <si>
    <t>Kim Arias</t>
  </si>
  <si>
    <t>matthewwu@hotmail.com</t>
  </si>
  <si>
    <t>PK-100370</t>
  </si>
  <si>
    <t>Kara Gordon</t>
  </si>
  <si>
    <t>chapmanadam@carter.com</t>
  </si>
  <si>
    <t>PK-100371</t>
  </si>
  <si>
    <t>Lisa Brown</t>
  </si>
  <si>
    <t>michael93@yahoo.com</t>
  </si>
  <si>
    <t>PK-100372</t>
  </si>
  <si>
    <t>Christina Mcdonald</t>
  </si>
  <si>
    <t>william09@landry-moran.org</t>
  </si>
  <si>
    <t>PK-100373</t>
  </si>
  <si>
    <t>Joseph Brewer</t>
  </si>
  <si>
    <t>agordon@gmail.com</t>
  </si>
  <si>
    <t>PK-100374</t>
  </si>
  <si>
    <t>Alex Davis</t>
  </si>
  <si>
    <t>ashley40@gmail.com</t>
  </si>
  <si>
    <t>PK-100375</t>
  </si>
  <si>
    <t>Gary Franco</t>
  </si>
  <si>
    <t>enorton@nelson.com</t>
  </si>
  <si>
    <t>PK-100376</t>
  </si>
  <si>
    <t>Nicholas Quinn</t>
  </si>
  <si>
    <t>larsenrichard@gonzalez-smith.com</t>
  </si>
  <si>
    <t>PK-100377</t>
  </si>
  <si>
    <t>Daniel Kaiser</t>
  </si>
  <si>
    <t>jjohnson@hotmail.com</t>
  </si>
  <si>
    <t>PK-100378</t>
  </si>
  <si>
    <t>April Leon</t>
  </si>
  <si>
    <t>susanwhite@yahoo.com</t>
  </si>
  <si>
    <t>PK-100379</t>
  </si>
  <si>
    <t>Cathy Mccarty</t>
  </si>
  <si>
    <t>nlane@hotmail.com</t>
  </si>
  <si>
    <t>PK-100380</t>
  </si>
  <si>
    <t>Tracy Warner</t>
  </si>
  <si>
    <t>johnharvey@henderson-lewis.com</t>
  </si>
  <si>
    <t>PK-100381</t>
  </si>
  <si>
    <t>Victoria Moore</t>
  </si>
  <si>
    <t>hughestimothy@herrera.com</t>
  </si>
  <si>
    <t>PK-100382</t>
  </si>
  <si>
    <t>Sarah Dunn</t>
  </si>
  <si>
    <t>heather08@gmail.com</t>
  </si>
  <si>
    <t>PK-100383</t>
  </si>
  <si>
    <t>Michael Griffin</t>
  </si>
  <si>
    <t>hallzachary@gmail.com</t>
  </si>
  <si>
    <t>PK-100384</t>
  </si>
  <si>
    <t>hsmith@gmail.com</t>
  </si>
  <si>
    <t>PK-100385</t>
  </si>
  <si>
    <t>Misty Potts</t>
  </si>
  <si>
    <t>brianjones@hotmail.com</t>
  </si>
  <si>
    <t>PK-100386</t>
  </si>
  <si>
    <t>Tommy Thomas</t>
  </si>
  <si>
    <t>cameron70@williams-miller.com</t>
  </si>
  <si>
    <t>PK-100387</t>
  </si>
  <si>
    <t>Michael Richards</t>
  </si>
  <si>
    <t>nicoletaylor@lowe.biz</t>
  </si>
  <si>
    <t>PK-100388</t>
  </si>
  <si>
    <t>Paul Nelson</t>
  </si>
  <si>
    <t>ogardner@miller.net</t>
  </si>
  <si>
    <t>PK-100389</t>
  </si>
  <si>
    <t>Kara Cummings</t>
  </si>
  <si>
    <t>mlowery@bradshaw-davila.info</t>
  </si>
  <si>
    <t>PK-100390</t>
  </si>
  <si>
    <t>Kristin Huynh</t>
  </si>
  <si>
    <t>joshuawilson@gmail.com</t>
  </si>
  <si>
    <t>PK-100391</t>
  </si>
  <si>
    <t>Amanda Douglas</t>
  </si>
  <si>
    <t>perezkim@yahoo.com</t>
  </si>
  <si>
    <t>PK-100392</t>
  </si>
  <si>
    <t>Donald Alvarado</t>
  </si>
  <si>
    <t>rosesabrina@hotmail.com</t>
  </si>
  <si>
    <t>PK-100393</t>
  </si>
  <si>
    <t>Michael Powell</t>
  </si>
  <si>
    <t>tyler17@henson.com</t>
  </si>
  <si>
    <t>PK-100394</t>
  </si>
  <si>
    <t>Brett Watson</t>
  </si>
  <si>
    <t>pholland@yahoo.com</t>
  </si>
  <si>
    <t>PK-100395</t>
  </si>
  <si>
    <t>Savannah Dorsey</t>
  </si>
  <si>
    <t>luis79@gmail.com</t>
  </si>
  <si>
    <t>PK-100396</t>
  </si>
  <si>
    <t>Tracy Parker</t>
  </si>
  <si>
    <t>rtaylor@gmail.com</t>
  </si>
  <si>
    <t>PK-100397</t>
  </si>
  <si>
    <t>Manuel Murray</t>
  </si>
  <si>
    <t>smithantonio@gmail.com</t>
  </si>
  <si>
    <t>PK-100398</t>
  </si>
  <si>
    <t>Brittany Wise</t>
  </si>
  <si>
    <t>nflowers@yahoo.com</t>
  </si>
  <si>
    <t>PK-100399</t>
  </si>
  <si>
    <t>Raymond Allen</t>
  </si>
  <si>
    <t>fyoung@gmail.com</t>
  </si>
  <si>
    <t>PK-100400</t>
  </si>
  <si>
    <t>Patrick Johnson</t>
  </si>
  <si>
    <t>john21@evans.biz</t>
  </si>
  <si>
    <t>PK-100401</t>
  </si>
  <si>
    <t>Dustin Cruz</t>
  </si>
  <si>
    <t>williamshort@gmail.com</t>
  </si>
  <si>
    <t>PK-100402</t>
  </si>
  <si>
    <t>Amy Cross</t>
  </si>
  <si>
    <t>susanwebb@smith-butler.info</t>
  </si>
  <si>
    <t>PK-100403</t>
  </si>
  <si>
    <t>Lauren Ramirez DDS</t>
  </si>
  <si>
    <t>martinlaurie@king-bautista.com</t>
  </si>
  <si>
    <t>PK-100404</t>
  </si>
  <si>
    <t>Theresa Ball</t>
  </si>
  <si>
    <t>tammy80@thompson.biz</t>
  </si>
  <si>
    <t>PK-100405</t>
  </si>
  <si>
    <t>Donald Cunningham</t>
  </si>
  <si>
    <t>irodriguez@gmail.com</t>
  </si>
  <si>
    <t>PK-100406</t>
  </si>
  <si>
    <t>Isaac Phillips</t>
  </si>
  <si>
    <t>chapmanjames@yahoo.com</t>
  </si>
  <si>
    <t>PK-100407</t>
  </si>
  <si>
    <t>Laura Deleon</t>
  </si>
  <si>
    <t>reynoldsheather@galvan.com</t>
  </si>
  <si>
    <t>PK-100408</t>
  </si>
  <si>
    <t>John George</t>
  </si>
  <si>
    <t>johnsonalec@robinson.com</t>
  </si>
  <si>
    <t>PK-100409</t>
  </si>
  <si>
    <t>Lindsey Singleton</t>
  </si>
  <si>
    <t>malikwilliams@levy.com</t>
  </si>
  <si>
    <t>PK-100410</t>
  </si>
  <si>
    <t>Ashley Beltran</t>
  </si>
  <si>
    <t>mmitchell@hotmail.com</t>
  </si>
  <si>
    <t>PK-100411</t>
  </si>
  <si>
    <t>Mark Taylor</t>
  </si>
  <si>
    <t>umaldonado@hotmail.com</t>
  </si>
  <si>
    <t>PK-100412</t>
  </si>
  <si>
    <t>Sara Moore</t>
  </si>
  <si>
    <t>qwashington@yahoo.com</t>
  </si>
  <si>
    <t>PK-100413</t>
  </si>
  <si>
    <t>Michelle Clayton</t>
  </si>
  <si>
    <t>marc60@yahoo.com</t>
  </si>
  <si>
    <t>PK-100414</t>
  </si>
  <si>
    <t>Erin Wiley</t>
  </si>
  <si>
    <t>elizabeth09@hotmail.com</t>
  </si>
  <si>
    <t>PK-100415</t>
  </si>
  <si>
    <t>Brian Garrett</t>
  </si>
  <si>
    <t>matthewcarlson@gmail.com</t>
  </si>
  <si>
    <t>PK-100416</t>
  </si>
  <si>
    <t>Deanna Thomas</t>
  </si>
  <si>
    <t>kjensen@ward.net</t>
  </si>
  <si>
    <t>PK-100417</t>
  </si>
  <si>
    <t>Toni Anderson</t>
  </si>
  <si>
    <t>john99@gmail.com</t>
  </si>
  <si>
    <t>PK-100418</t>
  </si>
  <si>
    <t>Mary Wiley</t>
  </si>
  <si>
    <t>kristen92@hotmail.com</t>
  </si>
  <si>
    <t>PK-100419</t>
  </si>
  <si>
    <t>Lauren Fitzpatrick</t>
  </si>
  <si>
    <t>ymorton@yahoo.com</t>
  </si>
  <si>
    <t>PK-100420</t>
  </si>
  <si>
    <t>Marc Flores</t>
  </si>
  <si>
    <t>robert55@yahoo.com</t>
  </si>
  <si>
    <t>PK-100421</t>
  </si>
  <si>
    <t>Justin Moore</t>
  </si>
  <si>
    <t>christopheralexander@thomas.info</t>
  </si>
  <si>
    <t>PK-100422</t>
  </si>
  <si>
    <t>Samantha Mccormick</t>
  </si>
  <si>
    <t>katelyn97@yahoo.com</t>
  </si>
  <si>
    <t>PK-100423</t>
  </si>
  <si>
    <t>Stephanie Wagner</t>
  </si>
  <si>
    <t>christina36@hotmail.com</t>
  </si>
  <si>
    <t>PK-100424</t>
  </si>
  <si>
    <t>Melanie Gardner</t>
  </si>
  <si>
    <t>kim42@cooper.com</t>
  </si>
  <si>
    <t>PK-100425</t>
  </si>
  <si>
    <t>Marissa Wilson</t>
  </si>
  <si>
    <t>diane70@hotmail.com</t>
  </si>
  <si>
    <t>PK-100426</t>
  </si>
  <si>
    <t>Sean Johnson</t>
  </si>
  <si>
    <t>wmiller@edwards.com</t>
  </si>
  <si>
    <t>PK-100427</t>
  </si>
  <si>
    <t>Catherine Lee</t>
  </si>
  <si>
    <t>loweryan@molina.org</t>
  </si>
  <si>
    <t>PK-100428</t>
  </si>
  <si>
    <t>Wesley Graham</t>
  </si>
  <si>
    <t>richardbanks@yahoo.com</t>
  </si>
  <si>
    <t>PK-100429</t>
  </si>
  <si>
    <t>David Vaughn</t>
  </si>
  <si>
    <t>pmeza@simmons.com</t>
  </si>
  <si>
    <t>PK-100430</t>
  </si>
  <si>
    <t>Jacqueline Buchanan</t>
  </si>
  <si>
    <t>carolynmontgomery@hotmail.com</t>
  </si>
  <si>
    <t>PK-100431</t>
  </si>
  <si>
    <t>Vicki Perry</t>
  </si>
  <si>
    <t>scottvazquez@yahoo.com</t>
  </si>
  <si>
    <t>PK-100432</t>
  </si>
  <si>
    <t>Alison Lindsey</t>
  </si>
  <si>
    <t>hahnlonnie@jones.info</t>
  </si>
  <si>
    <t>PK-100433</t>
  </si>
  <si>
    <t>Michele Johnson</t>
  </si>
  <si>
    <t>victoria00@gmail.com</t>
  </si>
  <si>
    <t>PK-100434</t>
  </si>
  <si>
    <t>Christina Bailey</t>
  </si>
  <si>
    <t>dtaylor@gmail.com</t>
  </si>
  <si>
    <t>PK-100435</t>
  </si>
  <si>
    <t>Michael Mcdonald</t>
  </si>
  <si>
    <t>angela66@hotmail.com</t>
  </si>
  <si>
    <t>PK-100436</t>
  </si>
  <si>
    <t>Darrell Reynolds</t>
  </si>
  <si>
    <t>rodneynelson@gmail.com</t>
  </si>
  <si>
    <t>PK-100437</t>
  </si>
  <si>
    <t>Deborah Wood</t>
  </si>
  <si>
    <t>huertasharon@yahoo.com</t>
  </si>
  <si>
    <t>PK-100438</t>
  </si>
  <si>
    <t>John Green</t>
  </si>
  <si>
    <t>stephenlopez@hotmail.com</t>
  </si>
  <si>
    <t>PK-100439</t>
  </si>
  <si>
    <t>Jared Jenkins</t>
  </si>
  <si>
    <t>vprice@olsen.com</t>
  </si>
  <si>
    <t>PK-100440</t>
  </si>
  <si>
    <t>Christine Wilson</t>
  </si>
  <si>
    <t>samanthajacobson@yahoo.com</t>
  </si>
  <si>
    <t>PK-100441</t>
  </si>
  <si>
    <t>Chelsea Baker</t>
  </si>
  <si>
    <t>christopherlewis@cohen-oliver.com</t>
  </si>
  <si>
    <t>PK-100442</t>
  </si>
  <si>
    <t>David Mckenzie</t>
  </si>
  <si>
    <t>aguilarvanessa@king-miranda.com</t>
  </si>
  <si>
    <t>PK-100443</t>
  </si>
  <si>
    <t>Amber Holland</t>
  </si>
  <si>
    <t>murrayjoshua@williams.com</t>
  </si>
  <si>
    <t>PK-100444</t>
  </si>
  <si>
    <t>Lauren Graham</t>
  </si>
  <si>
    <t>erin52@hotmail.com</t>
  </si>
  <si>
    <t>PK-100445</t>
  </si>
  <si>
    <t>Madeline Rice</t>
  </si>
  <si>
    <t>johnhiggins@yahoo.com</t>
  </si>
  <si>
    <t>PK-100446</t>
  </si>
  <si>
    <t>Nancy Greene</t>
  </si>
  <si>
    <t>courtney28@yahoo.com</t>
  </si>
  <si>
    <t>PK-100447</t>
  </si>
  <si>
    <t>Kathy Mcdaniel</t>
  </si>
  <si>
    <t>cheyennepittman@yahoo.com</t>
  </si>
  <si>
    <t>PK-100448</t>
  </si>
  <si>
    <t>Charles Wright</t>
  </si>
  <si>
    <t>lori13@gmail.com</t>
  </si>
  <si>
    <t>PK-100449</t>
  </si>
  <si>
    <t>Amy Stuart</t>
  </si>
  <si>
    <t>angela47@gmail.com</t>
  </si>
  <si>
    <t>PK-100450</t>
  </si>
  <si>
    <t>Alexander Cruz</t>
  </si>
  <si>
    <t>gmartinez@christian.org</t>
  </si>
  <si>
    <t>PK-100451</t>
  </si>
  <si>
    <t>John Davis</t>
  </si>
  <si>
    <t>jonathanrichard@brown.org</t>
  </si>
  <si>
    <t>PK-100452</t>
  </si>
  <si>
    <t>Michael Paul</t>
  </si>
  <si>
    <t>msullivan@yahoo.com</t>
  </si>
  <si>
    <t>PK-100453</t>
  </si>
  <si>
    <t>James Barrett</t>
  </si>
  <si>
    <t>moondevin@bennett-sanchez.info</t>
  </si>
  <si>
    <t>PK-100454</t>
  </si>
  <si>
    <t>Krista Meyer</t>
  </si>
  <si>
    <t>sanchezlindsay@gmail.com</t>
  </si>
  <si>
    <t>PK-100455</t>
  </si>
  <si>
    <t>Stephanie Campbell</t>
  </si>
  <si>
    <t>anncooper@watson-cowan.info</t>
  </si>
  <si>
    <t>PK-100456</t>
  </si>
  <si>
    <t>Leslie Brown</t>
  </si>
  <si>
    <t>joshuacole@mathews.org</t>
  </si>
  <si>
    <t>PK-100457</t>
  </si>
  <si>
    <t>Chloe Gilbert</t>
  </si>
  <si>
    <t>croy@black.com</t>
  </si>
  <si>
    <t>PK-100458</t>
  </si>
  <si>
    <t>Mark Miller</t>
  </si>
  <si>
    <t>heather45@bell.com</t>
  </si>
  <si>
    <t>PK-100459</t>
  </si>
  <si>
    <t>Mark Warner</t>
  </si>
  <si>
    <t>devin96@gmail.com</t>
  </si>
  <si>
    <t>PK-100460</t>
  </si>
  <si>
    <t>Kristen Ball</t>
  </si>
  <si>
    <t>albertadams@escobar-frank.com</t>
  </si>
  <si>
    <t>PK-100461</t>
  </si>
  <si>
    <t>Shawn Johnson</t>
  </si>
  <si>
    <t>keith84@smith.biz</t>
  </si>
  <si>
    <t>PK-100462</t>
  </si>
  <si>
    <t>Jack Baker</t>
  </si>
  <si>
    <t>dwood@hoffman.com</t>
  </si>
  <si>
    <t>PK-100463</t>
  </si>
  <si>
    <t>Steve Rodriguez</t>
  </si>
  <si>
    <t>pearsonmiguel@hunter.com</t>
  </si>
  <si>
    <t>PK-100464</t>
  </si>
  <si>
    <t>Anthony Cordova</t>
  </si>
  <si>
    <t>vpollard@hotmail.com</t>
  </si>
  <si>
    <t>PK-100465</t>
  </si>
  <si>
    <t>Tracie Hancock</t>
  </si>
  <si>
    <t>gonzalessusan@graves-nielsen.com</t>
  </si>
  <si>
    <t>PK-100466</t>
  </si>
  <si>
    <t>Megan Bennett</t>
  </si>
  <si>
    <t>james19@gmail.com</t>
  </si>
  <si>
    <t>PK-100467</t>
  </si>
  <si>
    <t>Jamie Patterson</t>
  </si>
  <si>
    <t>paultaylor@perez-moses.com</t>
  </si>
  <si>
    <t>PK-100468</t>
  </si>
  <si>
    <t>April Jones</t>
  </si>
  <si>
    <t>mary13@yahoo.com</t>
  </si>
  <si>
    <t>PK-100469</t>
  </si>
  <si>
    <t>Steven White</t>
  </si>
  <si>
    <t>joshua42@hotmail.com</t>
  </si>
  <si>
    <t>PK-100470</t>
  </si>
  <si>
    <t>Samuel Jones</t>
  </si>
  <si>
    <t>ymiller@schwartz.biz</t>
  </si>
  <si>
    <t>PK-100471</t>
  </si>
  <si>
    <t>Mr. Juan Walsh</t>
  </si>
  <si>
    <t>mayjohn@yahoo.com</t>
  </si>
  <si>
    <t>PK-100472</t>
  </si>
  <si>
    <t>Douglas Phillips</t>
  </si>
  <si>
    <t>thompsonmark@hotmail.com</t>
  </si>
  <si>
    <t>PK-100473</t>
  </si>
  <si>
    <t>Vincent Lewis</t>
  </si>
  <si>
    <t>zdougherty@yahoo.com</t>
  </si>
  <si>
    <t>PK-100474</t>
  </si>
  <si>
    <t>Michelle Owens</t>
  </si>
  <si>
    <t>ohamilton@gmail.com</t>
  </si>
  <si>
    <t>PK-100475</t>
  </si>
  <si>
    <t>Latoya Robinson</t>
  </si>
  <si>
    <t>christensenalexander@moon-bradshaw.com</t>
  </si>
  <si>
    <t>PK-100476</t>
  </si>
  <si>
    <t>Brian Griffith</t>
  </si>
  <si>
    <t>juliesummers@diaz.com</t>
  </si>
  <si>
    <t>PK-100477</t>
  </si>
  <si>
    <t>Lori Estrada</t>
  </si>
  <si>
    <t>bruce74@gmail.com</t>
  </si>
  <si>
    <t>PK-100478</t>
  </si>
  <si>
    <t>Tammy Davis</t>
  </si>
  <si>
    <t>tsims@hall-johnson.com</t>
  </si>
  <si>
    <t>PK-100479</t>
  </si>
  <si>
    <t>Angel Young</t>
  </si>
  <si>
    <t>richardhaas@hotmail.com</t>
  </si>
  <si>
    <t>PK-100480</t>
  </si>
  <si>
    <t>Patricia Walton MD</t>
  </si>
  <si>
    <t>sydneyrojas@gmail.com</t>
  </si>
  <si>
    <t>PK-100481</t>
  </si>
  <si>
    <t>Jason Fisher</t>
  </si>
  <si>
    <t>danielwoodard@gmail.com</t>
  </si>
  <si>
    <t>PK-100482</t>
  </si>
  <si>
    <t>Brian Thomas</t>
  </si>
  <si>
    <t>sanchezchristopher@hotmail.com</t>
  </si>
  <si>
    <t>PK-100483</t>
  </si>
  <si>
    <t>Johnathan King</t>
  </si>
  <si>
    <t>kbishop@yahoo.com</t>
  </si>
  <si>
    <t>PK-100484</t>
  </si>
  <si>
    <t>David Boyd</t>
  </si>
  <si>
    <t>vwebb@stuart.org</t>
  </si>
  <si>
    <t>PK-100485</t>
  </si>
  <si>
    <t>Alicia Acosta</t>
  </si>
  <si>
    <t>jallen@gmail.com</t>
  </si>
  <si>
    <t>PK-100486</t>
  </si>
  <si>
    <t>Anthony Mitchell DDS</t>
  </si>
  <si>
    <t>taylorelizabeth@gmail.com</t>
  </si>
  <si>
    <t>PK-100487</t>
  </si>
  <si>
    <t>Melissa Yoder</t>
  </si>
  <si>
    <t>mendezaaron@yahoo.com</t>
  </si>
  <si>
    <t>PK-100488</t>
  </si>
  <si>
    <t>Michael Campbell</t>
  </si>
  <si>
    <t>peteravery@johnston.com</t>
  </si>
  <si>
    <t>PK-100489</t>
  </si>
  <si>
    <t>Paul Jordan</t>
  </si>
  <si>
    <t>marcthompson@gmail.com</t>
  </si>
  <si>
    <t>PK-100490</t>
  </si>
  <si>
    <t>Laura Hudson</t>
  </si>
  <si>
    <t>mcgrathjacqueline@evans.com</t>
  </si>
  <si>
    <t>PK-100491</t>
  </si>
  <si>
    <t>Daniel Lewis</t>
  </si>
  <si>
    <t>hhernandez@cooper-thompson.com</t>
  </si>
  <si>
    <t>PK-100492</t>
  </si>
  <si>
    <t>Kevin Baker</t>
  </si>
  <si>
    <t>zmckee@schmitt.info</t>
  </si>
  <si>
    <t>PK-100493</t>
  </si>
  <si>
    <t>Lydia Bryan</t>
  </si>
  <si>
    <t>manuel59@hotmail.com</t>
  </si>
  <si>
    <t>PK-100494</t>
  </si>
  <si>
    <t>Randy Foster</t>
  </si>
  <si>
    <t>gordonnicole@faulkner-bennett.org</t>
  </si>
  <si>
    <t>PK-100495</t>
  </si>
  <si>
    <t>Ricardo Vazquez</t>
  </si>
  <si>
    <t>walkerjacqueline@whitaker.com</t>
  </si>
  <si>
    <t>PK-100496</t>
  </si>
  <si>
    <t>Rebecca Wright</t>
  </si>
  <si>
    <t>amy61@gregory.com</t>
  </si>
  <si>
    <t>PK-100497</t>
  </si>
  <si>
    <t>Edwin Griffin</t>
  </si>
  <si>
    <t>hernandezjuan@hotmail.com</t>
  </si>
  <si>
    <t>PK-100498</t>
  </si>
  <si>
    <t>Danny Lee</t>
  </si>
  <si>
    <t>mcguireangela@vega.com</t>
  </si>
  <si>
    <t>PK-100499</t>
  </si>
  <si>
    <t>Andrew Powers</t>
  </si>
  <si>
    <t>dhanson@yahoo.com</t>
  </si>
  <si>
    <t>PK-100500</t>
  </si>
  <si>
    <t>Valerie James</t>
  </si>
  <si>
    <t>petersselena@yahoo.com</t>
  </si>
  <si>
    <t>PK-100501</t>
  </si>
  <si>
    <t>Monica Moore</t>
  </si>
  <si>
    <t>suttonstephen@yahoo.com</t>
  </si>
  <si>
    <t>PK-100502</t>
  </si>
  <si>
    <t>Crystal Duke</t>
  </si>
  <si>
    <t>jonesanthony@gmail.com</t>
  </si>
  <si>
    <t>PK-100503</t>
  </si>
  <si>
    <t>Christopher Reyes</t>
  </si>
  <si>
    <t>qfitzpatrick@ramos.com</t>
  </si>
  <si>
    <t>PK-100504</t>
  </si>
  <si>
    <t>Robert Brown</t>
  </si>
  <si>
    <t>jacobmonroe@reese.biz</t>
  </si>
  <si>
    <t>PK-100505</t>
  </si>
  <si>
    <t>Marissa Hunter</t>
  </si>
  <si>
    <t>connieallen@chapman-holland.com</t>
  </si>
  <si>
    <t>PK-100506</t>
  </si>
  <si>
    <t>John Williams</t>
  </si>
  <si>
    <t>zparrish@gmail.com</t>
  </si>
  <si>
    <t>PK-100507</t>
  </si>
  <si>
    <t>Brian Jones</t>
  </si>
  <si>
    <t>bbutler@hotmail.com</t>
  </si>
  <si>
    <t>PK-100508</t>
  </si>
  <si>
    <t>Kim King</t>
  </si>
  <si>
    <t>matthewdaniels@fox.net</t>
  </si>
  <si>
    <t>PK-100509</t>
  </si>
  <si>
    <t>Karen Benton</t>
  </si>
  <si>
    <t>brandonjones@lopez-smith.com</t>
  </si>
  <si>
    <t>PK-100510</t>
  </si>
  <si>
    <t>Clayton Williams</t>
  </si>
  <si>
    <t>paula12@mcintosh-weiss.com</t>
  </si>
  <si>
    <t>PK-100511</t>
  </si>
  <si>
    <t>Christian Schmidt</t>
  </si>
  <si>
    <t>pamelaalvarez@yahoo.com</t>
  </si>
  <si>
    <t>PK-100512</t>
  </si>
  <si>
    <t>Emily Smith</t>
  </si>
  <si>
    <t>kpowers@frey.com</t>
  </si>
  <si>
    <t>PK-100513</t>
  </si>
  <si>
    <t>Shawn Strickland</t>
  </si>
  <si>
    <t>craigbean@hotmail.com</t>
  </si>
  <si>
    <t>PK-100514</t>
  </si>
  <si>
    <t>Janet Keller</t>
  </si>
  <si>
    <t>shannonroberto@hotmail.com</t>
  </si>
  <si>
    <t>PK-100515</t>
  </si>
  <si>
    <t>Susan Kirby</t>
  </si>
  <si>
    <t>cmitchell@yahoo.com</t>
  </si>
  <si>
    <t>PK-100516</t>
  </si>
  <si>
    <t>Amanda Reese</t>
  </si>
  <si>
    <t>sramirez@yahoo.com</t>
  </si>
  <si>
    <t>PK-100517</t>
  </si>
  <si>
    <t>Matthew Howell</t>
  </si>
  <si>
    <t>droman@mann.com</t>
  </si>
  <si>
    <t>PK-100518</t>
  </si>
  <si>
    <t>Shawn Holloway</t>
  </si>
  <si>
    <t>cynthiamartinez@gmail.com</t>
  </si>
  <si>
    <t>PK-100519</t>
  </si>
  <si>
    <t>cherylfrank@ross.com</t>
  </si>
  <si>
    <t>PK-100520</t>
  </si>
  <si>
    <t>Ryan Wilson</t>
  </si>
  <si>
    <t>steven69@rivera.com</t>
  </si>
  <si>
    <t>PK-100521</t>
  </si>
  <si>
    <t>Christy Mcfarland</t>
  </si>
  <si>
    <t>devon82@gmail.com</t>
  </si>
  <si>
    <t>PK-100522</t>
  </si>
  <si>
    <t>Donald Gutierrez</t>
  </si>
  <si>
    <t>daviswilliam@gmail.com</t>
  </si>
  <si>
    <t>PK-100523</t>
  </si>
  <si>
    <t>David Harris</t>
  </si>
  <si>
    <t>vperry@smith.com</t>
  </si>
  <si>
    <t>PK-100524</t>
  </si>
  <si>
    <t>Michael Conley</t>
  </si>
  <si>
    <t>hhill@gmail.com</t>
  </si>
  <si>
    <t>PK-100525</t>
  </si>
  <si>
    <t>Christian Johnson</t>
  </si>
  <si>
    <t>crawfordbrian@hotmail.com</t>
  </si>
  <si>
    <t>PK-100526</t>
  </si>
  <si>
    <t>Ruth Marshall</t>
  </si>
  <si>
    <t>christian91@hotmail.com</t>
  </si>
  <si>
    <t>PK-100527</t>
  </si>
  <si>
    <t>Briana Sanchez</t>
  </si>
  <si>
    <t>peterwarren@gmail.com</t>
  </si>
  <si>
    <t>PK-100528</t>
  </si>
  <si>
    <t>Linda Davis</t>
  </si>
  <si>
    <t>henrywillie@stone.com</t>
  </si>
  <si>
    <t>PK-100529</t>
  </si>
  <si>
    <t>Jessica Butler</t>
  </si>
  <si>
    <t>david41@wallace-morris.com</t>
  </si>
  <si>
    <t>PK-100530</t>
  </si>
  <si>
    <t>Rachel Donovan</t>
  </si>
  <si>
    <t>wcarson@fowler.info</t>
  </si>
  <si>
    <t>PK-100531</t>
  </si>
  <si>
    <t>Michael Mccarthy</t>
  </si>
  <si>
    <t>davidreed@mack.com</t>
  </si>
  <si>
    <t>PK-100532</t>
  </si>
  <si>
    <t>Richard Burns</t>
  </si>
  <si>
    <t>john44@gmail.com</t>
  </si>
  <si>
    <t>PK-100533</t>
  </si>
  <si>
    <t>Anthony Fletcher</t>
  </si>
  <si>
    <t>jonesrebecca@williams.com</t>
  </si>
  <si>
    <t>PK-100534</t>
  </si>
  <si>
    <t>Kristen Knight</t>
  </si>
  <si>
    <t>ychurch@mann-franklin.com</t>
  </si>
  <si>
    <t>PK-100535</t>
  </si>
  <si>
    <t>Preston Cruz</t>
  </si>
  <si>
    <t>burnscurtis@hotmail.com</t>
  </si>
  <si>
    <t>PK-100536</t>
  </si>
  <si>
    <t>Jasmin Sims</t>
  </si>
  <si>
    <t>rlarson@gmail.com</t>
  </si>
  <si>
    <t>PK-100537</t>
  </si>
  <si>
    <t>Cory Curtis</t>
  </si>
  <si>
    <t>hendersonlatoya@hotmail.com</t>
  </si>
  <si>
    <t>PK-100538</t>
  </si>
  <si>
    <t>John Wallace</t>
  </si>
  <si>
    <t>christy21@cunningham.org</t>
  </si>
  <si>
    <t>PK-100539</t>
  </si>
  <si>
    <t>Steven Kelley</t>
  </si>
  <si>
    <t>kimhernandez@hotmail.com</t>
  </si>
  <si>
    <t>PK-100540</t>
  </si>
  <si>
    <t>Joe Park</t>
  </si>
  <si>
    <t>phillipmyers@jenkins.com</t>
  </si>
  <si>
    <t>PK-100541</t>
  </si>
  <si>
    <t>Jessica Estrada</t>
  </si>
  <si>
    <t>rebecca76@yahoo.com</t>
  </si>
  <si>
    <t>PK-100542</t>
  </si>
  <si>
    <t>Julie Barajas</t>
  </si>
  <si>
    <t>garykim@yahoo.com</t>
  </si>
  <si>
    <t>PK-100543</t>
  </si>
  <si>
    <t>Mitchell Gray</t>
  </si>
  <si>
    <t>kingtaylor@simmons-guerrero.com</t>
  </si>
  <si>
    <t>PK-100544</t>
  </si>
  <si>
    <t>Cody Houston</t>
  </si>
  <si>
    <t>kristahaas@stevenson.info</t>
  </si>
  <si>
    <t>PK-100545</t>
  </si>
  <si>
    <t>Deborah Strickland</t>
  </si>
  <si>
    <t>gonzalezkerri@hotmail.com</t>
  </si>
  <si>
    <t>PK-100546</t>
  </si>
  <si>
    <t>Tiffany Vance</t>
  </si>
  <si>
    <t>scotttimothy@hill.com</t>
  </si>
  <si>
    <t>PK-100547</t>
  </si>
  <si>
    <t>Kristin Weiss</t>
  </si>
  <si>
    <t>lbentley@marshall.net</t>
  </si>
  <si>
    <t>PK-100548</t>
  </si>
  <si>
    <t>James Larson</t>
  </si>
  <si>
    <t>burnsmichelle@jackson-harper.info</t>
  </si>
  <si>
    <t>PK-100549</t>
  </si>
  <si>
    <t>Kristen Chang</t>
  </si>
  <si>
    <t>stonewalter@robinson.com</t>
  </si>
  <si>
    <t>PK-100550</t>
  </si>
  <si>
    <t>Colleen Medina</t>
  </si>
  <si>
    <t>leslieparrish@greene.com</t>
  </si>
  <si>
    <t>PK-100551</t>
  </si>
  <si>
    <t>Natasha Carlson</t>
  </si>
  <si>
    <t>anthonybarrett@glenn-murillo.biz</t>
  </si>
  <si>
    <t>PK-100552</t>
  </si>
  <si>
    <t>Matthew Shaw</t>
  </si>
  <si>
    <t>hkennedy@harrington.biz</t>
  </si>
  <si>
    <t>PK-100553</t>
  </si>
  <si>
    <t>Robert Lowe</t>
  </si>
  <si>
    <t>fdaniel@chen.com</t>
  </si>
  <si>
    <t>PK-100554</t>
  </si>
  <si>
    <t>Charles Guerrero</t>
  </si>
  <si>
    <t>adamjones@wilcox-johnson.net</t>
  </si>
  <si>
    <t>PK-100555</t>
  </si>
  <si>
    <t>Daniel Rogers</t>
  </si>
  <si>
    <t>valerie07@erickson-rodriguez.com</t>
  </si>
  <si>
    <t>PK-100556</t>
  </si>
  <si>
    <t>breannaspencer@brooks-hurley.com</t>
  </si>
  <si>
    <t>PK-100557</t>
  </si>
  <si>
    <t>Kristina Hawkins</t>
  </si>
  <si>
    <t>hallcorey@rivera.org</t>
  </si>
  <si>
    <t>PK-100558</t>
  </si>
  <si>
    <t>Christopher Cook</t>
  </si>
  <si>
    <t>irodriguez@hotmail.com</t>
  </si>
  <si>
    <t>PK-100559</t>
  </si>
  <si>
    <t>Barbara Thompson</t>
  </si>
  <si>
    <t>glenn28@thompson.info</t>
  </si>
  <si>
    <t>PK-100560</t>
  </si>
  <si>
    <t>Jessica Watts</t>
  </si>
  <si>
    <t>oking@pittman-ramirez.com</t>
  </si>
  <si>
    <t>PK-100561</t>
  </si>
  <si>
    <t>Pamela Ponce</t>
  </si>
  <si>
    <t>ksparks@yahoo.com</t>
  </si>
  <si>
    <t>PK-100562</t>
  </si>
  <si>
    <t>Gregory Hart</t>
  </si>
  <si>
    <t>sandra19@gmail.com</t>
  </si>
  <si>
    <t>PK-100563</t>
  </si>
  <si>
    <t>John Hernandez</t>
  </si>
  <si>
    <t>igilbert@hotmail.com</t>
  </si>
  <si>
    <t>PK-100564</t>
  </si>
  <si>
    <t>Julie Dorsey</t>
  </si>
  <si>
    <t>vasquezlinda@davis-preston.com</t>
  </si>
  <si>
    <t>PK-100565</t>
  </si>
  <si>
    <t>Holly Richardson</t>
  </si>
  <si>
    <t>bernardmichele@jones-cisneros.info</t>
  </si>
  <si>
    <t>PK-100566</t>
  </si>
  <si>
    <t>Terri Wolf</t>
  </si>
  <si>
    <t>willistyler@mayer.net</t>
  </si>
  <si>
    <t>PK-100567</t>
  </si>
  <si>
    <t>Carly Mata</t>
  </si>
  <si>
    <t>beanjohn@yahoo.com</t>
  </si>
  <si>
    <t>PK-100568</t>
  </si>
  <si>
    <t>Steven Savage</t>
  </si>
  <si>
    <t>pameladuran@reyes.com</t>
  </si>
  <si>
    <t>PK-100569</t>
  </si>
  <si>
    <t>Rachel Sims</t>
  </si>
  <si>
    <t>garciadawn@long.com</t>
  </si>
  <si>
    <t>PK-100570</t>
  </si>
  <si>
    <t>David Underwood</t>
  </si>
  <si>
    <t>moraleskimberly@cook.com</t>
  </si>
  <si>
    <t>PK-100571</t>
  </si>
  <si>
    <t>Caitlyn Green</t>
  </si>
  <si>
    <t>gabriellahardy@cummings.com</t>
  </si>
  <si>
    <t>PK-100572</t>
  </si>
  <si>
    <t>Joseph Warren</t>
  </si>
  <si>
    <t>tbaker@yahoo.com</t>
  </si>
  <si>
    <t>PK-100573</t>
  </si>
  <si>
    <t>Deanna Obrien</t>
  </si>
  <si>
    <t>nataliepatterson@garcia-porter.com</t>
  </si>
  <si>
    <t>PK-100574</t>
  </si>
  <si>
    <t>Annette Rose</t>
  </si>
  <si>
    <t>durhamharold@gonzalez.com</t>
  </si>
  <si>
    <t>PK-100575</t>
  </si>
  <si>
    <t>Jason Bell</t>
  </si>
  <si>
    <t>lauren23@hotmail.com</t>
  </si>
  <si>
    <t>PK-100576</t>
  </si>
  <si>
    <t>Craig Mooney</t>
  </si>
  <si>
    <t>ggray@yahoo.com</t>
  </si>
  <si>
    <t>PK-100577</t>
  </si>
  <si>
    <t>Steven Smith</t>
  </si>
  <si>
    <t>allisonroberts@yahoo.com</t>
  </si>
  <si>
    <t>PK-100578</t>
  </si>
  <si>
    <t>Michael Garcia</t>
  </si>
  <si>
    <t>smithtonya@holder-hutchinson.com</t>
  </si>
  <si>
    <t>PK-100579</t>
  </si>
  <si>
    <t>Robert Kelly</t>
  </si>
  <si>
    <t>yellis@yahoo.com</t>
  </si>
  <si>
    <t>PK-100580</t>
  </si>
  <si>
    <t>Michelle Richard</t>
  </si>
  <si>
    <t>larsonlisa@johnson.com</t>
  </si>
  <si>
    <t>PK-100581</t>
  </si>
  <si>
    <t>Timothy Bowman</t>
  </si>
  <si>
    <t>billy96@gonzalez.com</t>
  </si>
  <si>
    <t>PK-100582</t>
  </si>
  <si>
    <t>Jonathan Olson</t>
  </si>
  <si>
    <t>cindymartinez@hotmail.com</t>
  </si>
  <si>
    <t>PK-100583</t>
  </si>
  <si>
    <t>Laura Ryan</t>
  </si>
  <si>
    <t>aaronkeller@hotmail.com</t>
  </si>
  <si>
    <t>PK-100584</t>
  </si>
  <si>
    <t>Darren Barrett</t>
  </si>
  <si>
    <t>shannon71@frazier-dixon.net</t>
  </si>
  <si>
    <t>PK-100585</t>
  </si>
  <si>
    <t>Johnny Delgado</t>
  </si>
  <si>
    <t>mark83@yahoo.com</t>
  </si>
  <si>
    <t>PK-100586</t>
  </si>
  <si>
    <t>Mark Lyons</t>
  </si>
  <si>
    <t>elloyd@yahoo.com</t>
  </si>
  <si>
    <t>PK-100587</t>
  </si>
  <si>
    <t>Eddie Williams</t>
  </si>
  <si>
    <t>xcoleman@ramirez-gibson.com</t>
  </si>
  <si>
    <t>PK-100588</t>
  </si>
  <si>
    <t>Tracey Gomez</t>
  </si>
  <si>
    <t>ahowell@estes-hancock.com</t>
  </si>
  <si>
    <t>PK-100589</t>
  </si>
  <si>
    <t>Angela Smith</t>
  </si>
  <si>
    <t>jessicaortega@hayden.info</t>
  </si>
  <si>
    <t>PK-100590</t>
  </si>
  <si>
    <t>Dylan Fleming</t>
  </si>
  <si>
    <t>craighernandez@robinson.com</t>
  </si>
  <si>
    <t>PK-100591</t>
  </si>
  <si>
    <t>Jeffrey Butler</t>
  </si>
  <si>
    <t>tammybennett@scott.com</t>
  </si>
  <si>
    <t>PK-100592</t>
  </si>
  <si>
    <t>Kristi Sullivan</t>
  </si>
  <si>
    <t>lewisbrittney@hotmail.com</t>
  </si>
  <si>
    <t>PK-100593</t>
  </si>
  <si>
    <t>Stephen Smith</t>
  </si>
  <si>
    <t>cwilliams@yahoo.com</t>
  </si>
  <si>
    <t>PK-100594</t>
  </si>
  <si>
    <t>Trevor Walters</t>
  </si>
  <si>
    <t>duncanmichael@yahoo.com</t>
  </si>
  <si>
    <t>PK-100595</t>
  </si>
  <si>
    <t>Jeremy Graves</t>
  </si>
  <si>
    <t>lawsonkathleen@hotmail.com</t>
  </si>
  <si>
    <t>PK-100596</t>
  </si>
  <si>
    <t>Judy Mcdaniel</t>
  </si>
  <si>
    <t>gateslaurie@hotmail.com</t>
  </si>
  <si>
    <t>PK-100597</t>
  </si>
  <si>
    <t>Mark Mcknight</t>
  </si>
  <si>
    <t>mhanson@yahoo.com</t>
  </si>
  <si>
    <t>PK-100598</t>
  </si>
  <si>
    <t>Dana Mejia</t>
  </si>
  <si>
    <t>kathy83@gmail.com</t>
  </si>
  <si>
    <t>PK-100599</t>
  </si>
  <si>
    <t>Devon Moreno</t>
  </si>
  <si>
    <t>collieramanda@hotmail.com</t>
  </si>
  <si>
    <t>PK-100600</t>
  </si>
  <si>
    <t>Zachary James</t>
  </si>
  <si>
    <t>david83@smith.com</t>
  </si>
  <si>
    <t>PK-100601</t>
  </si>
  <si>
    <t>David White</t>
  </si>
  <si>
    <t>jesseevans@camacho.info</t>
  </si>
  <si>
    <t>PK-100602</t>
  </si>
  <si>
    <t>Yvette Cox</t>
  </si>
  <si>
    <t>pachecoshaun@hawkins-marshall.biz</t>
  </si>
  <si>
    <t>PK-100603</t>
  </si>
  <si>
    <t>Dana Barron</t>
  </si>
  <si>
    <t>jasontorres@hotmail.com</t>
  </si>
  <si>
    <t>PK-100604</t>
  </si>
  <si>
    <t>Daniel Zamora</t>
  </si>
  <si>
    <t>ariel81@case.com</t>
  </si>
  <si>
    <t>PK-100605</t>
  </si>
  <si>
    <t>Shirley Diaz</t>
  </si>
  <si>
    <t>mathisangela@lawson-chambers.com</t>
  </si>
  <si>
    <t>PK-100606</t>
  </si>
  <si>
    <t>Joel Alvarez MD</t>
  </si>
  <si>
    <t>ywillis@hotmail.com</t>
  </si>
  <si>
    <t>PK-100607</t>
  </si>
  <si>
    <t>Lauren Willis</t>
  </si>
  <si>
    <t>debradickerson@rocha.com</t>
  </si>
  <si>
    <t>PK-100608</t>
  </si>
  <si>
    <t>William Bennett</t>
  </si>
  <si>
    <t>rortega@hotmail.com</t>
  </si>
  <si>
    <t>PK-100609</t>
  </si>
  <si>
    <t>Michael Bowman Jr.</t>
  </si>
  <si>
    <t>kdavis@yahoo.com</t>
  </si>
  <si>
    <t>PK-100610</t>
  </si>
  <si>
    <t>Richard Clark</t>
  </si>
  <si>
    <t>forbesanna@yahoo.com</t>
  </si>
  <si>
    <t>PK-100611</t>
  </si>
  <si>
    <t>Michael Holmes</t>
  </si>
  <si>
    <t>charles44@phillips.com</t>
  </si>
  <si>
    <t>PK-100612</t>
  </si>
  <si>
    <t>Christina Esparza</t>
  </si>
  <si>
    <t>campbellrobert@johnson.com</t>
  </si>
  <si>
    <t>PK-100613</t>
  </si>
  <si>
    <t>Angela Obrien</t>
  </si>
  <si>
    <t>wadeangela@hotmail.com</t>
  </si>
  <si>
    <t>PK-100614</t>
  </si>
  <si>
    <t>Zachary Durham</t>
  </si>
  <si>
    <t>jaimebarry@meyers-campos.com</t>
  </si>
  <si>
    <t>PK-100615</t>
  </si>
  <si>
    <t>Victoria Jones</t>
  </si>
  <si>
    <t>wilsonchristopher@morris.com</t>
  </si>
  <si>
    <t>PK-100616</t>
  </si>
  <si>
    <t>Melissa Davis</t>
  </si>
  <si>
    <t>bellscott@gmail.com</t>
  </si>
  <si>
    <t>PK-100617</t>
  </si>
  <si>
    <t>Jeffery Hensley</t>
  </si>
  <si>
    <t>rodriguezjames@gmail.com</t>
  </si>
  <si>
    <t>PK-100618</t>
  </si>
  <si>
    <t>Daniel Frank</t>
  </si>
  <si>
    <t>pollardcarlos@gmail.com</t>
  </si>
  <si>
    <t>PK-100619</t>
  </si>
  <si>
    <t>Jennifer Perez MD</t>
  </si>
  <si>
    <t>dixonjulie@hotmail.com</t>
  </si>
  <si>
    <t>PK-100620</t>
  </si>
  <si>
    <t>Marissa Campbell</t>
  </si>
  <si>
    <t>knightsteven@fischer.com</t>
  </si>
  <si>
    <t>PK-100621</t>
  </si>
  <si>
    <t>Erin Pham</t>
  </si>
  <si>
    <t>kelsey61@gmail.com</t>
  </si>
  <si>
    <t>PK-100622</t>
  </si>
  <si>
    <t>Christie Wyatt</t>
  </si>
  <si>
    <t>oduncan@wood.com</t>
  </si>
  <si>
    <t>PK-100623</t>
  </si>
  <si>
    <t>Monique Robinson</t>
  </si>
  <si>
    <t>rosekimberly@nguyen.com</t>
  </si>
  <si>
    <t>PK-100624</t>
  </si>
  <si>
    <t>Lisa Green</t>
  </si>
  <si>
    <t>nicholas06@hotmail.com</t>
  </si>
  <si>
    <t>PK-100625</t>
  </si>
  <si>
    <t>Anthony Duarte</t>
  </si>
  <si>
    <t>jwu@griffin-jordan.com</t>
  </si>
  <si>
    <t>PK-100626</t>
  </si>
  <si>
    <t>Kimberly Smith</t>
  </si>
  <si>
    <t>khall@carter.org</t>
  </si>
  <si>
    <t>PK-100627</t>
  </si>
  <si>
    <t>Jeffrey Brown</t>
  </si>
  <si>
    <t>whunt@hotmail.com</t>
  </si>
  <si>
    <t>PK-100628</t>
  </si>
  <si>
    <t>Charles Stone</t>
  </si>
  <si>
    <t>martinezjeffery@fisher.com</t>
  </si>
  <si>
    <t>PK-100629</t>
  </si>
  <si>
    <t>Amanda Reyes</t>
  </si>
  <si>
    <t>william59@gmail.com</t>
  </si>
  <si>
    <t>PK-100630</t>
  </si>
  <si>
    <t>Shelly Mann</t>
  </si>
  <si>
    <t>qgomez@gmail.com</t>
  </si>
  <si>
    <t>PK-100631</t>
  </si>
  <si>
    <t>Lori Miller</t>
  </si>
  <si>
    <t>cole79@hotmail.com</t>
  </si>
  <si>
    <t>PK-100632</t>
  </si>
  <si>
    <t>Ashley Castillo</t>
  </si>
  <si>
    <t>zbutler@brooks.com</t>
  </si>
  <si>
    <t>PK-100633</t>
  </si>
  <si>
    <t>Michael Coleman</t>
  </si>
  <si>
    <t>williamcarroll@glenn-thompson.com</t>
  </si>
  <si>
    <t>PK-100634</t>
  </si>
  <si>
    <t>Kelly Smith</t>
  </si>
  <si>
    <t>gstephens@morrison.com</t>
  </si>
  <si>
    <t>PK-100635</t>
  </si>
  <si>
    <t>Laura Cruz</t>
  </si>
  <si>
    <t>laurie96@simpson.com</t>
  </si>
  <si>
    <t>PK-100636</t>
  </si>
  <si>
    <t>Suzanne Doyle</t>
  </si>
  <si>
    <t>pleonard@yahoo.com</t>
  </si>
  <si>
    <t>PK-100637</t>
  </si>
  <si>
    <t>Rebecca Berry</t>
  </si>
  <si>
    <t>etaylor@yahoo.com</t>
  </si>
  <si>
    <t>PK-100638</t>
  </si>
  <si>
    <t>Natalie Mcknight</t>
  </si>
  <si>
    <t>emily69@gmail.com</t>
  </si>
  <si>
    <t>PK-100639</t>
  </si>
  <si>
    <t>Veronica Jones</t>
  </si>
  <si>
    <t>pyates@campbell-orozco.info</t>
  </si>
  <si>
    <t>PK-100640</t>
  </si>
  <si>
    <t>Danielle Smith</t>
  </si>
  <si>
    <t>christopher47@gmail.com</t>
  </si>
  <si>
    <t>PK-100641</t>
  </si>
  <si>
    <t>Danielle Santiago</t>
  </si>
  <si>
    <t>anna86@peters.com</t>
  </si>
  <si>
    <t>PK-100642</t>
  </si>
  <si>
    <t>Ashley Small</t>
  </si>
  <si>
    <t>ujohnson@hotmail.com</t>
  </si>
  <si>
    <t>PK-100643</t>
  </si>
  <si>
    <t>Michael Nelson</t>
  </si>
  <si>
    <t>taraali@hall-ortiz.com</t>
  </si>
  <si>
    <t>PK-100644</t>
  </si>
  <si>
    <t>Lawrence Brown</t>
  </si>
  <si>
    <t>scottwilkinson@castillo.biz</t>
  </si>
  <si>
    <t>PK-100645</t>
  </si>
  <si>
    <t>Tammy Fisher</t>
  </si>
  <si>
    <t>tfoster@yahoo.com</t>
  </si>
  <si>
    <t>PK-100646</t>
  </si>
  <si>
    <t>Joseph Waters</t>
  </si>
  <si>
    <t>stacybyrd@robinson-lawson.com</t>
  </si>
  <si>
    <t>PK-100647</t>
  </si>
  <si>
    <t>Samuel Walker</t>
  </si>
  <si>
    <t>austin10@howard.biz</t>
  </si>
  <si>
    <t>PK-100648</t>
  </si>
  <si>
    <t>Rebekah Garza</t>
  </si>
  <si>
    <t>browngene@gmail.com</t>
  </si>
  <si>
    <t>PK-100649</t>
  </si>
  <si>
    <t>Karen Wagner</t>
  </si>
  <si>
    <t>ericowens@hotmail.com</t>
  </si>
  <si>
    <t>PK-100650</t>
  </si>
  <si>
    <t>Tara Williams</t>
  </si>
  <si>
    <t>lpayne@gmail.com</t>
  </si>
  <si>
    <t>PK-100651</t>
  </si>
  <si>
    <t>Benjamin Roberts</t>
  </si>
  <si>
    <t>alicia21@smith-sherman.com</t>
  </si>
  <si>
    <t>PK-100652</t>
  </si>
  <si>
    <t>Seth Hansen</t>
  </si>
  <si>
    <t>bairdjulie@yahoo.com</t>
  </si>
  <si>
    <t>PK-100653</t>
  </si>
  <si>
    <t>Sarah Davis</t>
  </si>
  <si>
    <t>stephaniehampton@yahoo.com</t>
  </si>
  <si>
    <t>PK-100654</t>
  </si>
  <si>
    <t>Lisa Kennedy</t>
  </si>
  <si>
    <t>frank10@gmail.com</t>
  </si>
  <si>
    <t>PK-100655</t>
  </si>
  <si>
    <t>Jesse Jones</t>
  </si>
  <si>
    <t>dianeberger@yahoo.com</t>
  </si>
  <si>
    <t>PK-100656</t>
  </si>
  <si>
    <t>Valerie Costa</t>
  </si>
  <si>
    <t>zmaldonado@yahoo.com</t>
  </si>
  <si>
    <t>PK-100657</t>
  </si>
  <si>
    <t>Marcus Davenport</t>
  </si>
  <si>
    <t>colton86@gmail.com</t>
  </si>
  <si>
    <t>PK-100658</t>
  </si>
  <si>
    <t>Susan Nolan</t>
  </si>
  <si>
    <t>oparsons@jackson-smith.com</t>
  </si>
  <si>
    <t>PK-100659</t>
  </si>
  <si>
    <t>David Hall</t>
  </si>
  <si>
    <t>katherinecarlson@hotmail.com</t>
  </si>
  <si>
    <t>PK-100660</t>
  </si>
  <si>
    <t>Grant Bullock</t>
  </si>
  <si>
    <t>jeremiahrogers@chavez.biz</t>
  </si>
  <si>
    <t>PK-100661</t>
  </si>
  <si>
    <t>Tina Gallagher</t>
  </si>
  <si>
    <t>smithgabriela@clayton.com</t>
  </si>
  <si>
    <t>PK-100662</t>
  </si>
  <si>
    <t>Tina Rodriguez</t>
  </si>
  <si>
    <t>delgadojohn@smith-kim.com</t>
  </si>
  <si>
    <t>PK-100663</t>
  </si>
  <si>
    <t>Angel Turner</t>
  </si>
  <si>
    <t>william32@yahoo.com</t>
  </si>
  <si>
    <t>PK-100664</t>
  </si>
  <si>
    <t>Thomas Stewart</t>
  </si>
  <si>
    <t>msmith@rivers-bowman.com</t>
  </si>
  <si>
    <t>PK-100665</t>
  </si>
  <si>
    <t>Tanya Stevenson</t>
  </si>
  <si>
    <t>billywarren@williams.com</t>
  </si>
  <si>
    <t>PK-100666</t>
  </si>
  <si>
    <t>Terri Bowman</t>
  </si>
  <si>
    <t>mduncan@smith-thornton.info</t>
  </si>
  <si>
    <t>PK-100667</t>
  </si>
  <si>
    <t>Kerry Duran</t>
  </si>
  <si>
    <t>rebekahhill@meyer.com</t>
  </si>
  <si>
    <t>PK-100668</t>
  </si>
  <si>
    <t>Debra Ray</t>
  </si>
  <si>
    <t>jordancarter@bates.com</t>
  </si>
  <si>
    <t>PK-100669</t>
  </si>
  <si>
    <t>Angela Johnson</t>
  </si>
  <si>
    <t>brookstony@clark-becker.com</t>
  </si>
  <si>
    <t>PK-100670</t>
  </si>
  <si>
    <t>Kevin Spence</t>
  </si>
  <si>
    <t>bdavis@white.com</t>
  </si>
  <si>
    <t>PK-100671</t>
  </si>
  <si>
    <t>Casey Harris</t>
  </si>
  <si>
    <t>andrea41@hotmail.com</t>
  </si>
  <si>
    <t>PK-100672</t>
  </si>
  <si>
    <t>Joseph Cook</t>
  </si>
  <si>
    <t>gregorygregory@yahoo.com</t>
  </si>
  <si>
    <t>PK-100673</t>
  </si>
  <si>
    <t>Brianna Taylor</t>
  </si>
  <si>
    <t>richardsonkyle@waters.org</t>
  </si>
  <si>
    <t>PK-100674</t>
  </si>
  <si>
    <t>David Torres</t>
  </si>
  <si>
    <t>dmendoza@gmail.com</t>
  </si>
  <si>
    <t>PK-100675</t>
  </si>
  <si>
    <t>Karen Oneill</t>
  </si>
  <si>
    <t>vberger@yahoo.com</t>
  </si>
  <si>
    <t>PK-100676</t>
  </si>
  <si>
    <t>Jamie Spencer</t>
  </si>
  <si>
    <t>lauracooper@gmail.com</t>
  </si>
  <si>
    <t>PK-100677</t>
  </si>
  <si>
    <t>Maria Gross</t>
  </si>
  <si>
    <t>sara56@hotmail.com</t>
  </si>
  <si>
    <t>PK-100678</t>
  </si>
  <si>
    <t>Monica Harris</t>
  </si>
  <si>
    <t>hannah24@moreno-johnson.com</t>
  </si>
  <si>
    <t>PK-100679</t>
  </si>
  <si>
    <t>Christopher Freeman</t>
  </si>
  <si>
    <t>cwells@bean-hogan.org</t>
  </si>
  <si>
    <t>PK-100680</t>
  </si>
  <si>
    <t>Kristin Austin</t>
  </si>
  <si>
    <t>jill03@gonzalez-rivera.com</t>
  </si>
  <si>
    <t>PK-100681</t>
  </si>
  <si>
    <t>Joseph Lopez</t>
  </si>
  <si>
    <t>mosskevin@benitez.com</t>
  </si>
  <si>
    <t>PK-100682</t>
  </si>
  <si>
    <t>Thomas Johnson</t>
  </si>
  <si>
    <t>davidbrown@gonzalez.org</t>
  </si>
  <si>
    <t>PK-100683</t>
  </si>
  <si>
    <t>Danielle Ryan</t>
  </si>
  <si>
    <t>beckywright@alvarez.net</t>
  </si>
  <si>
    <t>PK-100684</t>
  </si>
  <si>
    <t>Dr. Alexis Alvarado</t>
  </si>
  <si>
    <t>morganamy@sanchez-horn.com</t>
  </si>
  <si>
    <t>PK-100685</t>
  </si>
  <si>
    <t>Jessica Zavala</t>
  </si>
  <si>
    <t>gordonkimberly@skinner.info</t>
  </si>
  <si>
    <t>PK-100686</t>
  </si>
  <si>
    <t>Dwayne Mora</t>
  </si>
  <si>
    <t>richard58@gmail.com</t>
  </si>
  <si>
    <t>PK-100687</t>
  </si>
  <si>
    <t>Christopher Stout</t>
  </si>
  <si>
    <t>bennetterik@price.net</t>
  </si>
  <si>
    <t>PK-100688</t>
  </si>
  <si>
    <t>Clifford Soto</t>
  </si>
  <si>
    <t>jessicaevans@larson.com</t>
  </si>
  <si>
    <t>PK-100689</t>
  </si>
  <si>
    <t>Mark Summers</t>
  </si>
  <si>
    <t>karen77@yahoo.com</t>
  </si>
  <si>
    <t>PK-100690</t>
  </si>
  <si>
    <t>Julie Hernandez</t>
  </si>
  <si>
    <t>hunterjennifer@edwards.com</t>
  </si>
  <si>
    <t>PK-100691</t>
  </si>
  <si>
    <t>Nicole Lopez</t>
  </si>
  <si>
    <t>ogordon@yahoo.com</t>
  </si>
  <si>
    <t>PK-100692</t>
  </si>
  <si>
    <t>Henry Peterson</t>
  </si>
  <si>
    <t>rodrigueznicole@yahoo.com</t>
  </si>
  <si>
    <t>PK-100693</t>
  </si>
  <si>
    <t>Jeff Rodriguez</t>
  </si>
  <si>
    <t>valentinedaniel@white.info</t>
  </si>
  <si>
    <t>PK-100694</t>
  </si>
  <si>
    <t>James Hernandez</t>
  </si>
  <si>
    <t>wheeleranthony@walton.com</t>
  </si>
  <si>
    <t>PK-100695</t>
  </si>
  <si>
    <t>Amanda Ballard</t>
  </si>
  <si>
    <t>michellebryant@washington.com</t>
  </si>
  <si>
    <t>PK-100696</t>
  </si>
  <si>
    <t>James Butler</t>
  </si>
  <si>
    <t>briggsjessica@yahoo.com</t>
  </si>
  <si>
    <t>PK-100697</t>
  </si>
  <si>
    <t>Shannon Brown</t>
  </si>
  <si>
    <t>anthonythomas@lopez.com</t>
  </si>
  <si>
    <t>PK-100698</t>
  </si>
  <si>
    <t>Michael Jacobs</t>
  </si>
  <si>
    <t>collinsbrad@beasley.net</t>
  </si>
  <si>
    <t>PK-100699</t>
  </si>
  <si>
    <t>Cynthia Hall</t>
  </si>
  <si>
    <t>tiffany74@gmail.com</t>
  </si>
  <si>
    <t>PK-100700</t>
  </si>
  <si>
    <t>Maria Graves</t>
  </si>
  <si>
    <t>jwatson@hotmail.com</t>
  </si>
  <si>
    <t>PK-100701</t>
  </si>
  <si>
    <t>Alexandra Irwin</t>
  </si>
  <si>
    <t>mark38@yahoo.com</t>
  </si>
  <si>
    <t>PK-100702</t>
  </si>
  <si>
    <t>Bailey Larsen</t>
  </si>
  <si>
    <t>christina65@yahoo.com</t>
  </si>
  <si>
    <t>PK-100703</t>
  </si>
  <si>
    <t>Zachary Hill</t>
  </si>
  <si>
    <t>clintonnorman@gmail.com</t>
  </si>
  <si>
    <t>PK-100704</t>
  </si>
  <si>
    <t>Thomas Shaw</t>
  </si>
  <si>
    <t>tneal@briggs.com</t>
  </si>
  <si>
    <t>PK-100705</t>
  </si>
  <si>
    <t>Alicia Stevens</t>
  </si>
  <si>
    <t>ysilva@williams.biz</t>
  </si>
  <si>
    <t>PK-100706</t>
  </si>
  <si>
    <t>Cynthia Martinez</t>
  </si>
  <si>
    <t>jasmine48@nash-rice.com</t>
  </si>
  <si>
    <t>PK-100707</t>
  </si>
  <si>
    <t>William Hill</t>
  </si>
  <si>
    <t>tammy45@paul.biz</t>
  </si>
  <si>
    <t>PK-100708</t>
  </si>
  <si>
    <t>Laura Garner</t>
  </si>
  <si>
    <t>emily61@yahoo.com</t>
  </si>
  <si>
    <t>PK-100709</t>
  </si>
  <si>
    <t>Jonathan Silva</t>
  </si>
  <si>
    <t>gomezbrian@olson-ward.com</t>
  </si>
  <si>
    <t>PK-100710</t>
  </si>
  <si>
    <t>Raymond Hernandez</t>
  </si>
  <si>
    <t>nicole84@yahoo.com</t>
  </si>
  <si>
    <t>PK-100711</t>
  </si>
  <si>
    <t>Melvin Smith</t>
  </si>
  <si>
    <t>davidhahn@yahoo.com</t>
  </si>
  <si>
    <t>PK-100712</t>
  </si>
  <si>
    <t>Jeffrey Griffin</t>
  </si>
  <si>
    <t>npoole@gmail.com</t>
  </si>
  <si>
    <t>PK-100713</t>
  </si>
  <si>
    <t>Cody White</t>
  </si>
  <si>
    <t>cwang@yahoo.com</t>
  </si>
  <si>
    <t>PK-100714</t>
  </si>
  <si>
    <t>Tina Baker MD</t>
  </si>
  <si>
    <t>natalie41@robinson-davis.com</t>
  </si>
  <si>
    <t>PK-100715</t>
  </si>
  <si>
    <t>Stacey Evans</t>
  </si>
  <si>
    <t>curtis58@yahoo.com</t>
  </si>
  <si>
    <t>PK-100716</t>
  </si>
  <si>
    <t>Denise Dunlap</t>
  </si>
  <si>
    <t>daniellesanders@gmail.com</t>
  </si>
  <si>
    <t>PK-100717</t>
  </si>
  <si>
    <t>Jesse Moore</t>
  </si>
  <si>
    <t>glenda45@hotmail.com</t>
  </si>
  <si>
    <t>PK-100718</t>
  </si>
  <si>
    <t>Caitlyn Silva</t>
  </si>
  <si>
    <t>castanedalinda@gmail.com</t>
  </si>
  <si>
    <t>PK-100719</t>
  </si>
  <si>
    <t>Mrs. Audrey Walker</t>
  </si>
  <si>
    <t>laraelizabeth@yahoo.com</t>
  </si>
  <si>
    <t>PK-100720</t>
  </si>
  <si>
    <t>Lindsey Walker DVM</t>
  </si>
  <si>
    <t>jasontyler@rios.info</t>
  </si>
  <si>
    <t>PK-100721</t>
  </si>
  <si>
    <t>Monica Liu</t>
  </si>
  <si>
    <t>stephensjacqueline@miles.com</t>
  </si>
  <si>
    <t>PK-100722</t>
  </si>
  <si>
    <t>Elaine Hernandez</t>
  </si>
  <si>
    <t>romeromaurice@thomas-nguyen.com</t>
  </si>
  <si>
    <t>PK-100723</t>
  </si>
  <si>
    <t>Sharon Middleton</t>
  </si>
  <si>
    <t>coleamanda@gmail.com</t>
  </si>
  <si>
    <t>PK-100724</t>
  </si>
  <si>
    <t>Jessica Freeman</t>
  </si>
  <si>
    <t>younganthony@farrell.org</t>
  </si>
  <si>
    <t>PK-100725</t>
  </si>
  <si>
    <t>Cindy Campbell</t>
  </si>
  <si>
    <t>masonmatthew@yahoo.com</t>
  </si>
  <si>
    <t>PK-100726</t>
  </si>
  <si>
    <t>rlevine@franklin.com</t>
  </si>
  <si>
    <t>PK-100727</t>
  </si>
  <si>
    <t>Daniel Woodard</t>
  </si>
  <si>
    <t>david47@wagner.com</t>
  </si>
  <si>
    <t>PK-100728</t>
  </si>
  <si>
    <t>Kevin Bishop</t>
  </si>
  <si>
    <t>davisvictoria@mendoza.com</t>
  </si>
  <si>
    <t>PK-100729</t>
  </si>
  <si>
    <t>Daniel Harvey</t>
  </si>
  <si>
    <t>michael99@hotmail.com</t>
  </si>
  <si>
    <t>PK-100730</t>
  </si>
  <si>
    <t>Mike Fletcher</t>
  </si>
  <si>
    <t>paulbradley@douglas.com</t>
  </si>
  <si>
    <t>PK-100731</t>
  </si>
  <si>
    <t>Andrea Evans</t>
  </si>
  <si>
    <t>wallchristina@dyer-lawson.com</t>
  </si>
  <si>
    <t>PK-100732</t>
  </si>
  <si>
    <t>John Suarez</t>
  </si>
  <si>
    <t>cynthia13@little.com</t>
  </si>
  <si>
    <t>PK-100733</t>
  </si>
  <si>
    <t>Monica Mayo</t>
  </si>
  <si>
    <t>kperkins@wallace-mills.org</t>
  </si>
  <si>
    <t>PK-100734</t>
  </si>
  <si>
    <t>Joseph Carter</t>
  </si>
  <si>
    <t>tracie23@yahoo.com</t>
  </si>
  <si>
    <t>PK-100735</t>
  </si>
  <si>
    <t>Michele Velez</t>
  </si>
  <si>
    <t>omcfarland@gmail.com</t>
  </si>
  <si>
    <t>PK-100736</t>
  </si>
  <si>
    <t>Carl Lyons</t>
  </si>
  <si>
    <t>aaronmoreno@hotmail.com</t>
  </si>
  <si>
    <t>PK-100737</t>
  </si>
  <si>
    <t>Brent Rollins</t>
  </si>
  <si>
    <t>kelleyjessica@hotmail.com</t>
  </si>
  <si>
    <t>PK-100738</t>
  </si>
  <si>
    <t>Charles Green</t>
  </si>
  <si>
    <t>nancyweaver@gmail.com</t>
  </si>
  <si>
    <t>PK-100739</t>
  </si>
  <si>
    <t>David Kirby</t>
  </si>
  <si>
    <t>obryant@hotmail.com</t>
  </si>
  <si>
    <t>PK-100740</t>
  </si>
  <si>
    <t>Samuel Collier</t>
  </si>
  <si>
    <t>pfox@gmail.com</t>
  </si>
  <si>
    <t>PK-100741</t>
  </si>
  <si>
    <t>Alan Morales</t>
  </si>
  <si>
    <t>millsdouglas@cooper.net</t>
  </si>
  <si>
    <t>PK-100742</t>
  </si>
  <si>
    <t>Margaret Ray</t>
  </si>
  <si>
    <t>foleybrianna@yahoo.com</t>
  </si>
  <si>
    <t>PK-100743</t>
  </si>
  <si>
    <t>Amanda Taylor</t>
  </si>
  <si>
    <t>clarktimothy@gmail.com</t>
  </si>
  <si>
    <t>PK-100744</t>
  </si>
  <si>
    <t>Cynthia Miller</t>
  </si>
  <si>
    <t>framos@hotmail.com</t>
  </si>
  <si>
    <t>PK-100745</t>
  </si>
  <si>
    <t>Wendy Pratt</t>
  </si>
  <si>
    <t>amberedwards@yahoo.com</t>
  </si>
  <si>
    <t>PK-100746</t>
  </si>
  <si>
    <t>Jason Owens</t>
  </si>
  <si>
    <t>kimberlyhernandez@hotmail.com</t>
  </si>
  <si>
    <t>PK-100747</t>
  </si>
  <si>
    <t>Brian Shelton</t>
  </si>
  <si>
    <t>abigailgonzalez@gmail.com</t>
  </si>
  <si>
    <t>PK-100748</t>
  </si>
  <si>
    <t>Ryan Williams</t>
  </si>
  <si>
    <t>timothy53@jones-cole.com</t>
  </si>
  <si>
    <t>PK-100749</t>
  </si>
  <si>
    <t>Michael Ross</t>
  </si>
  <si>
    <t>richard76@meadows.com</t>
  </si>
  <si>
    <t>PK-100750</t>
  </si>
  <si>
    <t>David Nielsen</t>
  </si>
  <si>
    <t>birdmichael@yahoo.com</t>
  </si>
  <si>
    <t>PK-100751</t>
  </si>
  <si>
    <t>Nancy Tate</t>
  </si>
  <si>
    <t>georgemercer@gmail.com</t>
  </si>
  <si>
    <t>PK-100752</t>
  </si>
  <si>
    <t>Carly Melton</t>
  </si>
  <si>
    <t>cynthiajones@hotmail.com</t>
  </si>
  <si>
    <t>PK-100753</t>
  </si>
  <si>
    <t>Troy Booth</t>
  </si>
  <si>
    <t>dustinlopez@gmail.com</t>
  </si>
  <si>
    <t>PK-100754</t>
  </si>
  <si>
    <t>Kerry Ortiz</t>
  </si>
  <si>
    <t>gcook@davis-smith.com</t>
  </si>
  <si>
    <t>PK-100755</t>
  </si>
  <si>
    <t>Brandy Lee</t>
  </si>
  <si>
    <t>laura52@yahoo.com</t>
  </si>
  <si>
    <t>PK-100756</t>
  </si>
  <si>
    <t>Kristen Robinson</t>
  </si>
  <si>
    <t>randy23@gmail.com</t>
  </si>
  <si>
    <t>PK-100757</t>
  </si>
  <si>
    <t>Carmen Warren</t>
  </si>
  <si>
    <t>melissabrown@hotmail.com</t>
  </si>
  <si>
    <t>PK-100758</t>
  </si>
  <si>
    <t>Christopher Franco</t>
  </si>
  <si>
    <t>jonesdonald@yahoo.com</t>
  </si>
  <si>
    <t>PK-100759</t>
  </si>
  <si>
    <t>Kristi Arellano MD</t>
  </si>
  <si>
    <t>znguyen@hotmail.com</t>
  </si>
  <si>
    <t>PK-100760</t>
  </si>
  <si>
    <t>Julia Foster</t>
  </si>
  <si>
    <t>wolfmatthew@ray-smith.com</t>
  </si>
  <si>
    <t>PK-100761</t>
  </si>
  <si>
    <t>Nathan Bentley</t>
  </si>
  <si>
    <t>glarson@yahoo.com</t>
  </si>
  <si>
    <t>PK-100762</t>
  </si>
  <si>
    <t>Christopher Johnson</t>
  </si>
  <si>
    <t>doris04@yahoo.com</t>
  </si>
  <si>
    <t>PK-100763</t>
  </si>
  <si>
    <t>Stephanie Miller</t>
  </si>
  <si>
    <t>brownreginald@gmail.com</t>
  </si>
  <si>
    <t>PK-100764</t>
  </si>
  <si>
    <t>Jeremy Kim</t>
  </si>
  <si>
    <t>keithtate@hotmail.com</t>
  </si>
  <si>
    <t>PK-100765</t>
  </si>
  <si>
    <t>Carl Rodriguez</t>
  </si>
  <si>
    <t>zgardner@yahoo.com</t>
  </si>
  <si>
    <t>PK-100766</t>
  </si>
  <si>
    <t>Ronald Lane</t>
  </si>
  <si>
    <t>elizabeth52@gibson-jones.com</t>
  </si>
  <si>
    <t>PK-100767</t>
  </si>
  <si>
    <t>Brittany Evans</t>
  </si>
  <si>
    <t>sean83@sweeney.net</t>
  </si>
  <si>
    <t>PK-100768</t>
  </si>
  <si>
    <t>Mary Diaz</t>
  </si>
  <si>
    <t>brian28@hotmail.com</t>
  </si>
  <si>
    <t>PK-100769</t>
  </si>
  <si>
    <t>Timothy Aguilar</t>
  </si>
  <si>
    <t>cheryl50@hensley-collins.com</t>
  </si>
  <si>
    <t>PK-100770</t>
  </si>
  <si>
    <t>April Hall</t>
  </si>
  <si>
    <t>brian39@rodriguez.com</t>
  </si>
  <si>
    <t>PK-100771</t>
  </si>
  <si>
    <t>Elizabeth Lopez</t>
  </si>
  <si>
    <t>jalvarez@yahoo.com</t>
  </si>
  <si>
    <t>PK-100772</t>
  </si>
  <si>
    <t>Angela Norman MD</t>
  </si>
  <si>
    <t>brooketucker@harris-lewis.net</t>
  </si>
  <si>
    <t>PK-100773</t>
  </si>
  <si>
    <t>Timothy Moore</t>
  </si>
  <si>
    <t>andrewstewart@townsend.biz</t>
  </si>
  <si>
    <t>PK-100774</t>
  </si>
  <si>
    <t>Rhonda Garrett</t>
  </si>
  <si>
    <t>thamilton@castillo.net</t>
  </si>
  <si>
    <t>PK-100775</t>
  </si>
  <si>
    <t>Brenda Anderson</t>
  </si>
  <si>
    <t>williamherrera@smith.info</t>
  </si>
  <si>
    <t>PK-100776</t>
  </si>
  <si>
    <t>Joseph Serrano</t>
  </si>
  <si>
    <t>antonio50@abbott.com</t>
  </si>
  <si>
    <t>PK-100777</t>
  </si>
  <si>
    <t>Michael Allen</t>
  </si>
  <si>
    <t>angela75@gmail.com</t>
  </si>
  <si>
    <t>PK-100778</t>
  </si>
  <si>
    <t>taylorjeffrey@gmail.com</t>
  </si>
  <si>
    <t>PK-100779</t>
  </si>
  <si>
    <t>Rebecca Brown</t>
  </si>
  <si>
    <t>joelschultz@coleman.info</t>
  </si>
  <si>
    <t>PK-100780</t>
  </si>
  <si>
    <t>Daniel Wilson</t>
  </si>
  <si>
    <t>hannahbell@jones-boyer.org</t>
  </si>
  <si>
    <t>PK-100781</t>
  </si>
  <si>
    <t>John Silva</t>
  </si>
  <si>
    <t>andersonadrian@yahoo.com</t>
  </si>
  <si>
    <t>PK-100782</t>
  </si>
  <si>
    <t>Blake Warren</t>
  </si>
  <si>
    <t>kim28@larsen.com</t>
  </si>
  <si>
    <t>PK-100783</t>
  </si>
  <si>
    <t>Kirsten Hayden</t>
  </si>
  <si>
    <t>wolfpeggy@yahoo.com</t>
  </si>
  <si>
    <t>PK-100784</t>
  </si>
  <si>
    <t>Jeffrey Joseph</t>
  </si>
  <si>
    <t>bmiranda@hotmail.com</t>
  </si>
  <si>
    <t>PK-100785</t>
  </si>
  <si>
    <t>Laura Morgan</t>
  </si>
  <si>
    <t>chavezlori@gonzales-brown.info</t>
  </si>
  <si>
    <t>PK-100786</t>
  </si>
  <si>
    <t>Kathryn Ray</t>
  </si>
  <si>
    <t>cjones@gmail.com</t>
  </si>
  <si>
    <t>PK-100787</t>
  </si>
  <si>
    <t>Anna Conley</t>
  </si>
  <si>
    <t>stephenjones@gmail.com</t>
  </si>
  <si>
    <t>PK-100788</t>
  </si>
  <si>
    <t>Patrick Cox</t>
  </si>
  <si>
    <t>jennifer99@lewis.com</t>
  </si>
  <si>
    <t>PK-100789</t>
  </si>
  <si>
    <t>Paul Contreras</t>
  </si>
  <si>
    <t>susan24@tucker.com</t>
  </si>
  <si>
    <t>PK-100790</t>
  </si>
  <si>
    <t>Steven Thomas</t>
  </si>
  <si>
    <t>svazquez@woodard-nunez.com</t>
  </si>
  <si>
    <t>PK-100791</t>
  </si>
  <si>
    <t>Timothy Price</t>
  </si>
  <si>
    <t>whitekatie@yahoo.com</t>
  </si>
  <si>
    <t>PK-100792</t>
  </si>
  <si>
    <t>Katie Payne</t>
  </si>
  <si>
    <t>owenspamela@gmail.com</t>
  </si>
  <si>
    <t>PK-100793</t>
  </si>
  <si>
    <t>Jack Ortiz</t>
  </si>
  <si>
    <t>jameslee@austin.com</t>
  </si>
  <si>
    <t>PK-100794</t>
  </si>
  <si>
    <t>Teresa Sims</t>
  </si>
  <si>
    <t>daltoncraig@kennedy.com</t>
  </si>
  <si>
    <t>PK-100795</t>
  </si>
  <si>
    <t>Helen Solis</t>
  </si>
  <si>
    <t>jillmyers@gmail.com</t>
  </si>
  <si>
    <t>PK-100796</t>
  </si>
  <si>
    <t>Andrew White</t>
  </si>
  <si>
    <t>wsalazar@yahoo.com</t>
  </si>
  <si>
    <t>PK-100797</t>
  </si>
  <si>
    <t>Alex Scott</t>
  </si>
  <si>
    <t>stephanie13@myers.net</t>
  </si>
  <si>
    <t>PK-100798</t>
  </si>
  <si>
    <t>Sarah Walker</t>
  </si>
  <si>
    <t>richard90@hotmail.com</t>
  </si>
  <si>
    <t>PK-100799</t>
  </si>
  <si>
    <t>Janet Zimmerman</t>
  </si>
  <si>
    <t>lthompson@arnold-stephens.org</t>
  </si>
  <si>
    <t>PK-100800</t>
  </si>
  <si>
    <t>Melvin Oliver</t>
  </si>
  <si>
    <t>pcantu@hotmail.com</t>
  </si>
  <si>
    <t>PK-100801</t>
  </si>
  <si>
    <t>Kimberly Davis</t>
  </si>
  <si>
    <t>jgonzalez@yahoo.com</t>
  </si>
  <si>
    <t>PK-100802</t>
  </si>
  <si>
    <t>Lori Reyes</t>
  </si>
  <si>
    <t>michaelgregory@smith.com</t>
  </si>
  <si>
    <t>PK-100803</t>
  </si>
  <si>
    <t>Mark Hicks</t>
  </si>
  <si>
    <t>mnguyen@may.info</t>
  </si>
  <si>
    <t>PK-100804</t>
  </si>
  <si>
    <t>John Holder</t>
  </si>
  <si>
    <t>cuevassavannah@hotmail.com</t>
  </si>
  <si>
    <t>PK-100805</t>
  </si>
  <si>
    <t>Peter Nguyen</t>
  </si>
  <si>
    <t>stephen71@gmail.com</t>
  </si>
  <si>
    <t>PK-100806</t>
  </si>
  <si>
    <t>Paul Palmer</t>
  </si>
  <si>
    <t>gwilliams@tyler.org</t>
  </si>
  <si>
    <t>PK-100807</t>
  </si>
  <si>
    <t>Ronnie Luna</t>
  </si>
  <si>
    <t>skim@hebert-kim.com</t>
  </si>
  <si>
    <t>PK-100808</t>
  </si>
  <si>
    <t>Tracy Mooney</t>
  </si>
  <si>
    <t>ojones@yahoo.com</t>
  </si>
  <si>
    <t>PK-100809</t>
  </si>
  <si>
    <t>Emily Scott</t>
  </si>
  <si>
    <t>iboyd@yahoo.com</t>
  </si>
  <si>
    <t>PK-100810</t>
  </si>
  <si>
    <t>Linda Williams</t>
  </si>
  <si>
    <t>beckytyler@hotmail.com</t>
  </si>
  <si>
    <t>PK-100811</t>
  </si>
  <si>
    <t>Karl Obrien</t>
  </si>
  <si>
    <t>xhammond@hotmail.com</t>
  </si>
  <si>
    <t>PK-100812</t>
  </si>
  <si>
    <t>Amanda Wood</t>
  </si>
  <si>
    <t>christopher11@lee.org</t>
  </si>
  <si>
    <t>PK-100813</t>
  </si>
  <si>
    <t>Rebecca Evans</t>
  </si>
  <si>
    <t>kelleymichael@gmail.com</t>
  </si>
  <si>
    <t>PK-100814</t>
  </si>
  <si>
    <t>John Gentry</t>
  </si>
  <si>
    <t>iperry@johnson.com</t>
  </si>
  <si>
    <t>PK-100815</t>
  </si>
  <si>
    <t>Shannon Lowe</t>
  </si>
  <si>
    <t>michael35@gmail.com</t>
  </si>
  <si>
    <t>PK-100816</t>
  </si>
  <si>
    <t>James Maldonado</t>
  </si>
  <si>
    <t>brian40@colon.biz</t>
  </si>
  <si>
    <t>PK-100817</t>
  </si>
  <si>
    <t>Cathy Diaz</t>
  </si>
  <si>
    <t>michellejohnson@brown.com</t>
  </si>
  <si>
    <t>PK-100818</t>
  </si>
  <si>
    <t>Amy Meyer</t>
  </si>
  <si>
    <t>steelebrooke@schaefer.com</t>
  </si>
  <si>
    <t>PK-100819</t>
  </si>
  <si>
    <t>Mark Hernandez</t>
  </si>
  <si>
    <t>james38@hunt.com</t>
  </si>
  <si>
    <t>PK-100820</t>
  </si>
  <si>
    <t>Louis Walker</t>
  </si>
  <si>
    <t>mpearson@yahoo.com</t>
  </si>
  <si>
    <t>PK-100821</t>
  </si>
  <si>
    <t>Ashley Smith</t>
  </si>
  <si>
    <t>aguilarstephen@hill.com</t>
  </si>
  <si>
    <t>PK-100822</t>
  </si>
  <si>
    <t>Julia Robinson</t>
  </si>
  <si>
    <t>cwerner@aguilar-hawkins.info</t>
  </si>
  <si>
    <t>PK-100823</t>
  </si>
  <si>
    <t>Debra Preston</t>
  </si>
  <si>
    <t>martinezsusan@french-thompson.info</t>
  </si>
  <si>
    <t>PK-100824</t>
  </si>
  <si>
    <t>Nicholas Lucas</t>
  </si>
  <si>
    <t>travis11@davis.com</t>
  </si>
  <si>
    <t>PK-100825</t>
  </si>
  <si>
    <t>April Payne</t>
  </si>
  <si>
    <t>qhowell@chen-taylor.info</t>
  </si>
  <si>
    <t>PK-100826</t>
  </si>
  <si>
    <t>Kristen Wilson</t>
  </si>
  <si>
    <t>holtisaiah@gmail.com</t>
  </si>
  <si>
    <t>PK-100827</t>
  </si>
  <si>
    <t>William Long</t>
  </si>
  <si>
    <t>brandy26@gmail.com</t>
  </si>
  <si>
    <t>PK-100828</t>
  </si>
  <si>
    <t>George Arnold</t>
  </si>
  <si>
    <t>davidmata@gmail.com</t>
  </si>
  <si>
    <t>PK-100829</t>
  </si>
  <si>
    <t>Megan Castro</t>
  </si>
  <si>
    <t>zmurillo@yahoo.com</t>
  </si>
  <si>
    <t>PK-100830</t>
  </si>
  <si>
    <t>Richard Johnson</t>
  </si>
  <si>
    <t>tina46@yahoo.com</t>
  </si>
  <si>
    <t>PK-100831</t>
  </si>
  <si>
    <t>Brittany Schultz</t>
  </si>
  <si>
    <t>yhicks@hotmail.com</t>
  </si>
  <si>
    <t>PK-100832</t>
  </si>
  <si>
    <t>Daniel Lopez Jr.</t>
  </si>
  <si>
    <t>egray@hotmail.com</t>
  </si>
  <si>
    <t>PK-100833</t>
  </si>
  <si>
    <t>Rachel Myers</t>
  </si>
  <si>
    <t>luis83@walker-hall.com</t>
  </si>
  <si>
    <t>PK-100834</t>
  </si>
  <si>
    <t>Melissa Simmons</t>
  </si>
  <si>
    <t>hoopermargaret@carter-petersen.com</t>
  </si>
  <si>
    <t>PK-100835</t>
  </si>
  <si>
    <t>Justin Smith</t>
  </si>
  <si>
    <t>baileymurray@gmail.com</t>
  </si>
  <si>
    <t>PK-100836</t>
  </si>
  <si>
    <t>Daniel Richardson</t>
  </si>
  <si>
    <t>mark10@gmail.com</t>
  </si>
  <si>
    <t>PK-100837</t>
  </si>
  <si>
    <t>Scott Bennett</t>
  </si>
  <si>
    <t>hicksamanda@ford-martin.com</t>
  </si>
  <si>
    <t>PK-100838</t>
  </si>
  <si>
    <t>Kelly Wyatt</t>
  </si>
  <si>
    <t>whobbs@valenzuela.com</t>
  </si>
  <si>
    <t>PK-100839</t>
  </si>
  <si>
    <t>Tanner Davila</t>
  </si>
  <si>
    <t>brittanymaddox@garcia.com</t>
  </si>
  <si>
    <t>PK-100840</t>
  </si>
  <si>
    <t>Christopher Matthews</t>
  </si>
  <si>
    <t>rileykim@hotmail.com</t>
  </si>
  <si>
    <t>PK-100841</t>
  </si>
  <si>
    <t>Veronica Lee</t>
  </si>
  <si>
    <t>teresaweaver@rodriguez.org</t>
  </si>
  <si>
    <t>PK-100842</t>
  </si>
  <si>
    <t>Calvin Thomas</t>
  </si>
  <si>
    <t>melanie59@powell.com</t>
  </si>
  <si>
    <t>PK-100843</t>
  </si>
  <si>
    <t>Kimberly White</t>
  </si>
  <si>
    <t>karenhogan@hotmail.com</t>
  </si>
  <si>
    <t>PK-100844</t>
  </si>
  <si>
    <t>Nicole Cantrell</t>
  </si>
  <si>
    <t>jimenezbrittany@martin.com</t>
  </si>
  <si>
    <t>PK-100845</t>
  </si>
  <si>
    <t>Mary Anderson</t>
  </si>
  <si>
    <t>kellymark@lopez-dennis.com</t>
  </si>
  <si>
    <t>PK-100846</t>
  </si>
  <si>
    <t>Phyllis Lewis</t>
  </si>
  <si>
    <t>melissa21@hotmail.com</t>
  </si>
  <si>
    <t>PK-100847</t>
  </si>
  <si>
    <t>Madison Williams</t>
  </si>
  <si>
    <t>hawkinsjay@baldwin.com</t>
  </si>
  <si>
    <t>PK-100848</t>
  </si>
  <si>
    <t>Michael Reed</t>
  </si>
  <si>
    <t>mccluremary@hernandez-walter.net</t>
  </si>
  <si>
    <t>PK-100849</t>
  </si>
  <si>
    <t>Lisa Larson</t>
  </si>
  <si>
    <t>ochoachristopher@robbins-smith.org</t>
  </si>
  <si>
    <t>PK-100850</t>
  </si>
  <si>
    <t>Gary Dominguez</t>
  </si>
  <si>
    <t>glovertonya@hotmail.com</t>
  </si>
  <si>
    <t>PK-100851</t>
  </si>
  <si>
    <t>Darren Stewart</t>
  </si>
  <si>
    <t>jennifer83@shepard.com</t>
  </si>
  <si>
    <t>PK-100852</t>
  </si>
  <si>
    <t>Angel Thornton</t>
  </si>
  <si>
    <t>griffithaaron@hotmail.com</t>
  </si>
  <si>
    <t>PK-100853</t>
  </si>
  <si>
    <t>Christopher Cruz</t>
  </si>
  <si>
    <t>hernandezerin@yahoo.com</t>
  </si>
  <si>
    <t>PK-100854</t>
  </si>
  <si>
    <t>Katherine Hood</t>
  </si>
  <si>
    <t>cynthiamendoza@hotmail.com</t>
  </si>
  <si>
    <t>PK-100855</t>
  </si>
  <si>
    <t>Katherine House</t>
  </si>
  <si>
    <t>robert47@yahoo.com</t>
  </si>
  <si>
    <t>PK-100856</t>
  </si>
  <si>
    <t>Nancy Jenkins</t>
  </si>
  <si>
    <t>joshuawalker@cummings.com</t>
  </si>
  <si>
    <t>PK-100857</t>
  </si>
  <si>
    <t>Melinda Chavez</t>
  </si>
  <si>
    <t>reneegonzalez@hotmail.com</t>
  </si>
  <si>
    <t>PK-100858</t>
  </si>
  <si>
    <t>Daniel Vang</t>
  </si>
  <si>
    <t>marksnow@barry.com</t>
  </si>
  <si>
    <t>PK-100859</t>
  </si>
  <si>
    <t>April Chandler</t>
  </si>
  <si>
    <t>robert68@gmail.com</t>
  </si>
  <si>
    <t>PK-100860</t>
  </si>
  <si>
    <t>Jorge Elliott</t>
  </si>
  <si>
    <t>gina53@gmail.com</t>
  </si>
  <si>
    <t>PK-100861</t>
  </si>
  <si>
    <t>Maria White</t>
  </si>
  <si>
    <t>valerie06@carter.com</t>
  </si>
  <si>
    <t>PK-100862</t>
  </si>
  <si>
    <t>Stephanie Ellis</t>
  </si>
  <si>
    <t>susancarter@hernandez.info</t>
  </si>
  <si>
    <t>PK-100863</t>
  </si>
  <si>
    <t>Raymond Fisher</t>
  </si>
  <si>
    <t>amy74@foster-anderson.com</t>
  </si>
  <si>
    <t>PK-100864</t>
  </si>
  <si>
    <t>Angela Lopez</t>
  </si>
  <si>
    <t>nvillegas@walker.com</t>
  </si>
  <si>
    <t>PK-100865</t>
  </si>
  <si>
    <t>Alexander Cooper</t>
  </si>
  <si>
    <t>chowell@hicks.com</t>
  </si>
  <si>
    <t>PK-100866</t>
  </si>
  <si>
    <t>Lori Baker</t>
  </si>
  <si>
    <t>roberthowell@ortiz.org</t>
  </si>
  <si>
    <t>PK-100867</t>
  </si>
  <si>
    <t>pduncan@yahoo.com</t>
  </si>
  <si>
    <t>PK-100868</t>
  </si>
  <si>
    <t>Lisa Thompson</t>
  </si>
  <si>
    <t>josephthomas@gmail.com</t>
  </si>
  <si>
    <t>PK-100869</t>
  </si>
  <si>
    <t>Megan Bright</t>
  </si>
  <si>
    <t>iavila@yahoo.com</t>
  </si>
  <si>
    <t>PK-100870</t>
  </si>
  <si>
    <t>Denise Barnes</t>
  </si>
  <si>
    <t>portega@kelley-erickson.org</t>
  </si>
  <si>
    <t>PK-100871</t>
  </si>
  <si>
    <t>Meghan Hernandez</t>
  </si>
  <si>
    <t>jamesbrown@silva-arellano.net</t>
  </si>
  <si>
    <t>PK-100872</t>
  </si>
  <si>
    <t>Stephanie Bennett</t>
  </si>
  <si>
    <t>davidthompson@copeland.info</t>
  </si>
  <si>
    <t>PK-100873</t>
  </si>
  <si>
    <t>Megan Allen</t>
  </si>
  <si>
    <t>nicholassnyder@yahoo.com</t>
  </si>
  <si>
    <t>PK-100874</t>
  </si>
  <si>
    <t>Thomas Perry</t>
  </si>
  <si>
    <t>garmstrong@yahoo.com</t>
  </si>
  <si>
    <t>PK-100875</t>
  </si>
  <si>
    <t>Michael Walker</t>
  </si>
  <si>
    <t>qmoody@yahoo.com</t>
  </si>
  <si>
    <t>PK-100876</t>
  </si>
  <si>
    <t>Carlos Daniel</t>
  </si>
  <si>
    <t>chavezdavid@yahoo.com</t>
  </si>
  <si>
    <t>PK-100877</t>
  </si>
  <si>
    <t>Erin Snow</t>
  </si>
  <si>
    <t>zorozco@sullivan.com</t>
  </si>
  <si>
    <t>PK-100878</t>
  </si>
  <si>
    <t>Jennifer Mitchell</t>
  </si>
  <si>
    <t>skinnerstephanie@hotmail.com</t>
  </si>
  <si>
    <t>PK-100879</t>
  </si>
  <si>
    <t>Brenda Wang</t>
  </si>
  <si>
    <t>brianross@hotmail.com</t>
  </si>
  <si>
    <t>PK-100880</t>
  </si>
  <si>
    <t>Courtney Alvarez</t>
  </si>
  <si>
    <t>nicoletorres@yahoo.com</t>
  </si>
  <si>
    <t>PK-100881</t>
  </si>
  <si>
    <t>Janet Edwards</t>
  </si>
  <si>
    <t>williamsjoanna@yahoo.com</t>
  </si>
  <si>
    <t>PK-100882</t>
  </si>
  <si>
    <t>Hector Sullivan</t>
  </si>
  <si>
    <t>sheppardsamantha@glover.com</t>
  </si>
  <si>
    <t>PK-100883</t>
  </si>
  <si>
    <t>Joel Guzman</t>
  </si>
  <si>
    <t>iesparza@cortez.info</t>
  </si>
  <si>
    <t>PK-100884</t>
  </si>
  <si>
    <t>Emily Walton</t>
  </si>
  <si>
    <t>robert49@watts-george.com</t>
  </si>
  <si>
    <t>PK-100885</t>
  </si>
  <si>
    <t>Brian Yang</t>
  </si>
  <si>
    <t>rileygrace@gmail.com</t>
  </si>
  <si>
    <t>PK-100886</t>
  </si>
  <si>
    <t>Nicole Taylor</t>
  </si>
  <si>
    <t>pmarquez@hotmail.com</t>
  </si>
  <si>
    <t>PK-100887</t>
  </si>
  <si>
    <t>Michael Peterson MD</t>
  </si>
  <si>
    <t>erica12@hotmail.com</t>
  </si>
  <si>
    <t>PK-100888</t>
  </si>
  <si>
    <t>Roberto King</t>
  </si>
  <si>
    <t>morganharrison@larsen.com</t>
  </si>
  <si>
    <t>PK-100889</t>
  </si>
  <si>
    <t>Gregory Walker</t>
  </si>
  <si>
    <t>thomastimothy@dawson.com</t>
  </si>
  <si>
    <t>PK-100890</t>
  </si>
  <si>
    <t>Denise Rodriguez</t>
  </si>
  <si>
    <t>jeffery26@gmail.com</t>
  </si>
  <si>
    <t>PK-100891</t>
  </si>
  <si>
    <t>Carmen Mcmahon</t>
  </si>
  <si>
    <t>xsimmons@stone.com</t>
  </si>
  <si>
    <t>PK-100892</t>
  </si>
  <si>
    <t>Leon Williamson</t>
  </si>
  <si>
    <t>uvaughan@wilson-robertson.com</t>
  </si>
  <si>
    <t>PK-100893</t>
  </si>
  <si>
    <t>Shannon Lee</t>
  </si>
  <si>
    <t>virginiawashington@white-lopez.org</t>
  </si>
  <si>
    <t>PK-100894</t>
  </si>
  <si>
    <t>Mark Silva</t>
  </si>
  <si>
    <t>fgiles@porter-ramirez.org</t>
  </si>
  <si>
    <t>PK-100895</t>
  </si>
  <si>
    <t>Angel Sanchez</t>
  </si>
  <si>
    <t>james83@hotmail.com</t>
  </si>
  <si>
    <t>PK-100896</t>
  </si>
  <si>
    <t>Jo Rowe</t>
  </si>
  <si>
    <t>christopherbrooks@lara.com</t>
  </si>
  <si>
    <t>PK-100897</t>
  </si>
  <si>
    <t>Shannon Thomas</t>
  </si>
  <si>
    <t>cobbdavid@jensen-brandt.org</t>
  </si>
  <si>
    <t>PK-100898</t>
  </si>
  <si>
    <t>Maria Mason</t>
  </si>
  <si>
    <t>gilbertbenjamin@gmail.com</t>
  </si>
  <si>
    <t>PK-100899</t>
  </si>
  <si>
    <t>Brian Reid</t>
  </si>
  <si>
    <t>friggs@hotmail.com</t>
  </si>
  <si>
    <t>PK-100900</t>
  </si>
  <si>
    <t>Sonya Torres</t>
  </si>
  <si>
    <t>nicholsoneric@russo.com</t>
  </si>
  <si>
    <t>PK-100901</t>
  </si>
  <si>
    <t>Rebekah Clarke</t>
  </si>
  <si>
    <t>jenniferrobles@wang-johnson.com</t>
  </si>
  <si>
    <t>PK-100902</t>
  </si>
  <si>
    <t>Brian Thornton</t>
  </si>
  <si>
    <t>jennifer21@thompson-edwards.com</t>
  </si>
  <si>
    <t>PK-100903</t>
  </si>
  <si>
    <t>Stephanie Taylor</t>
  </si>
  <si>
    <t>tbarnett@yahoo.com</t>
  </si>
  <si>
    <t>PK-100904</t>
  </si>
  <si>
    <t>Olivia Jones</t>
  </si>
  <si>
    <t>qlopez@poole.com</t>
  </si>
  <si>
    <t>PK-100905</t>
  </si>
  <si>
    <t>Nathan Herring</t>
  </si>
  <si>
    <t>kyle61@vaughn.com</t>
  </si>
  <si>
    <t>PK-100906</t>
  </si>
  <si>
    <t>Kimberly Davidson</t>
  </si>
  <si>
    <t>richardmclaughlin@hotmail.com</t>
  </si>
  <si>
    <t>PK-100907</t>
  </si>
  <si>
    <t>Shawn Ray</t>
  </si>
  <si>
    <t>gjones@gmail.com</t>
  </si>
  <si>
    <t>PK-100908</t>
  </si>
  <si>
    <t>Joseph Bowman</t>
  </si>
  <si>
    <t>kellersharon@hendrix-johnson.com</t>
  </si>
  <si>
    <t>PK-100909</t>
  </si>
  <si>
    <t>Claudia Kennedy</t>
  </si>
  <si>
    <t>ethanjohnson@campbell-warren.com</t>
  </si>
  <si>
    <t>PK-100910</t>
  </si>
  <si>
    <t>Perry Abbott</t>
  </si>
  <si>
    <t>michaelking@gmail.com</t>
  </si>
  <si>
    <t>PK-100911</t>
  </si>
  <si>
    <t>Tammy Jones</t>
  </si>
  <si>
    <t>debranash@crosby.com</t>
  </si>
  <si>
    <t>PK-100912</t>
  </si>
  <si>
    <t>Christine Griffin</t>
  </si>
  <si>
    <t>jenkinsjesus@gmail.com</t>
  </si>
  <si>
    <t>PK-100913</t>
  </si>
  <si>
    <t>Hannah Clark</t>
  </si>
  <si>
    <t>james08@moody-evans.com</t>
  </si>
  <si>
    <t>PK-100914</t>
  </si>
  <si>
    <t>Diane Bailey</t>
  </si>
  <si>
    <t>wjohnson@briggs.net</t>
  </si>
  <si>
    <t>PK-100915</t>
  </si>
  <si>
    <t>Molly Smith</t>
  </si>
  <si>
    <t>edwardskenneth@lyons-hall.net</t>
  </si>
  <si>
    <t>PK-100916</t>
  </si>
  <si>
    <t>Jordan Miller</t>
  </si>
  <si>
    <t>connor13@yahoo.com</t>
  </si>
  <si>
    <t>PK-100917</t>
  </si>
  <si>
    <t>Andrew Wright Jr.</t>
  </si>
  <si>
    <t>nataliewhitney@rivera-montgomery.com</t>
  </si>
  <si>
    <t>PK-100918</t>
  </si>
  <si>
    <t>Mr. James Erickson</t>
  </si>
  <si>
    <t>garciaalex@brewer.info</t>
  </si>
  <si>
    <t>PK-100919</t>
  </si>
  <si>
    <t>Alyssa Smith</t>
  </si>
  <si>
    <t>xaviertanner@spencer.com</t>
  </si>
  <si>
    <t>PK-100920</t>
  </si>
  <si>
    <t>Jessica Clay</t>
  </si>
  <si>
    <t>rachelpalmer@hotmail.com</t>
  </si>
  <si>
    <t>PK-100921</t>
  </si>
  <si>
    <t>Martin Manning</t>
  </si>
  <si>
    <t>kevin20@bauer.com</t>
  </si>
  <si>
    <t>PK-100922</t>
  </si>
  <si>
    <t>Jared Kelly</t>
  </si>
  <si>
    <t>xrowe@merritt-potter.com</t>
  </si>
  <si>
    <t>PK-100923</t>
  </si>
  <si>
    <t>Hailey Landry</t>
  </si>
  <si>
    <t>christinahart@lee.com</t>
  </si>
  <si>
    <t>PK-100924</t>
  </si>
  <si>
    <t>Paula Webster</t>
  </si>
  <si>
    <t>ohammond@yahoo.com</t>
  </si>
  <si>
    <t>PK-100925</t>
  </si>
  <si>
    <t>Nicholas Lopez</t>
  </si>
  <si>
    <t>stephanie44@moreno.biz</t>
  </si>
  <si>
    <t>PK-100926</t>
  </si>
  <si>
    <t>Ashley Landry</t>
  </si>
  <si>
    <t>david73@hotmail.com</t>
  </si>
  <si>
    <t>PK-100927</t>
  </si>
  <si>
    <t>Kimberly Browning</t>
  </si>
  <si>
    <t>murphykenneth@herring-jarvis.com</t>
  </si>
  <si>
    <t>PK-100928</t>
  </si>
  <si>
    <t>Paul Drake</t>
  </si>
  <si>
    <t>dgilbert@hotmail.com</t>
  </si>
  <si>
    <t>PK-100929</t>
  </si>
  <si>
    <t>James Johnson</t>
  </si>
  <si>
    <t>joshuamiller@yahoo.com</t>
  </si>
  <si>
    <t>PK-100930</t>
  </si>
  <si>
    <t>Edward Brock</t>
  </si>
  <si>
    <t>kayla23@hotmail.com</t>
  </si>
  <si>
    <t>PK-100931</t>
  </si>
  <si>
    <t>Melissa Martinez</t>
  </si>
  <si>
    <t>hhooper@davis-gibson.com</t>
  </si>
  <si>
    <t>PK-100932</t>
  </si>
  <si>
    <t>Mercedes Jones MD</t>
  </si>
  <si>
    <t>kmorris@gmail.com</t>
  </si>
  <si>
    <t>PK-100933</t>
  </si>
  <si>
    <t>Andrew Lam MD</t>
  </si>
  <si>
    <t>lstout@yahoo.com</t>
  </si>
  <si>
    <t>PK-100934</t>
  </si>
  <si>
    <t>Wyatt Ibarra</t>
  </si>
  <si>
    <t>yberry@salazar.com</t>
  </si>
  <si>
    <t>PK-100935</t>
  </si>
  <si>
    <t>Danny Meyers</t>
  </si>
  <si>
    <t>justin42@atkins-campbell.biz</t>
  </si>
  <si>
    <t>PK-100936</t>
  </si>
  <si>
    <t>Kristen Shaw</t>
  </si>
  <si>
    <t>edward83@turner.com</t>
  </si>
  <si>
    <t>PK-100937</t>
  </si>
  <si>
    <t>Tammy Daniel</t>
  </si>
  <si>
    <t>karlwalsh@yahoo.com</t>
  </si>
  <si>
    <t>PK-100938</t>
  </si>
  <si>
    <t>Morgan Davis</t>
  </si>
  <si>
    <t>lopezchristopher@gmail.com</t>
  </si>
  <si>
    <t>PK-100939</t>
  </si>
  <si>
    <t>Teresa Mccall</t>
  </si>
  <si>
    <t>fkramer@thompson.com</t>
  </si>
  <si>
    <t>PK-100940</t>
  </si>
  <si>
    <t>Mrs. Ashley Newman</t>
  </si>
  <si>
    <t>paige39@haynes-ellison.com</t>
  </si>
  <si>
    <t>PK-100941</t>
  </si>
  <si>
    <t>Jason Davis</t>
  </si>
  <si>
    <t>brittany98@morales.net</t>
  </si>
  <si>
    <t>PK-100942</t>
  </si>
  <si>
    <t>Lawrence Rojas DVM</t>
  </si>
  <si>
    <t>dianeanderson@yahoo.com</t>
  </si>
  <si>
    <t>PK-100943</t>
  </si>
  <si>
    <t>Riley Lee</t>
  </si>
  <si>
    <t>utaylor@hotmail.com</t>
  </si>
  <si>
    <t>PK-100944</t>
  </si>
  <si>
    <t>Alyssa Cook</t>
  </si>
  <si>
    <t>christine46@little.com</t>
  </si>
  <si>
    <t>PK-100945</t>
  </si>
  <si>
    <t>Richard Roach MD</t>
  </si>
  <si>
    <t>longashley@wells-wilson.net</t>
  </si>
  <si>
    <t>PK-100946</t>
  </si>
  <si>
    <t>andrew95@diaz.com</t>
  </si>
  <si>
    <t>PK-100947</t>
  </si>
  <si>
    <t>Tracy Poole</t>
  </si>
  <si>
    <t>nolanjennifer@yahoo.com</t>
  </si>
  <si>
    <t>PK-100948</t>
  </si>
  <si>
    <t>Theresa Lewis</t>
  </si>
  <si>
    <t>jasonwhite@hotmail.com</t>
  </si>
  <si>
    <t>PK-100949</t>
  </si>
  <si>
    <t>Sean Adams</t>
  </si>
  <si>
    <t>kellyjuan@hotmail.com</t>
  </si>
  <si>
    <t>PK-100950</t>
  </si>
  <si>
    <t>James Mccoy</t>
  </si>
  <si>
    <t>ybrown@yahoo.com</t>
  </si>
  <si>
    <t>PK-100951</t>
  </si>
  <si>
    <t>David Perry</t>
  </si>
  <si>
    <t>smithgina@gates.com</t>
  </si>
  <si>
    <t>PK-100952</t>
  </si>
  <si>
    <t>Susan Guzman</t>
  </si>
  <si>
    <t>zpacheco@gmail.com</t>
  </si>
  <si>
    <t>PK-100953</t>
  </si>
  <si>
    <t>Sharon Parks</t>
  </si>
  <si>
    <t>hadams@coleman-williams.net</t>
  </si>
  <si>
    <t>PK-100954</t>
  </si>
  <si>
    <t>Tony Williams</t>
  </si>
  <si>
    <t>nicholas31@yahoo.com</t>
  </si>
  <si>
    <t>PK-100955</t>
  </si>
  <si>
    <t>Mark Kim</t>
  </si>
  <si>
    <t>qsantiago@yahoo.com</t>
  </si>
  <si>
    <t>PK-100956</t>
  </si>
  <si>
    <t>Lauren Kennedy</t>
  </si>
  <si>
    <t>elizabeth93@hooper.com</t>
  </si>
  <si>
    <t>PK-100957</t>
  </si>
  <si>
    <t>Mitchell Mcdonald</t>
  </si>
  <si>
    <t>jodi46@yahoo.com</t>
  </si>
  <si>
    <t>PK-100958</t>
  </si>
  <si>
    <t>Karen Miranda</t>
  </si>
  <si>
    <t>vmartinez@estrada-hendrix.org</t>
  </si>
  <si>
    <t>PK-100959</t>
  </si>
  <si>
    <t>Jason Haynes</t>
  </si>
  <si>
    <t>alicia35@yahoo.com</t>
  </si>
  <si>
    <t>PK-100960</t>
  </si>
  <si>
    <t>Karen Jackson</t>
  </si>
  <si>
    <t>jorge12@cole.org</t>
  </si>
  <si>
    <t>PK-100961</t>
  </si>
  <si>
    <t>Kevin Lee</t>
  </si>
  <si>
    <t>rgaines@stone.com</t>
  </si>
  <si>
    <t>PK-100962</t>
  </si>
  <si>
    <t>Nancy Lee</t>
  </si>
  <si>
    <t>hwhite@hotmail.com</t>
  </si>
  <si>
    <t>PK-100963</t>
  </si>
  <si>
    <t>Theresa Hartman</t>
  </si>
  <si>
    <t>sheenajoseph@hotmail.com</t>
  </si>
  <si>
    <t>PK-100964</t>
  </si>
  <si>
    <t>mariekent@yahoo.com</t>
  </si>
  <si>
    <t>PK-100965</t>
  </si>
  <si>
    <t>Billy Dean</t>
  </si>
  <si>
    <t>lisamorton@yahoo.com</t>
  </si>
  <si>
    <t>PK-100966</t>
  </si>
  <si>
    <t>Gregory Williams</t>
  </si>
  <si>
    <t>jamie79@hayes.net</t>
  </si>
  <si>
    <t>PK-100967</t>
  </si>
  <si>
    <t>Darren David</t>
  </si>
  <si>
    <t>michaelcarroll@yahoo.com</t>
  </si>
  <si>
    <t>PK-100968</t>
  </si>
  <si>
    <t>Jorge Roberts MD</t>
  </si>
  <si>
    <t>anthonyhendrix@yahoo.com</t>
  </si>
  <si>
    <t>PK-100969</t>
  </si>
  <si>
    <t>Christopher Wilkerson</t>
  </si>
  <si>
    <t>eyoung@yahoo.com</t>
  </si>
  <si>
    <t>PK-100970</t>
  </si>
  <si>
    <t>Andrew Ritter</t>
  </si>
  <si>
    <t>brucesamuel@parrish.com</t>
  </si>
  <si>
    <t>PK-100971</t>
  </si>
  <si>
    <t>James Richardson</t>
  </si>
  <si>
    <t>jhuffman@hotmail.com</t>
  </si>
  <si>
    <t>PK-100972</t>
  </si>
  <si>
    <t>Amber English</t>
  </si>
  <si>
    <t>nathan10@gmail.com</t>
  </si>
  <si>
    <t>PK-100973</t>
  </si>
  <si>
    <t>Katelyn Alexander</t>
  </si>
  <si>
    <t>snowtravis@yahoo.com</t>
  </si>
  <si>
    <t>PK-100974</t>
  </si>
  <si>
    <t>Jason Martinez</t>
  </si>
  <si>
    <t>rachel17@hotmail.com</t>
  </si>
  <si>
    <t>PK-100975</t>
  </si>
  <si>
    <t>Raymond Spencer</t>
  </si>
  <si>
    <t>smallkayla@yahoo.com</t>
  </si>
  <si>
    <t>PK-100976</t>
  </si>
  <si>
    <t>Raven Rodgers</t>
  </si>
  <si>
    <t>barbaradyer@carter.org</t>
  </si>
  <si>
    <t>PK-100977</t>
  </si>
  <si>
    <t>Christopher Wong</t>
  </si>
  <si>
    <t>linda87@yahoo.com</t>
  </si>
  <si>
    <t>PK-100978</t>
  </si>
  <si>
    <t>Francis Perkins</t>
  </si>
  <si>
    <t>kayla32@yahoo.com</t>
  </si>
  <si>
    <t>PK-100979</t>
  </si>
  <si>
    <t>Michelle Hicks</t>
  </si>
  <si>
    <t>cyoung@hotmail.com</t>
  </si>
  <si>
    <t>PK-100980</t>
  </si>
  <si>
    <t>Kristin Williams</t>
  </si>
  <si>
    <t>miranda15@dawson-conley.com</t>
  </si>
  <si>
    <t>PK-100981</t>
  </si>
  <si>
    <t>Jennifer Rogers</t>
  </si>
  <si>
    <t>sarahbrown@gmail.com</t>
  </si>
  <si>
    <t>PK-100982</t>
  </si>
  <si>
    <t>Amy Cruz</t>
  </si>
  <si>
    <t>hoganjoshua@hayes.net</t>
  </si>
  <si>
    <t>PK-100983</t>
  </si>
  <si>
    <t>Michelle Gillespie</t>
  </si>
  <si>
    <t>hallbrian@yahoo.com</t>
  </si>
  <si>
    <t>PK-100984</t>
  </si>
  <si>
    <t>John Jordan</t>
  </si>
  <si>
    <t>qreed@gmail.com</t>
  </si>
  <si>
    <t>PK-100985</t>
  </si>
  <si>
    <t>John Smith</t>
  </si>
  <si>
    <t>margaret41@hotmail.com</t>
  </si>
  <si>
    <t>PK-100986</t>
  </si>
  <si>
    <t>Kathy Moore</t>
  </si>
  <si>
    <t>ptaylor@gmail.com</t>
  </si>
  <si>
    <t>PK-100987</t>
  </si>
  <si>
    <t>Alexis Clark</t>
  </si>
  <si>
    <t>michellehawkins@gmail.com</t>
  </si>
  <si>
    <t>PK-100988</t>
  </si>
  <si>
    <t>Lori Moore</t>
  </si>
  <si>
    <t>dennissmith@yahoo.com</t>
  </si>
  <si>
    <t>PK-100989</t>
  </si>
  <si>
    <t>Brian Pierce</t>
  </si>
  <si>
    <t>michealharrison@gmail.com</t>
  </si>
  <si>
    <t>PK-100990</t>
  </si>
  <si>
    <t>Jessica Allen</t>
  </si>
  <si>
    <t>charlesross@strickland-roberts.com</t>
  </si>
  <si>
    <t>PK-100991</t>
  </si>
  <si>
    <t>Jeffrey Newman</t>
  </si>
  <si>
    <t>nelsonlindsay@gmail.com</t>
  </si>
  <si>
    <t>PK-100992</t>
  </si>
  <si>
    <t>Tammy Moore</t>
  </si>
  <si>
    <t>eric18@johnson.com</t>
  </si>
  <si>
    <t>PK-100993</t>
  </si>
  <si>
    <t>Denise Carlson</t>
  </si>
  <si>
    <t>stewartjon@hotmail.com</t>
  </si>
  <si>
    <t>PK-100994</t>
  </si>
  <si>
    <t>Gregg Arnold</t>
  </si>
  <si>
    <t>jerome61@gmail.com</t>
  </si>
  <si>
    <t>PK-100995</t>
  </si>
  <si>
    <t>Eric Garcia</t>
  </si>
  <si>
    <t>johnrichardson@yahoo.com</t>
  </si>
  <si>
    <t>PK-100996</t>
  </si>
  <si>
    <t>Kyle Gonzalez</t>
  </si>
  <si>
    <t>sarah99@hotmail.com</t>
  </si>
  <si>
    <t>PK-100997</t>
  </si>
  <si>
    <t>Michael Collins</t>
  </si>
  <si>
    <t>ulawson@hotmail.com</t>
  </si>
  <si>
    <t>PK-100998</t>
  </si>
  <si>
    <t>Katelyn Lyons</t>
  </si>
  <si>
    <t>robertdavis@warren.org</t>
  </si>
  <si>
    <t>PK-100999</t>
  </si>
  <si>
    <t>Robert Soto</t>
  </si>
  <si>
    <t>csmall@chambers-dean.biz</t>
  </si>
  <si>
    <t>PK-101000</t>
  </si>
  <si>
    <t>Linda Phillips</t>
  </si>
  <si>
    <t>lopezanthony@black-cole.com</t>
  </si>
  <si>
    <t>PK-101001</t>
  </si>
  <si>
    <t>Alexandra Fuller</t>
  </si>
  <si>
    <t>kennethlarsen@yahoo.com</t>
  </si>
  <si>
    <t>PK-101002</t>
  </si>
  <si>
    <t>Jon Hall</t>
  </si>
  <si>
    <t>barbara16@anderson.com</t>
  </si>
  <si>
    <t>PK-101003</t>
  </si>
  <si>
    <t>Bonnie Clark</t>
  </si>
  <si>
    <t>williamwells@yahoo.com</t>
  </si>
  <si>
    <t>PK-101004</t>
  </si>
  <si>
    <t>Hector Henry</t>
  </si>
  <si>
    <t>vtrujillo@schmitt.com</t>
  </si>
  <si>
    <t>PK-101005</t>
  </si>
  <si>
    <t>Nicole Phillips</t>
  </si>
  <si>
    <t>brianward@hotmail.com</t>
  </si>
  <si>
    <t>PK-101006</t>
  </si>
  <si>
    <t>Brittany Barker</t>
  </si>
  <si>
    <t>markrichardson@yahoo.com</t>
  </si>
  <si>
    <t>PK-101007</t>
  </si>
  <si>
    <t>Deborah Acevedo</t>
  </si>
  <si>
    <t>lorischmidt@norris.info</t>
  </si>
  <si>
    <t>PK-101008</t>
  </si>
  <si>
    <t>Kristen Obrien</t>
  </si>
  <si>
    <t>kevingarcia@hotmail.com</t>
  </si>
  <si>
    <t>PK-101009</t>
  </si>
  <si>
    <t>Caitlyn Jennings</t>
  </si>
  <si>
    <t>hallleslie@buck.org</t>
  </si>
  <si>
    <t>PK-101010</t>
  </si>
  <si>
    <t>Steven Velazquez</t>
  </si>
  <si>
    <t>dhunt@carter.com</t>
  </si>
  <si>
    <t>PK-101011</t>
  </si>
  <si>
    <t>Karen Pacheco</t>
  </si>
  <si>
    <t>carpenterholly@hotmail.com</t>
  </si>
  <si>
    <t>PK-101012</t>
  </si>
  <si>
    <t>Nicholas Zimmerman</t>
  </si>
  <si>
    <t>joy32@rodriguez-mccarthy.com</t>
  </si>
  <si>
    <t>PK-101013</t>
  </si>
  <si>
    <t>Kevin Thompson</t>
  </si>
  <si>
    <t>oyates@gmail.com</t>
  </si>
  <si>
    <t>PK-101014</t>
  </si>
  <si>
    <t>Sharon Carpenter MD</t>
  </si>
  <si>
    <t>laurahoffman@richards.net</t>
  </si>
  <si>
    <t>PK-101015</t>
  </si>
  <si>
    <t>Mrs. Kelly Sims</t>
  </si>
  <si>
    <t>bradleyhenderson@yahoo.com</t>
  </si>
  <si>
    <t>PK-101016</t>
  </si>
  <si>
    <t>Frank Wells</t>
  </si>
  <si>
    <t>nicolewilliams@murphy-gonzales.com</t>
  </si>
  <si>
    <t>PK-101017</t>
  </si>
  <si>
    <t>James Rice</t>
  </si>
  <si>
    <t>carlossmith@williams.com</t>
  </si>
  <si>
    <t>PK-101018</t>
  </si>
  <si>
    <t>Linda Clark</t>
  </si>
  <si>
    <t>jonathansmith@schroeder-cunningham.com</t>
  </si>
  <si>
    <t>PK-101019</t>
  </si>
  <si>
    <t>Monica Smith</t>
  </si>
  <si>
    <t>echang@yahoo.com</t>
  </si>
  <si>
    <t>PK-101020</t>
  </si>
  <si>
    <t>Roger Kelly</t>
  </si>
  <si>
    <t>gerald26@yahoo.com</t>
  </si>
  <si>
    <t>PK-101021</t>
  </si>
  <si>
    <t>Lisa Smith</t>
  </si>
  <si>
    <t>mcalderon@hotmail.com</t>
  </si>
  <si>
    <t>PK-101022</t>
  </si>
  <si>
    <t>William Martinez</t>
  </si>
  <si>
    <t>kimberly29@benson.org</t>
  </si>
  <si>
    <t>PK-101023</t>
  </si>
  <si>
    <t>Alexandra Beasley</t>
  </si>
  <si>
    <t>kking@martin-weaver.com</t>
  </si>
  <si>
    <t>PK-101024</t>
  </si>
  <si>
    <t>Julia Aguirre</t>
  </si>
  <si>
    <t>westjoseph@hotmail.com</t>
  </si>
  <si>
    <t>PK-101025</t>
  </si>
  <si>
    <t>Timothy Riley DDS</t>
  </si>
  <si>
    <t>emilymiller@williams.biz</t>
  </si>
  <si>
    <t>PK-101026</t>
  </si>
  <si>
    <t>Jody Miller</t>
  </si>
  <si>
    <t>wbell@yahoo.com</t>
  </si>
  <si>
    <t>PK-101027</t>
  </si>
  <si>
    <t>Collin Butler</t>
  </si>
  <si>
    <t>kyle02@hotmail.com</t>
  </si>
  <si>
    <t>PK-101028</t>
  </si>
  <si>
    <t>Angelica Williams</t>
  </si>
  <si>
    <t>harrisamy@gmail.com</t>
  </si>
  <si>
    <t>PK-101029</t>
  </si>
  <si>
    <t>Paul Martin</t>
  </si>
  <si>
    <t>donaldwashington@pruitt-yoder.com</t>
  </si>
  <si>
    <t>PK-101030</t>
  </si>
  <si>
    <t>Andres Bender</t>
  </si>
  <si>
    <t>joseph71@yahoo.com</t>
  </si>
  <si>
    <t>PK-101031</t>
  </si>
  <si>
    <t>Donna Davis</t>
  </si>
  <si>
    <t>alex62@norris.com</t>
  </si>
  <si>
    <t>PK-101032</t>
  </si>
  <si>
    <t>Amanda Sanchez</t>
  </si>
  <si>
    <t>jonesricardo@mills.com</t>
  </si>
  <si>
    <t>PK-101033</t>
  </si>
  <si>
    <t>Matthew Edwards</t>
  </si>
  <si>
    <t>lopezcory@rodriguez.com</t>
  </si>
  <si>
    <t>PK-101034</t>
  </si>
  <si>
    <t>Daniel Thompson</t>
  </si>
  <si>
    <t>richard30@hotmail.com</t>
  </si>
  <si>
    <t>PK-101035</t>
  </si>
  <si>
    <t>Carolyn Moss</t>
  </si>
  <si>
    <t>charlottewise@brown.com</t>
  </si>
  <si>
    <t>PK-101036</t>
  </si>
  <si>
    <t>Elizabeth Mitchell</t>
  </si>
  <si>
    <t>eperez@yahoo.com</t>
  </si>
  <si>
    <t>PK-101037</t>
  </si>
  <si>
    <t>Karen Stone</t>
  </si>
  <si>
    <t>jennifer54@patterson-thomas.com</t>
  </si>
  <si>
    <t>PK-101038</t>
  </si>
  <si>
    <t>Douglas Brock</t>
  </si>
  <si>
    <t>corycampbell@bauer-salas.info</t>
  </si>
  <si>
    <t>PK-101039</t>
  </si>
  <si>
    <t>Kimberly Avila</t>
  </si>
  <si>
    <t>jennifer91@hotmail.com</t>
  </si>
  <si>
    <t>PK-101040</t>
  </si>
  <si>
    <t>Jason Wright</t>
  </si>
  <si>
    <t>lbarnett@yahoo.com</t>
  </si>
  <si>
    <t>PK-101041</t>
  </si>
  <si>
    <t>Jill Green</t>
  </si>
  <si>
    <t>powersanthony@cox.com</t>
  </si>
  <si>
    <t>PK-101042</t>
  </si>
  <si>
    <t>Andrea Henderson</t>
  </si>
  <si>
    <t>gfox@yahoo.com</t>
  </si>
  <si>
    <t>PK-101043</t>
  </si>
  <si>
    <t>Rose Jackson</t>
  </si>
  <si>
    <t>abigail35@gmail.com</t>
  </si>
  <si>
    <t>PK-101044</t>
  </si>
  <si>
    <t>Jennifer Perez</t>
  </si>
  <si>
    <t>maria57@yahoo.com</t>
  </si>
  <si>
    <t>PK-101045</t>
  </si>
  <si>
    <t>Kristy Aguilar</t>
  </si>
  <si>
    <t>angel59@hopkins.net</t>
  </si>
  <si>
    <t>PK-101046</t>
  </si>
  <si>
    <t>Harry Davis</t>
  </si>
  <si>
    <t>jason73@hotmail.com</t>
  </si>
  <si>
    <t>PK-101047</t>
  </si>
  <si>
    <t>Ashley Vasquez</t>
  </si>
  <si>
    <t>lewiserika@wilson.com</t>
  </si>
  <si>
    <t>PK-101048</t>
  </si>
  <si>
    <t>Tina Peck</t>
  </si>
  <si>
    <t>cartertamara@yahoo.com</t>
  </si>
  <si>
    <t>PK-101049</t>
  </si>
  <si>
    <t>Bryan Zimmerman</t>
  </si>
  <si>
    <t>pottstiffany@schmitt.biz</t>
  </si>
  <si>
    <t>PK-101050</t>
  </si>
  <si>
    <t>Benjamin Hunter</t>
  </si>
  <si>
    <t>barrettmichelle@morris.biz</t>
  </si>
  <si>
    <t>PK-101051</t>
  </si>
  <si>
    <t>wjackson@gmail.com</t>
  </si>
  <si>
    <t>PK-101052</t>
  </si>
  <si>
    <t>Matthew Goodman</t>
  </si>
  <si>
    <t>jenniferknapp@rodriguez.org</t>
  </si>
  <si>
    <t>PK-101053</t>
  </si>
  <si>
    <t>Abigail Giles</t>
  </si>
  <si>
    <t>dsantos@garcia.org</t>
  </si>
  <si>
    <t>PK-101054</t>
  </si>
  <si>
    <t>Emily Martinez</t>
  </si>
  <si>
    <t>garzakatelyn@leblanc.com</t>
  </si>
  <si>
    <t>PK-101055</t>
  </si>
  <si>
    <t>Shawn Klein</t>
  </si>
  <si>
    <t>adamking@nichols.com</t>
  </si>
  <si>
    <t>PK-101056</t>
  </si>
  <si>
    <t>Amy Adams</t>
  </si>
  <si>
    <t>joan32@allison.com</t>
  </si>
  <si>
    <t>PK-101057</t>
  </si>
  <si>
    <t>Johnny Sims</t>
  </si>
  <si>
    <t>robinsonnicholas@ward-lee.biz</t>
  </si>
  <si>
    <t>PK-101058</t>
  </si>
  <si>
    <t>Tracy Underwood</t>
  </si>
  <si>
    <t>ibrown@yahoo.com</t>
  </si>
  <si>
    <t>PK-101059</t>
  </si>
  <si>
    <t>Audrey Drake</t>
  </si>
  <si>
    <t>meganjohnson@yahoo.com</t>
  </si>
  <si>
    <t>PK-101060</t>
  </si>
  <si>
    <t>Greg Vargas</t>
  </si>
  <si>
    <t>igonzales@vazquez.org</t>
  </si>
  <si>
    <t>PK-101061</t>
  </si>
  <si>
    <t>Jeremy Boyd</t>
  </si>
  <si>
    <t>ronaldsanchez@reid-ponce.com</t>
  </si>
  <si>
    <t>PK-101062</t>
  </si>
  <si>
    <t>Hayley Freeman</t>
  </si>
  <si>
    <t>tanyajohnson@martin.com</t>
  </si>
  <si>
    <t>PK-101063</t>
  </si>
  <si>
    <t>Hannah Navarro</t>
  </si>
  <si>
    <t>fschultz@hotmail.com</t>
  </si>
  <si>
    <t>PK-101064</t>
  </si>
  <si>
    <t>Amanda Guerrero</t>
  </si>
  <si>
    <t>nthomas@dean.com</t>
  </si>
  <si>
    <t>PK-101065</t>
  </si>
  <si>
    <t>Steven King</t>
  </si>
  <si>
    <t>christineevans@gmail.com</t>
  </si>
  <si>
    <t>PK-101066</t>
  </si>
  <si>
    <t>David Perez</t>
  </si>
  <si>
    <t>parrishkatie@moore-lewis.com</t>
  </si>
  <si>
    <t>PK-101067</t>
  </si>
  <si>
    <t>Richard Sanchez</t>
  </si>
  <si>
    <t>tylersydney@yahoo.com</t>
  </si>
  <si>
    <t>PK-101068</t>
  </si>
  <si>
    <t>Edwin Burgess</t>
  </si>
  <si>
    <t>thomasryan@moss-rodriguez.com</t>
  </si>
  <si>
    <t>PK-101069</t>
  </si>
  <si>
    <t>Jacob Barajas</t>
  </si>
  <si>
    <t>xwilliams@yahoo.com</t>
  </si>
  <si>
    <t>PK-101070</t>
  </si>
  <si>
    <t>Karen Marshall</t>
  </si>
  <si>
    <t>earnold@meyer.com</t>
  </si>
  <si>
    <t>PK-101071</t>
  </si>
  <si>
    <t>Nicole Rodriguez</t>
  </si>
  <si>
    <t>cathyjones@moore.org</t>
  </si>
  <si>
    <t>PK-101072</t>
  </si>
  <si>
    <t>Wendy Walker</t>
  </si>
  <si>
    <t>williamsveronica@yahoo.com</t>
  </si>
  <si>
    <t>PK-101073</t>
  </si>
  <si>
    <t>Charles Bell</t>
  </si>
  <si>
    <t>kaufmankim@parker.net</t>
  </si>
  <si>
    <t>PK-101074</t>
  </si>
  <si>
    <t>Claudia Huff</t>
  </si>
  <si>
    <t>walkercatherine@jones.com</t>
  </si>
  <si>
    <t>PK-101075</t>
  </si>
  <si>
    <t>Donald Stewart</t>
  </si>
  <si>
    <t>jennaward@yahoo.com</t>
  </si>
  <si>
    <t>PK-101076</t>
  </si>
  <si>
    <t>Samuel Castro</t>
  </si>
  <si>
    <t>melissa27@odonnell.net</t>
  </si>
  <si>
    <t>PK-101077</t>
  </si>
  <si>
    <t>Kevin Gibbs</t>
  </si>
  <si>
    <t>richardlam@gmail.com</t>
  </si>
  <si>
    <t>PK-101078</t>
  </si>
  <si>
    <t>Jeffery Sheppard</t>
  </si>
  <si>
    <t>mcneilryan@hudson.com</t>
  </si>
  <si>
    <t>PK-101079</t>
  </si>
  <si>
    <t>Autumn Donovan</t>
  </si>
  <si>
    <t>wilsonchristina@tate-dixon.com</t>
  </si>
  <si>
    <t>PK-101080</t>
  </si>
  <si>
    <t>James Anderson</t>
  </si>
  <si>
    <t>zrobinson@hotmail.com</t>
  </si>
  <si>
    <t>PK-101081</t>
  </si>
  <si>
    <t>April Olson</t>
  </si>
  <si>
    <t>xreed@lambert.com</t>
  </si>
  <si>
    <t>PK-101082</t>
  </si>
  <si>
    <t>Laura Blackburn</t>
  </si>
  <si>
    <t>emurray@yahoo.com</t>
  </si>
  <si>
    <t>PK-101083</t>
  </si>
  <si>
    <t>Edward Branch MD</t>
  </si>
  <si>
    <t>nicholas16@gmail.com</t>
  </si>
  <si>
    <t>PK-101084</t>
  </si>
  <si>
    <t>Timothy Mccarthy</t>
  </si>
  <si>
    <t>barnesjustin@deleon.com</t>
  </si>
  <si>
    <t>PK-101085</t>
  </si>
  <si>
    <t>Samantha Medina</t>
  </si>
  <si>
    <t>andersonerica@lewis.com</t>
  </si>
  <si>
    <t>PK-101086</t>
  </si>
  <si>
    <t>Jonathan Hernandez</t>
  </si>
  <si>
    <t>guzmanjames@hotmail.com</t>
  </si>
  <si>
    <t>PK-101087</t>
  </si>
  <si>
    <t>Lisa Hanson</t>
  </si>
  <si>
    <t>zjimenez@johnson.com</t>
  </si>
  <si>
    <t>PK-101088</t>
  </si>
  <si>
    <t>Jonathan Morrison</t>
  </si>
  <si>
    <t>mitchell65@jackson.biz</t>
  </si>
  <si>
    <t>PK-101089</t>
  </si>
  <si>
    <t>Connie Morrison</t>
  </si>
  <si>
    <t>ycurry@berger.biz</t>
  </si>
  <si>
    <t>PK-101090</t>
  </si>
  <si>
    <t>Richard Lee</t>
  </si>
  <si>
    <t>steven36@gmail.com</t>
  </si>
  <si>
    <t>PK-101091</t>
  </si>
  <si>
    <t>James Hogan</t>
  </si>
  <si>
    <t>jennymartin@hotmail.com</t>
  </si>
  <si>
    <t>PK-101092</t>
  </si>
  <si>
    <t>William Mueller</t>
  </si>
  <si>
    <t>shane07@yahoo.com</t>
  </si>
  <si>
    <t>PK-101093</t>
  </si>
  <si>
    <t>Lee Taylor</t>
  </si>
  <si>
    <t>hawkinsmichael@davis.com</t>
  </si>
  <si>
    <t>PK-101094</t>
  </si>
  <si>
    <t>Eric Stone</t>
  </si>
  <si>
    <t>jessicastevens@martinez.net</t>
  </si>
  <si>
    <t>PK-101095</t>
  </si>
  <si>
    <t>Kenneth Rowland</t>
  </si>
  <si>
    <t>carrie99@gmail.com</t>
  </si>
  <si>
    <t>PK-101096</t>
  </si>
  <si>
    <t>Maria Farley</t>
  </si>
  <si>
    <t>sbond@atkinson.com</t>
  </si>
  <si>
    <t>PK-101097</t>
  </si>
  <si>
    <t>Felicia Stephens</t>
  </si>
  <si>
    <t>douglas27@yahoo.com</t>
  </si>
  <si>
    <t>PK-101098</t>
  </si>
  <si>
    <t>Michael Hull</t>
  </si>
  <si>
    <t>patriciarichardson@gmail.com</t>
  </si>
  <si>
    <t>PK-101099</t>
  </si>
  <si>
    <t>Kayla Banks</t>
  </si>
  <si>
    <t>qalvarez@murray-carr.com</t>
  </si>
  <si>
    <t>PK-101100</t>
  </si>
  <si>
    <t>Gary Brown</t>
  </si>
  <si>
    <t>huangjoshua@yahoo.com</t>
  </si>
  <si>
    <t>PK-101101</t>
  </si>
  <si>
    <t>Mary Arellano</t>
  </si>
  <si>
    <t>desiree89@perez.net</t>
  </si>
  <si>
    <t>PK-101102</t>
  </si>
  <si>
    <t>Adam Myers</t>
  </si>
  <si>
    <t>eric01@gmail.com</t>
  </si>
  <si>
    <t>PK-101103</t>
  </si>
  <si>
    <t>Rachel Morales</t>
  </si>
  <si>
    <t>kevingonzalez@taylor.org</t>
  </si>
  <si>
    <t>PK-101104</t>
  </si>
  <si>
    <t>kaitlyn67@gmail.com</t>
  </si>
  <si>
    <t>PK-101105</t>
  </si>
  <si>
    <t>Jennifer Tucker</t>
  </si>
  <si>
    <t>donna20@hotmail.com</t>
  </si>
  <si>
    <t>PK-101106</t>
  </si>
  <si>
    <t>Angelica Nolan</t>
  </si>
  <si>
    <t>michelleturner@yahoo.com</t>
  </si>
  <si>
    <t>PK-101107</t>
  </si>
  <si>
    <t>Angela Woods</t>
  </si>
  <si>
    <t>judymaynard@pacheco.com</t>
  </si>
  <si>
    <t>PK-101108</t>
  </si>
  <si>
    <t>Lisa Johnson</t>
  </si>
  <si>
    <t>jrice@nunez-nicholson.com</t>
  </si>
  <si>
    <t>PK-101109</t>
  </si>
  <si>
    <t>Rachel Kane</t>
  </si>
  <si>
    <t>james76@robinson.com</t>
  </si>
  <si>
    <t>PK-101110</t>
  </si>
  <si>
    <t>Christopher Willis</t>
  </si>
  <si>
    <t>christopher11@pruitt.info</t>
  </si>
  <si>
    <t>PK-101111</t>
  </si>
  <si>
    <t>Thomas Moore</t>
  </si>
  <si>
    <t>smiller@yahoo.com</t>
  </si>
  <si>
    <t>PK-101112</t>
  </si>
  <si>
    <t>Caitlin Evans</t>
  </si>
  <si>
    <t>btorres@hill-gutierrez.com</t>
  </si>
  <si>
    <t>PK-101113</t>
  </si>
  <si>
    <t>Teresa Vance</t>
  </si>
  <si>
    <t>jesus40@gmail.com</t>
  </si>
  <si>
    <t>PK-101114</t>
  </si>
  <si>
    <t>John Morrison</t>
  </si>
  <si>
    <t>kelsey67@johnson-clark.com</t>
  </si>
  <si>
    <t>PK-101115</t>
  </si>
  <si>
    <t>Sarah Alvarez</t>
  </si>
  <si>
    <t>austinwhite@hughes.com</t>
  </si>
  <si>
    <t>PK-101116</t>
  </si>
  <si>
    <t>Laura Case</t>
  </si>
  <si>
    <t>troycole@ball.org</t>
  </si>
  <si>
    <t>PK-101117</t>
  </si>
  <si>
    <t>Carl Monroe</t>
  </si>
  <si>
    <t>taylorward@gmail.com</t>
  </si>
  <si>
    <t>PK-101118</t>
  </si>
  <si>
    <t>Robert Wilson</t>
  </si>
  <si>
    <t>tyler07@duncan.com</t>
  </si>
  <si>
    <t>PK-101119</t>
  </si>
  <si>
    <t>Michele Moore</t>
  </si>
  <si>
    <t>veronicaramirez@gmail.com</t>
  </si>
  <si>
    <t>PK-101120</t>
  </si>
  <si>
    <t>Pamela Joseph</t>
  </si>
  <si>
    <t>christopheraguilar@hotmail.com</t>
  </si>
  <si>
    <t>PK-101121</t>
  </si>
  <si>
    <t>Jeremy Abbott</t>
  </si>
  <si>
    <t>qryan@murphy-gaines.com</t>
  </si>
  <si>
    <t>PK-101122</t>
  </si>
  <si>
    <t>Matthew Cantu</t>
  </si>
  <si>
    <t>coopererin@gmail.com</t>
  </si>
  <si>
    <t>PK-101123</t>
  </si>
  <si>
    <t>Michael Hayes</t>
  </si>
  <si>
    <t>lunamichael@hendricks.com</t>
  </si>
  <si>
    <t>PK-101124</t>
  </si>
  <si>
    <t>Mary Weaver</t>
  </si>
  <si>
    <t>edwardsanthony@yahoo.com</t>
  </si>
  <si>
    <t>PK-101125</t>
  </si>
  <si>
    <t>Christopher Wright</t>
  </si>
  <si>
    <t>lisamoore@yahoo.com</t>
  </si>
  <si>
    <t>PK-101126</t>
  </si>
  <si>
    <t>Jeanne Leblanc</t>
  </si>
  <si>
    <t>elizabeth53@hotmail.com</t>
  </si>
  <si>
    <t>PK-101127</t>
  </si>
  <si>
    <t>Alex Calhoun</t>
  </si>
  <si>
    <t>alexis35@yahoo.com</t>
  </si>
  <si>
    <t>PK-101128</t>
  </si>
  <si>
    <t>Nicole Lucero</t>
  </si>
  <si>
    <t>leemark@gmail.com</t>
  </si>
  <si>
    <t>PK-101129</t>
  </si>
  <si>
    <t>Robert Reynolds</t>
  </si>
  <si>
    <t>jasonwalsh@jackson.com</t>
  </si>
  <si>
    <t>PK-101130</t>
  </si>
  <si>
    <t>Chase Gutierrez</t>
  </si>
  <si>
    <t>martinezdaniel@gmail.com</t>
  </si>
  <si>
    <t>PK-101131</t>
  </si>
  <si>
    <t>Melissa Hendrix</t>
  </si>
  <si>
    <t>howardhannah@avila.biz</t>
  </si>
  <si>
    <t>PK-101132</t>
  </si>
  <si>
    <t>Isaac Miller</t>
  </si>
  <si>
    <t>connie92@meyer.com</t>
  </si>
  <si>
    <t>PK-101133</t>
  </si>
  <si>
    <t>Patrick Ryan</t>
  </si>
  <si>
    <t>adriana79@hotmail.com</t>
  </si>
  <si>
    <t>PK-101134</t>
  </si>
  <si>
    <t>Kathy Harrison</t>
  </si>
  <si>
    <t>conleyaustin@hotmail.com</t>
  </si>
  <si>
    <t>PK-101135</t>
  </si>
  <si>
    <t>Anthony Rodriguez</t>
  </si>
  <si>
    <t>josejohnson@peters.net</t>
  </si>
  <si>
    <t>PK-101136</t>
  </si>
  <si>
    <t>Felicia White</t>
  </si>
  <si>
    <t>cwilliams@washington.biz</t>
  </si>
  <si>
    <t>PK-101137</t>
  </si>
  <si>
    <t>Charles Whitehead</t>
  </si>
  <si>
    <t>judithfoster@yahoo.com</t>
  </si>
  <si>
    <t>PK-101138</t>
  </si>
  <si>
    <t>Joe Sims</t>
  </si>
  <si>
    <t>phyllis06@gmail.com</t>
  </si>
  <si>
    <t>PK-101139</t>
  </si>
  <si>
    <t>Jesse Ritter</t>
  </si>
  <si>
    <t>gsmith@hotmail.com</t>
  </si>
  <si>
    <t>PK-101140</t>
  </si>
  <si>
    <t>Henry Jackson</t>
  </si>
  <si>
    <t>ymyers@peterson-luna.com</t>
  </si>
  <si>
    <t>PK-101141</t>
  </si>
  <si>
    <t>Shannon Wolf</t>
  </si>
  <si>
    <t>morarobert@gmail.com</t>
  </si>
  <si>
    <t>PK-101142</t>
  </si>
  <si>
    <t>Brittany Little</t>
  </si>
  <si>
    <t>michael51@yahoo.com</t>
  </si>
  <si>
    <t>PK-101143</t>
  </si>
  <si>
    <t>Russell Bishop</t>
  </si>
  <si>
    <t>smithmeghan@hotmail.com</t>
  </si>
  <si>
    <t>PK-101144</t>
  </si>
  <si>
    <t>matthew72@lamb.com</t>
  </si>
  <si>
    <t>PK-101145</t>
  </si>
  <si>
    <t>Luis Vaughn</t>
  </si>
  <si>
    <t>dgiles@gmail.com</t>
  </si>
  <si>
    <t>PK-101146</t>
  </si>
  <si>
    <t>Rachel Chavez</t>
  </si>
  <si>
    <t>tburns@lopez-cardenas.org</t>
  </si>
  <si>
    <t>PK-101147</t>
  </si>
  <si>
    <t>Jennifer Montoya</t>
  </si>
  <si>
    <t>david75@gmail.com</t>
  </si>
  <si>
    <t>PK-101148</t>
  </si>
  <si>
    <t>Ryan Parrish</t>
  </si>
  <si>
    <t>hjacobs@mack.com</t>
  </si>
  <si>
    <t>PK-101149</t>
  </si>
  <si>
    <t>Troy Walker</t>
  </si>
  <si>
    <t>pbutler@patterson-flores.com</t>
  </si>
  <si>
    <t>PK-101150</t>
  </si>
  <si>
    <t>Cody Martinez</t>
  </si>
  <si>
    <t>christyjohnson@perez-gonzalez.com</t>
  </si>
  <si>
    <t>PK-101151</t>
  </si>
  <si>
    <t>Dennis Brown</t>
  </si>
  <si>
    <t>keith84@patel.biz</t>
  </si>
  <si>
    <t>PK-101152</t>
  </si>
  <si>
    <t>Kevin Torres</t>
  </si>
  <si>
    <t>joshuadonaldson@callahan.org</t>
  </si>
  <si>
    <t>PK-101153</t>
  </si>
  <si>
    <t>Dale Smith MD</t>
  </si>
  <si>
    <t>jasongamble@gmail.com</t>
  </si>
  <si>
    <t>PK-101154</t>
  </si>
  <si>
    <t>Melissa Dawson</t>
  </si>
  <si>
    <t>cynthiajenkins@gmail.com</t>
  </si>
  <si>
    <t>PK-101155</t>
  </si>
  <si>
    <t>Craig Chan</t>
  </si>
  <si>
    <t>snowmegan@hotmail.com</t>
  </si>
  <si>
    <t>PK-101156</t>
  </si>
  <si>
    <t>Keith Christian</t>
  </si>
  <si>
    <t>michael60@brady.com</t>
  </si>
  <si>
    <t>PK-101157</t>
  </si>
  <si>
    <t>Kevin Smith</t>
  </si>
  <si>
    <t>paulkaitlin@yahoo.com</t>
  </si>
  <si>
    <t>PK-101158</t>
  </si>
  <si>
    <t>Bradley Walker</t>
  </si>
  <si>
    <t>carolynjones@price-smith.com</t>
  </si>
  <si>
    <t>PK-101159</t>
  </si>
  <si>
    <t>Elizabeth Hanson</t>
  </si>
  <si>
    <t>cmiller@simpson-bass.net</t>
  </si>
  <si>
    <t>PK-101160</t>
  </si>
  <si>
    <t>Laurie Price</t>
  </si>
  <si>
    <t>micheal58@yahoo.com</t>
  </si>
  <si>
    <t>PK-101161</t>
  </si>
  <si>
    <t>George Oliver</t>
  </si>
  <si>
    <t>hendricksalec@yahoo.com</t>
  </si>
  <si>
    <t>PK-101162</t>
  </si>
  <si>
    <t>Spencer Henry</t>
  </si>
  <si>
    <t>mayojonathan@stevenson.com</t>
  </si>
  <si>
    <t>PK-101163</t>
  </si>
  <si>
    <t>Michael Saunders</t>
  </si>
  <si>
    <t>lberg@hernandez-wright.biz</t>
  </si>
  <si>
    <t>PK-101164</t>
  </si>
  <si>
    <t>Lisa Jimenez</t>
  </si>
  <si>
    <t>xthomas@macias.org</t>
  </si>
  <si>
    <t>PK-101165</t>
  </si>
  <si>
    <t>Eric Camacho</t>
  </si>
  <si>
    <t>williamlynch@gmail.com</t>
  </si>
  <si>
    <t>PK-101166</t>
  </si>
  <si>
    <t>ricky16@gmail.com</t>
  </si>
  <si>
    <t>PK-101167</t>
  </si>
  <si>
    <t>Victoria Barnes</t>
  </si>
  <si>
    <t>thomasrobert@hotmail.com</t>
  </si>
  <si>
    <t>PK-101168</t>
  </si>
  <si>
    <t>Brandon Bailey</t>
  </si>
  <si>
    <t>griffithrobert@hotmail.com</t>
  </si>
  <si>
    <t>PK-101169</t>
  </si>
  <si>
    <t>Nathan Myers</t>
  </si>
  <si>
    <t>anthony06@bell-luna.org</t>
  </si>
  <si>
    <t>PK-101170</t>
  </si>
  <si>
    <t>Theresa Castro</t>
  </si>
  <si>
    <t>christinathompson@simmons.com</t>
  </si>
  <si>
    <t>PK-101171</t>
  </si>
  <si>
    <t>Keith Nunez</t>
  </si>
  <si>
    <t>andrew71@yahoo.com</t>
  </si>
  <si>
    <t>PK-101172</t>
  </si>
  <si>
    <t>Sandra Baker</t>
  </si>
  <si>
    <t>laurawalker@fox.com</t>
  </si>
  <si>
    <t>PK-101173</t>
  </si>
  <si>
    <t>Kathy Jones</t>
  </si>
  <si>
    <t>ryan43@carrillo.biz</t>
  </si>
  <si>
    <t>PK-101174</t>
  </si>
  <si>
    <t>brentpalmer@mueller.com</t>
  </si>
  <si>
    <t>PK-101175</t>
  </si>
  <si>
    <t>Darius Miller</t>
  </si>
  <si>
    <t>tscott@robertson-ochoa.com</t>
  </si>
  <si>
    <t>PK-101176</t>
  </si>
  <si>
    <t>Ian Higgins</t>
  </si>
  <si>
    <t>davidjohnston@lewis-hart.com</t>
  </si>
  <si>
    <t>PK-101177</t>
  </si>
  <si>
    <t>Stephen Fox</t>
  </si>
  <si>
    <t>joshua91@hotmail.com</t>
  </si>
  <si>
    <t>PK-101178</t>
  </si>
  <si>
    <t>Tyler Harvey</t>
  </si>
  <si>
    <t>mevans@diaz.com</t>
  </si>
  <si>
    <t>PK-101179</t>
  </si>
  <si>
    <t>Donald Clark</t>
  </si>
  <si>
    <t>colleenpeck@chase.com</t>
  </si>
  <si>
    <t>PK-101180</t>
  </si>
  <si>
    <t>Candace Woodard</t>
  </si>
  <si>
    <t>mmiranda@collins-reyes.com</t>
  </si>
  <si>
    <t>PK-101181</t>
  </si>
  <si>
    <t>Mario Mcneil</t>
  </si>
  <si>
    <t>watsonmary@dickerson-baker.org</t>
  </si>
  <si>
    <t>PK-101182</t>
  </si>
  <si>
    <t>Jessica Todd</t>
  </si>
  <si>
    <t>melinda56@gmail.com</t>
  </si>
  <si>
    <t>PK-101183</t>
  </si>
  <si>
    <t>Ryan Mckinney</t>
  </si>
  <si>
    <t>charlessmith@gmail.com</t>
  </si>
  <si>
    <t>PK-101184</t>
  </si>
  <si>
    <t>Tammy Stark</t>
  </si>
  <si>
    <t>osalazar@lucas.com</t>
  </si>
  <si>
    <t>PK-101185</t>
  </si>
  <si>
    <t>Vanessa Bartlett</t>
  </si>
  <si>
    <t>brownchristina@yahoo.com</t>
  </si>
  <si>
    <t>PK-101186</t>
  </si>
  <si>
    <t>Pamela Sanchez</t>
  </si>
  <si>
    <t>megan57@mercado-collins.com</t>
  </si>
  <si>
    <t>PK-101187</t>
  </si>
  <si>
    <t>Kenneth Rubio</t>
  </si>
  <si>
    <t>ryan21@gmail.com</t>
  </si>
  <si>
    <t>PK-101188</t>
  </si>
  <si>
    <t>Joseph Hayden</t>
  </si>
  <si>
    <t>lyonsbrianna@gmail.com</t>
  </si>
  <si>
    <t>PK-101189</t>
  </si>
  <si>
    <t>bcarter@gmail.com</t>
  </si>
  <si>
    <t>PK-101190</t>
  </si>
  <si>
    <t>Dylan Sheppard</t>
  </si>
  <si>
    <t>ronaldjohnston@berry-davis.com</t>
  </si>
  <si>
    <t>PK-101191</t>
  </si>
  <si>
    <t>Samantha Floyd</t>
  </si>
  <si>
    <t>burnsdavid@hotmail.com</t>
  </si>
  <si>
    <t>PK-101192</t>
  </si>
  <si>
    <t>martinezcynthia@yahoo.com</t>
  </si>
  <si>
    <t>PK-101193</t>
  </si>
  <si>
    <t>Tyler Gardner</t>
  </si>
  <si>
    <t>alexandergarcia@henry.org</t>
  </si>
  <si>
    <t>PK-101194</t>
  </si>
  <si>
    <t>Larry Young Jr.</t>
  </si>
  <si>
    <t>andrea10@carter.com</t>
  </si>
  <si>
    <t>PK-101195</t>
  </si>
  <si>
    <t>Matthew Bradford</t>
  </si>
  <si>
    <t>greenmichael@hotmail.com</t>
  </si>
  <si>
    <t>PK-101196</t>
  </si>
  <si>
    <t>Michael Thomas</t>
  </si>
  <si>
    <t>dawnnewton@salinas.biz</t>
  </si>
  <si>
    <t>PK-101197</t>
  </si>
  <si>
    <t>Danielle Mcclure</t>
  </si>
  <si>
    <t>bfarrell@hotmail.com</t>
  </si>
  <si>
    <t>PK-101198</t>
  </si>
  <si>
    <t>Peter Arnold</t>
  </si>
  <si>
    <t>howarddenise@green-daniel.com</t>
  </si>
  <si>
    <t>PK-101199</t>
  </si>
  <si>
    <t>Randy Greene</t>
  </si>
  <si>
    <t>jill23@hall.com</t>
  </si>
  <si>
    <t>PK-101200</t>
  </si>
  <si>
    <t>Darren Schaefer</t>
  </si>
  <si>
    <t>lisa91@gmail.com</t>
  </si>
  <si>
    <t>PK-101201</t>
  </si>
  <si>
    <t>Mitchell Freeman</t>
  </si>
  <si>
    <t>eric51@miller.com</t>
  </si>
  <si>
    <t>PK-101202</t>
  </si>
  <si>
    <t>Edward Vega</t>
  </si>
  <si>
    <t>qmonroe@yahoo.com</t>
  </si>
  <si>
    <t>PK-101203</t>
  </si>
  <si>
    <t>Mrs. Angela Gardner</t>
  </si>
  <si>
    <t>ygardner@mason.com</t>
  </si>
  <si>
    <t>PK-101204</t>
  </si>
  <si>
    <t>Joshua Henderson</t>
  </si>
  <si>
    <t>nmccoy@gmail.com</t>
  </si>
  <si>
    <t>PK-101205</t>
  </si>
  <si>
    <t>Richard Pierce</t>
  </si>
  <si>
    <t>troy63@hotmail.com</t>
  </si>
  <si>
    <t>PK-101206</t>
  </si>
  <si>
    <t>Angela Gonzalez</t>
  </si>
  <si>
    <t>kevin69@gmail.com</t>
  </si>
  <si>
    <t>PK-101207</t>
  </si>
  <si>
    <t>Donald Sexton</t>
  </si>
  <si>
    <t>justinbentley@gmail.com</t>
  </si>
  <si>
    <t>PK-101208</t>
  </si>
  <si>
    <t>Lisa Soto</t>
  </si>
  <si>
    <t>angelbarrett@george.com</t>
  </si>
  <si>
    <t>PK-101209</t>
  </si>
  <si>
    <t>Andrew Dalton</t>
  </si>
  <si>
    <t>shortjacob@sanchez.org</t>
  </si>
  <si>
    <t>PK-101210</t>
  </si>
  <si>
    <t>Jacqueline Young</t>
  </si>
  <si>
    <t>smcclure@alvarado.com</t>
  </si>
  <si>
    <t>PK-101211</t>
  </si>
  <si>
    <t>Danielle Gray</t>
  </si>
  <si>
    <t>reneejohnson@smith.com</t>
  </si>
  <si>
    <t>PK-101212</t>
  </si>
  <si>
    <t>Connor Diaz</t>
  </si>
  <si>
    <t>yherring@lee-bell.com</t>
  </si>
  <si>
    <t>PK-101213</t>
  </si>
  <si>
    <t>Carla Collins</t>
  </si>
  <si>
    <t>fmanning@yahoo.com</t>
  </si>
  <si>
    <t>PK-101214</t>
  </si>
  <si>
    <t>Kristin Carroll</t>
  </si>
  <si>
    <t>joshua52@rasmussen.com</t>
  </si>
  <si>
    <t>PK-101215</t>
  </si>
  <si>
    <t>Christina Adams</t>
  </si>
  <si>
    <t>david64@arnold.com</t>
  </si>
  <si>
    <t>PK-101216</t>
  </si>
  <si>
    <t>Amy Hampton</t>
  </si>
  <si>
    <t>rodney65@gmail.com</t>
  </si>
  <si>
    <t>PK-101217</t>
  </si>
  <si>
    <t>Destiny Campbell</t>
  </si>
  <si>
    <t>shannonwallace@gray-woods.net</t>
  </si>
  <si>
    <t>PK-101218</t>
  </si>
  <si>
    <t>Alejandro Smith</t>
  </si>
  <si>
    <t>ncarroll@preston-lloyd.info</t>
  </si>
  <si>
    <t>PK-101219</t>
  </si>
  <si>
    <t>Sara Marquez</t>
  </si>
  <si>
    <t>danieljohnson@hotmail.com</t>
  </si>
  <si>
    <t>PK-101220</t>
  </si>
  <si>
    <t>Michael Chang</t>
  </si>
  <si>
    <t>usmith@benton-shepard.net</t>
  </si>
  <si>
    <t>PK-101221</t>
  </si>
  <si>
    <t>Adam Lowe</t>
  </si>
  <si>
    <t>onixon@contreras.com</t>
  </si>
  <si>
    <t>PK-101222</t>
  </si>
  <si>
    <t>Stacey Burton</t>
  </si>
  <si>
    <t>williamwhite@boyle.com</t>
  </si>
  <si>
    <t>PK-101223</t>
  </si>
  <si>
    <t>Brittany Gray</t>
  </si>
  <si>
    <t>nsoto@yahoo.com</t>
  </si>
  <si>
    <t>PK-101224</t>
  </si>
  <si>
    <t>Joseph Buchanan</t>
  </si>
  <si>
    <t>emilygreen@hotmail.com</t>
  </si>
  <si>
    <t>PK-101225</t>
  </si>
  <si>
    <t>John James</t>
  </si>
  <si>
    <t>gibsonmichael@johnson.com</t>
  </si>
  <si>
    <t>PK-101226</t>
  </si>
  <si>
    <t>Tyler Erickson</t>
  </si>
  <si>
    <t>lejackie@summers.com</t>
  </si>
  <si>
    <t>PK-101227</t>
  </si>
  <si>
    <t>Tanya Kline</t>
  </si>
  <si>
    <t>plee@aguilar.com</t>
  </si>
  <si>
    <t>PK-101228</t>
  </si>
  <si>
    <t>Larry York</t>
  </si>
  <si>
    <t>ilyons@coleman.info</t>
  </si>
  <si>
    <t>PK-101229</t>
  </si>
  <si>
    <t>Evan Smith</t>
  </si>
  <si>
    <t>izhang@yahoo.com</t>
  </si>
  <si>
    <t>PK-101230</t>
  </si>
  <si>
    <t>Mary Gallagher</t>
  </si>
  <si>
    <t>andreabarnett@yahoo.com</t>
  </si>
  <si>
    <t>PK-101231</t>
  </si>
  <si>
    <t>Gabriel Norris</t>
  </si>
  <si>
    <t>dodsonwillie@gmail.com</t>
  </si>
  <si>
    <t>PK-101232</t>
  </si>
  <si>
    <t>Shirley Perez</t>
  </si>
  <si>
    <t>rosebrenda@hotmail.com</t>
  </si>
  <si>
    <t>PK-101233</t>
  </si>
  <si>
    <t>Kristine Downs</t>
  </si>
  <si>
    <t>melinda72@hicks.com</t>
  </si>
  <si>
    <t>PK-101234</t>
  </si>
  <si>
    <t>Hannah Scott</t>
  </si>
  <si>
    <t>smithamy@jones-long.com</t>
  </si>
  <si>
    <t>PK-101235</t>
  </si>
  <si>
    <t>David Best</t>
  </si>
  <si>
    <t>dodsonphillip@yahoo.com</t>
  </si>
  <si>
    <t>PK-101236</t>
  </si>
  <si>
    <t>Charles Smith</t>
  </si>
  <si>
    <t>pbarber@gmail.com</t>
  </si>
  <si>
    <t>PK-101237</t>
  </si>
  <si>
    <t>Justin Parker</t>
  </si>
  <si>
    <t>opoole@gmail.com</t>
  </si>
  <si>
    <t>PK-101238</t>
  </si>
  <si>
    <t>John Cuevas</t>
  </si>
  <si>
    <t>alexandra22@yahoo.com</t>
  </si>
  <si>
    <t>PK-101239</t>
  </si>
  <si>
    <t>Victoria Rogers</t>
  </si>
  <si>
    <t>spayne@erickson-rodriguez.info</t>
  </si>
  <si>
    <t>PK-101240</t>
  </si>
  <si>
    <t>Shawn Allen</t>
  </si>
  <si>
    <t>kennethgarcia@hotmail.com</t>
  </si>
  <si>
    <t>PK-101241</t>
  </si>
  <si>
    <t>Damon Anderson</t>
  </si>
  <si>
    <t>pmalone@spencer-odom.org</t>
  </si>
  <si>
    <t>PK-101242</t>
  </si>
  <si>
    <t>Thomas Jenkins</t>
  </si>
  <si>
    <t>krystalanderson@mccormick-williamson.org</t>
  </si>
  <si>
    <t>PK-101243</t>
  </si>
  <si>
    <t>Mark Norman</t>
  </si>
  <si>
    <t>torresmarvin@smith-bentley.info</t>
  </si>
  <si>
    <t>PK-101244</t>
  </si>
  <si>
    <t>Morgan Berry</t>
  </si>
  <si>
    <t>garyrussell@yahoo.com</t>
  </si>
  <si>
    <t>PK-101245</t>
  </si>
  <si>
    <t>Michael Stephens</t>
  </si>
  <si>
    <t>orich@moss.com</t>
  </si>
  <si>
    <t>PK-101246</t>
  </si>
  <si>
    <t>Kevin Martin</t>
  </si>
  <si>
    <t>iortiz@yahoo.com</t>
  </si>
  <si>
    <t>PK-101247</t>
  </si>
  <si>
    <t>Tony Haynes</t>
  </si>
  <si>
    <t>deannamartinez@johnson.com</t>
  </si>
  <si>
    <t>PK-101248</t>
  </si>
  <si>
    <t>Jeffrey Mclaughlin</t>
  </si>
  <si>
    <t>stacycooper@hotmail.com</t>
  </si>
  <si>
    <t>PK-101249</t>
  </si>
  <si>
    <t>Jennifer Norman</t>
  </si>
  <si>
    <t>smithclaire@anderson-scott.com</t>
  </si>
  <si>
    <t>PK-101250</t>
  </si>
  <si>
    <t>Lisa Williams</t>
  </si>
  <si>
    <t>christopherhill@lee.info</t>
  </si>
  <si>
    <t>PK-101251</t>
  </si>
  <si>
    <t>Martha Stark</t>
  </si>
  <si>
    <t>wilsonelizabeth@mclaughlin.info</t>
  </si>
  <si>
    <t>PK-101252</t>
  </si>
  <si>
    <t>Keith Lopez</t>
  </si>
  <si>
    <t>john04@jordan-malone.biz</t>
  </si>
  <si>
    <t>PK-101253</t>
  </si>
  <si>
    <t>Karen Palmer</t>
  </si>
  <si>
    <t>rosariophilip@gmail.com</t>
  </si>
  <si>
    <t>PK-101254</t>
  </si>
  <si>
    <t>William Cox</t>
  </si>
  <si>
    <t>kari11@brown.org</t>
  </si>
  <si>
    <t>PK-101255</t>
  </si>
  <si>
    <t>Christine Hicks</t>
  </si>
  <si>
    <t>jeffrey79@mckay-evans.com</t>
  </si>
  <si>
    <t>PK-101256</t>
  </si>
  <si>
    <t>Julie Wyatt</t>
  </si>
  <si>
    <t>webstermichelle@hotmail.com</t>
  </si>
  <si>
    <t>PK-101257</t>
  </si>
  <si>
    <t>Steven Lynch</t>
  </si>
  <si>
    <t>lindseychristensen@hotmail.com</t>
  </si>
  <si>
    <t>PK-101258</t>
  </si>
  <si>
    <t>Katrina Johnson</t>
  </si>
  <si>
    <t>npeters@ryan-eaton.com</t>
  </si>
  <si>
    <t>PK-101259</t>
  </si>
  <si>
    <t>Robert Smith</t>
  </si>
  <si>
    <t>warnerrobert@hotmail.com</t>
  </si>
  <si>
    <t>PK-101260</t>
  </si>
  <si>
    <t>Kristine Jones</t>
  </si>
  <si>
    <t>duncankaren@hotmail.com</t>
  </si>
  <si>
    <t>PK-101261</t>
  </si>
  <si>
    <t>Mr. Brandon Smith</t>
  </si>
  <si>
    <t>jacksonerika@gmail.com</t>
  </si>
  <si>
    <t>PK-101262</t>
  </si>
  <si>
    <t>Sergio Green</t>
  </si>
  <si>
    <t>greg53@hotmail.com</t>
  </si>
  <si>
    <t>PK-101263</t>
  </si>
  <si>
    <t>Ashlee Wagner</t>
  </si>
  <si>
    <t>nicholsolivia@hotmail.com</t>
  </si>
  <si>
    <t>PK-101264</t>
  </si>
  <si>
    <t>Leslie Higgins</t>
  </si>
  <si>
    <t>kbryan@yahoo.com</t>
  </si>
  <si>
    <t>PK-101265</t>
  </si>
  <si>
    <t>Toni Garcia</t>
  </si>
  <si>
    <t>beckkatherine@morrow.com</t>
  </si>
  <si>
    <t>PK-101266</t>
  </si>
  <si>
    <t>Deborah Vasquez</t>
  </si>
  <si>
    <t>turnerharry@weber-mitchell.com</t>
  </si>
  <si>
    <t>PK-101267</t>
  </si>
  <si>
    <t>Richard Smith</t>
  </si>
  <si>
    <t>richardbailey@richardson.com</t>
  </si>
  <si>
    <t>PK-101268</t>
  </si>
  <si>
    <t>Carlos Williams</t>
  </si>
  <si>
    <t>leecollins@hotmail.com</t>
  </si>
  <si>
    <t>PK-101269</t>
  </si>
  <si>
    <t>Stacey Harvey</t>
  </si>
  <si>
    <t>jbarrett@smith.net</t>
  </si>
  <si>
    <t>PK-101270</t>
  </si>
  <si>
    <t>Lindsey Patel</t>
  </si>
  <si>
    <t>jenniferlawson@graham-harrison.com</t>
  </si>
  <si>
    <t>PK-101271</t>
  </si>
  <si>
    <t>Ashley Payne</t>
  </si>
  <si>
    <t>troyrice@morris.com</t>
  </si>
  <si>
    <t>PK-101272</t>
  </si>
  <si>
    <t>Megan Moore</t>
  </si>
  <si>
    <t>laura87@gmail.com</t>
  </si>
  <si>
    <t>PK-101273</t>
  </si>
  <si>
    <t>Jody Hernandez</t>
  </si>
  <si>
    <t>catherine50@randall-bryant.com</t>
  </si>
  <si>
    <t>PK-101274</t>
  </si>
  <si>
    <t>Melissa Smith</t>
  </si>
  <si>
    <t>tanner09@jensen.biz</t>
  </si>
  <si>
    <t>PK-101275</t>
  </si>
  <si>
    <t>Monica Young</t>
  </si>
  <si>
    <t>zklein@ramirez-villa.net</t>
  </si>
  <si>
    <t>PK-101276</t>
  </si>
  <si>
    <t>Karen Davis</t>
  </si>
  <si>
    <t>villarrealjoseph@peterson.com</t>
  </si>
  <si>
    <t>PK-101277</t>
  </si>
  <si>
    <t>Monica Castro</t>
  </si>
  <si>
    <t>morganlauren@watson.biz</t>
  </si>
  <si>
    <t>PK-101278</t>
  </si>
  <si>
    <t>Cameron Williams</t>
  </si>
  <si>
    <t>rday@gmail.com</t>
  </si>
  <si>
    <t>PK-101279</t>
  </si>
  <si>
    <t>Spencer Norman</t>
  </si>
  <si>
    <t>diana19@yahoo.com</t>
  </si>
  <si>
    <t>PK-101280</t>
  </si>
  <si>
    <t>Alicia Garcia</t>
  </si>
  <si>
    <t>uschaefer@hotmail.com</t>
  </si>
  <si>
    <t>PK-101281</t>
  </si>
  <si>
    <t>Cindy Camacho</t>
  </si>
  <si>
    <t>gmurray@thomas.com</t>
  </si>
  <si>
    <t>PK-101282</t>
  </si>
  <si>
    <t>Deborah Owens</t>
  </si>
  <si>
    <t>pamela24@yahoo.com</t>
  </si>
  <si>
    <t>PK-101283</t>
  </si>
  <si>
    <t>Robert Jones</t>
  </si>
  <si>
    <t>jenkinsharry@yahoo.com</t>
  </si>
  <si>
    <t>PK-101284</t>
  </si>
  <si>
    <t>gouldfrank@gmail.com</t>
  </si>
  <si>
    <t>PK-101285</t>
  </si>
  <si>
    <t>Monica Mcguire</t>
  </si>
  <si>
    <t>dale32@montoya.net</t>
  </si>
  <si>
    <t>PK-101286</t>
  </si>
  <si>
    <t>Breanna Hall</t>
  </si>
  <si>
    <t>matthewanderson@howell.info</t>
  </si>
  <si>
    <t>PK-101287</t>
  </si>
  <si>
    <t>George Robertson</t>
  </si>
  <si>
    <t>samantha02@yahoo.com</t>
  </si>
  <si>
    <t>PK-101288</t>
  </si>
  <si>
    <t>Bernard Robertson</t>
  </si>
  <si>
    <t>jsantana@kennedy-palmer.com</t>
  </si>
  <si>
    <t>PK-101289</t>
  </si>
  <si>
    <t>Denise Sloan</t>
  </si>
  <si>
    <t>fergusonbeverly@gmail.com</t>
  </si>
  <si>
    <t>PK-101290</t>
  </si>
  <si>
    <t>Amy Cummings</t>
  </si>
  <si>
    <t>woodslori@reed.info</t>
  </si>
  <si>
    <t>PK-101291</t>
  </si>
  <si>
    <t>Andrew Wilson</t>
  </si>
  <si>
    <t>johnny36@taylor.com</t>
  </si>
  <si>
    <t>PK-101292</t>
  </si>
  <si>
    <t>Brandy Bentley</t>
  </si>
  <si>
    <t>twarren@hotmail.com</t>
  </si>
  <si>
    <t>PK-101293</t>
  </si>
  <si>
    <t>Frank Davis</t>
  </si>
  <si>
    <t>nalexander@hotmail.com</t>
  </si>
  <si>
    <t>PK-101294</t>
  </si>
  <si>
    <t>Marc Johnson</t>
  </si>
  <si>
    <t>ashleycarpenter@hotmail.com</t>
  </si>
  <si>
    <t>PK-101295</t>
  </si>
  <si>
    <t>Brianna Miller</t>
  </si>
  <si>
    <t>nmccarty@gmail.com</t>
  </si>
  <si>
    <t>PK-101296</t>
  </si>
  <si>
    <t>Gabriel Wilson</t>
  </si>
  <si>
    <t>glenn25@yahoo.com</t>
  </si>
  <si>
    <t>PK-101297</t>
  </si>
  <si>
    <t>Raymond Soto</t>
  </si>
  <si>
    <t>megan39@hotmail.com</t>
  </si>
  <si>
    <t>PK-101298</t>
  </si>
  <si>
    <t>Gregory Jackson</t>
  </si>
  <si>
    <t>dle@moore.com</t>
  </si>
  <si>
    <t>PK-101299</t>
  </si>
  <si>
    <t>Kristy Bartlett</t>
  </si>
  <si>
    <t>matthew30@salazar.com</t>
  </si>
  <si>
    <t>PK-101300</t>
  </si>
  <si>
    <t>Lucas Allen</t>
  </si>
  <si>
    <t>mgoodman@yahoo.com</t>
  </si>
  <si>
    <t>PK-101301</t>
  </si>
  <si>
    <t>Andrew Smith</t>
  </si>
  <si>
    <t>michaelmarshall@gmail.com</t>
  </si>
  <si>
    <t>PK-101302</t>
  </si>
  <si>
    <t>Whitney Thompson</t>
  </si>
  <si>
    <t>laurenmathis@becker.com</t>
  </si>
  <si>
    <t>PK-101303</t>
  </si>
  <si>
    <t>David Rodriguez</t>
  </si>
  <si>
    <t>bentleyherbert@hotmail.com</t>
  </si>
  <si>
    <t>PK-101304</t>
  </si>
  <si>
    <t>Justin Cruz</t>
  </si>
  <si>
    <t>leemisty@miller.com</t>
  </si>
  <si>
    <t>PK-101305</t>
  </si>
  <si>
    <t>Valerie Kennedy</t>
  </si>
  <si>
    <t>vharris@adams.com</t>
  </si>
  <si>
    <t>PK-101306</t>
  </si>
  <si>
    <t>Michael Riddle</t>
  </si>
  <si>
    <t>karina63@gmail.com</t>
  </si>
  <si>
    <t>PK-101307</t>
  </si>
  <si>
    <t>Mr. Tyler Velazquez Jr.</t>
  </si>
  <si>
    <t>nlindsey@torres.com</t>
  </si>
  <si>
    <t>PK-101308</t>
  </si>
  <si>
    <t>Teresa Foster</t>
  </si>
  <si>
    <t>kimjackson@garner.com</t>
  </si>
  <si>
    <t>PK-101309</t>
  </si>
  <si>
    <t>Lisa Cruz</t>
  </si>
  <si>
    <t>martinangelica@garcia.com</t>
  </si>
  <si>
    <t>PK-101310</t>
  </si>
  <si>
    <t>Scott Griffith</t>
  </si>
  <si>
    <t>zgreen@flores-baker.com</t>
  </si>
  <si>
    <t>PK-101311</t>
  </si>
  <si>
    <t>Mark Garcia</t>
  </si>
  <si>
    <t>snovak@hotmail.com</t>
  </si>
  <si>
    <t>PK-101312</t>
  </si>
  <si>
    <t>gthompson@yahoo.com</t>
  </si>
  <si>
    <t>PK-101313</t>
  </si>
  <si>
    <t>David Clark</t>
  </si>
  <si>
    <t>tinagrimes@yahoo.com</t>
  </si>
  <si>
    <t>PK-101314</t>
  </si>
  <si>
    <t>Nancy Cox</t>
  </si>
  <si>
    <t>katherine60@hotmail.com</t>
  </si>
  <si>
    <t>PK-101315</t>
  </si>
  <si>
    <t>Kelly Padilla</t>
  </si>
  <si>
    <t>dcantu@gmail.com</t>
  </si>
  <si>
    <t>PK-101316</t>
  </si>
  <si>
    <t>Angel Haas</t>
  </si>
  <si>
    <t>ksullivan@hotmail.com</t>
  </si>
  <si>
    <t>PK-101317</t>
  </si>
  <si>
    <t>bhudson@gmail.com</t>
  </si>
  <si>
    <t>PK-101318</t>
  </si>
  <si>
    <t>Peter Jacobs</t>
  </si>
  <si>
    <t>wfrost@flowers.biz</t>
  </si>
  <si>
    <t>PK-101319</t>
  </si>
  <si>
    <t>Michael Williams</t>
  </si>
  <si>
    <t>allisonanthony@may.com</t>
  </si>
  <si>
    <t>PK-101320</t>
  </si>
  <si>
    <t>conwaymichelle@hotmail.com</t>
  </si>
  <si>
    <t>PK-101321</t>
  </si>
  <si>
    <t>Robert Rodriguez</t>
  </si>
  <si>
    <t>steven10@gutierrez-hernandez.info</t>
  </si>
  <si>
    <t>PK-101322</t>
  </si>
  <si>
    <t>Anthony Ramirez</t>
  </si>
  <si>
    <t>nrobbins@mitchell.info</t>
  </si>
  <si>
    <t>PK-101323</t>
  </si>
  <si>
    <t>Blake Patterson</t>
  </si>
  <si>
    <t>robertskaylee@hotmail.com</t>
  </si>
  <si>
    <t>PK-101324</t>
  </si>
  <si>
    <t>Mr. Brian Phillips MD</t>
  </si>
  <si>
    <t>aimeeferguson@richardson.com</t>
  </si>
  <si>
    <t>PK-101325</t>
  </si>
  <si>
    <t>Harold Johnson</t>
  </si>
  <si>
    <t>fbray@hotmail.com</t>
  </si>
  <si>
    <t>PK-101326</t>
  </si>
  <si>
    <t>Cynthia Smith</t>
  </si>
  <si>
    <t>robert64@hotmail.com</t>
  </si>
  <si>
    <t>PK-101327</t>
  </si>
  <si>
    <t>Richard Hartman</t>
  </si>
  <si>
    <t>joneschristina@hotmail.com</t>
  </si>
  <si>
    <t>PK-101328</t>
  </si>
  <si>
    <t>Cheryl Kidd</t>
  </si>
  <si>
    <t>kevinwebster@sweeney.info</t>
  </si>
  <si>
    <t>PK-101329</t>
  </si>
  <si>
    <t>Arthur Gonzalez</t>
  </si>
  <si>
    <t>michaelmurphy@gmail.com</t>
  </si>
  <si>
    <t>PK-101330</t>
  </si>
  <si>
    <t>Natalie Barker</t>
  </si>
  <si>
    <t>browndonald@yahoo.com</t>
  </si>
  <si>
    <t>PK-101331</t>
  </si>
  <si>
    <t>smunoz@yahoo.com</t>
  </si>
  <si>
    <t>PK-101332</t>
  </si>
  <si>
    <t>melissamann@reese.com</t>
  </si>
  <si>
    <t>PK-101333</t>
  </si>
  <si>
    <t>Sandra Welch</t>
  </si>
  <si>
    <t>richardshannon@gmail.com</t>
  </si>
  <si>
    <t>PK-101334</t>
  </si>
  <si>
    <t>Janice Phillips</t>
  </si>
  <si>
    <t>ylee@yahoo.com</t>
  </si>
  <si>
    <t>PK-101335</t>
  </si>
  <si>
    <t>Danielle Andrade</t>
  </si>
  <si>
    <t>adamcarson@yahoo.com</t>
  </si>
  <si>
    <t>PK-101336</t>
  </si>
  <si>
    <t>Kimberly Flores</t>
  </si>
  <si>
    <t>spencercarroll@yahoo.com</t>
  </si>
  <si>
    <t>PK-101337</t>
  </si>
  <si>
    <t>Michael Lane</t>
  </si>
  <si>
    <t>ericaallen@hotmail.com</t>
  </si>
  <si>
    <t>PK-101338</t>
  </si>
  <si>
    <t>Mr. Johnathan Holt IV</t>
  </si>
  <si>
    <t>christopher23@hotmail.com</t>
  </si>
  <si>
    <t>PK-101339</t>
  </si>
  <si>
    <t>John Dean</t>
  </si>
  <si>
    <t>thompsonmary@turner.org</t>
  </si>
  <si>
    <t>PK-101340</t>
  </si>
  <si>
    <t>Deanna Lee</t>
  </si>
  <si>
    <t>epowell@hotmail.com</t>
  </si>
  <si>
    <t>PK-101341</t>
  </si>
  <si>
    <t>Darren Moyer</t>
  </si>
  <si>
    <t>yhopkins@yahoo.com</t>
  </si>
  <si>
    <t>PK-101342</t>
  </si>
  <si>
    <t>Scott Torres</t>
  </si>
  <si>
    <t>rebecca21@chambers-jackson.net</t>
  </si>
  <si>
    <t>PK-101343</t>
  </si>
  <si>
    <t>Christina Cunningham</t>
  </si>
  <si>
    <t>michael34@yahoo.com</t>
  </si>
  <si>
    <t>PK-101344</t>
  </si>
  <si>
    <t>David Costa</t>
  </si>
  <si>
    <t>robin92@vazquez.org</t>
  </si>
  <si>
    <t>PK-101345</t>
  </si>
  <si>
    <t>Olivia Stewart</t>
  </si>
  <si>
    <t>mstone@yahoo.com</t>
  </si>
  <si>
    <t>PK-101346</t>
  </si>
  <si>
    <t>Michael Bryant</t>
  </si>
  <si>
    <t>bridgesleslie@yahoo.com</t>
  </si>
  <si>
    <t>PK-101347</t>
  </si>
  <si>
    <t>Ethan Luna</t>
  </si>
  <si>
    <t>oclements@baker.com</t>
  </si>
  <si>
    <t>PK-101348</t>
  </si>
  <si>
    <t>Taylor Villa</t>
  </si>
  <si>
    <t>gomezbradley@donovan.net</t>
  </si>
  <si>
    <t>PK-101349</t>
  </si>
  <si>
    <t>Jason Rice</t>
  </si>
  <si>
    <t>mpena@miller.com</t>
  </si>
  <si>
    <t>PK-101350</t>
  </si>
  <si>
    <t>Stanley Mendoza</t>
  </si>
  <si>
    <t>nfigueroa@yahoo.com</t>
  </si>
  <si>
    <t>PK-101351</t>
  </si>
  <si>
    <t>Dana Callahan</t>
  </si>
  <si>
    <t>mallory44@robertson-hickman.info</t>
  </si>
  <si>
    <t>PK-101352</t>
  </si>
  <si>
    <t>Christine Campbell</t>
  </si>
  <si>
    <t>vincent03@jackson-sanchez.biz</t>
  </si>
  <si>
    <t>PK-101353</t>
  </si>
  <si>
    <t>Ronald Adams</t>
  </si>
  <si>
    <t>ewebster@gmail.com</t>
  </si>
  <si>
    <t>PK-101354</t>
  </si>
  <si>
    <t>Mr. Seth Levine Jr.</t>
  </si>
  <si>
    <t>justin93@gmail.com</t>
  </si>
  <si>
    <t>PK-101355</t>
  </si>
  <si>
    <t>Bradley Guzman</t>
  </si>
  <si>
    <t>prodriguez@yahoo.com</t>
  </si>
  <si>
    <t>PK-101356</t>
  </si>
  <si>
    <t>Maria Summers</t>
  </si>
  <si>
    <t>mgraves@hamilton.com</t>
  </si>
  <si>
    <t>PK-101357</t>
  </si>
  <si>
    <t>Jerry Hale</t>
  </si>
  <si>
    <t>virginia62@yahoo.com</t>
  </si>
  <si>
    <t>PK-101358</t>
  </si>
  <si>
    <t>Jennifer Brooks</t>
  </si>
  <si>
    <t>mark48@yahoo.com</t>
  </si>
  <si>
    <t>PK-101359</t>
  </si>
  <si>
    <t>David Flowers</t>
  </si>
  <si>
    <t>kimberly76@yahoo.com</t>
  </si>
  <si>
    <t>PK-101360</t>
  </si>
  <si>
    <t>Julia Garcia</t>
  </si>
  <si>
    <t>gsullivan@pearson.com</t>
  </si>
  <si>
    <t>PK-101361</t>
  </si>
  <si>
    <t>Tina Brown</t>
  </si>
  <si>
    <t>mwilson@hancock-bowman.biz</t>
  </si>
  <si>
    <t>PK-101362</t>
  </si>
  <si>
    <t>Valerie Brown</t>
  </si>
  <si>
    <t>mhartman@houston.com</t>
  </si>
  <si>
    <t>PK-101363</t>
  </si>
  <si>
    <t>Brian Melendez</t>
  </si>
  <si>
    <t>thomasrichardson@shea-walker.com</t>
  </si>
  <si>
    <t>PK-101364</t>
  </si>
  <si>
    <t>Isaiah Jordan</t>
  </si>
  <si>
    <t>aarnold@gmail.com</t>
  </si>
  <si>
    <t>PK-101365</t>
  </si>
  <si>
    <t>Haley Miller</t>
  </si>
  <si>
    <t>lauren43@harris.com</t>
  </si>
  <si>
    <t>PK-101366</t>
  </si>
  <si>
    <t>Monica Douglas</t>
  </si>
  <si>
    <t>xjefferson@gmail.com</t>
  </si>
  <si>
    <t>PK-101367</t>
  </si>
  <si>
    <t>Robin Crosby</t>
  </si>
  <si>
    <t>laura51@gmail.com</t>
  </si>
  <si>
    <t>PK-101368</t>
  </si>
  <si>
    <t>Elaine Wang</t>
  </si>
  <si>
    <t>pstein@hotmail.com</t>
  </si>
  <si>
    <t>PK-101369</t>
  </si>
  <si>
    <t>Debbie Moore</t>
  </si>
  <si>
    <t>vharris@king-webb.com</t>
  </si>
  <si>
    <t>PK-101370</t>
  </si>
  <si>
    <t>Cindy Olsen</t>
  </si>
  <si>
    <t>jacksonrebekah@rodriguez-garcia.com</t>
  </si>
  <si>
    <t>PK-101371</t>
  </si>
  <si>
    <t>Catherine Franklin</t>
  </si>
  <si>
    <t>williamsmatthew@yahoo.com</t>
  </si>
  <si>
    <t>PK-101372</t>
  </si>
  <si>
    <t>Lindsey Francis</t>
  </si>
  <si>
    <t>mayjesus@gonzalez.info</t>
  </si>
  <si>
    <t>PK-101373</t>
  </si>
  <si>
    <t>Sherry Parks</t>
  </si>
  <si>
    <t>michaelsavage@chapman-mills.com</t>
  </si>
  <si>
    <t>PK-101374</t>
  </si>
  <si>
    <t>Theresa Payne</t>
  </si>
  <si>
    <t>wendy11@yahoo.com</t>
  </si>
  <si>
    <t>PK-101375</t>
  </si>
  <si>
    <t>Mrs. Rachel Allison</t>
  </si>
  <si>
    <t>andreaespinoza@hotmail.com</t>
  </si>
  <si>
    <t>PK-101376</t>
  </si>
  <si>
    <t>Brett Patel</t>
  </si>
  <si>
    <t>jeffersonsarah@bautista.com</t>
  </si>
  <si>
    <t>PK-101377</t>
  </si>
  <si>
    <t>James Soto</t>
  </si>
  <si>
    <t>tiffany46@gmail.com</t>
  </si>
  <si>
    <t>PK-101378</t>
  </si>
  <si>
    <t>Kelly Perez</t>
  </si>
  <si>
    <t>fernandezkelly@adkins.com</t>
  </si>
  <si>
    <t>PK-101379</t>
  </si>
  <si>
    <t>Tracy Jensen</t>
  </si>
  <si>
    <t>robin74@hotmail.com</t>
  </si>
  <si>
    <t>PK-101380</t>
  </si>
  <si>
    <t>Chase Franklin</t>
  </si>
  <si>
    <t>njackson@gmail.com</t>
  </si>
  <si>
    <t>PK-101381</t>
  </si>
  <si>
    <t>Michael Petty</t>
  </si>
  <si>
    <t>aboyd@yahoo.com</t>
  </si>
  <si>
    <t>PK-101382</t>
  </si>
  <si>
    <t>Keith Harris</t>
  </si>
  <si>
    <t>mross@yahoo.com</t>
  </si>
  <si>
    <t>PK-101383</t>
  </si>
  <si>
    <t>Alisha Zuniga</t>
  </si>
  <si>
    <t>tyler23@wilson-taylor.com</t>
  </si>
  <si>
    <t>PK-101384</t>
  </si>
  <si>
    <t>Jennifer Burton</t>
  </si>
  <si>
    <t>sergioharris@beck-mcknight.biz</t>
  </si>
  <si>
    <t>PK-101385</t>
  </si>
  <si>
    <t>Elizabeth Horton</t>
  </si>
  <si>
    <t>vknox@johnson.com</t>
  </si>
  <si>
    <t>PK-101386</t>
  </si>
  <si>
    <t>Deanna Murphy</t>
  </si>
  <si>
    <t>johnperez@jarvis-turner.com</t>
  </si>
  <si>
    <t>PK-101387</t>
  </si>
  <si>
    <t>Sierra Young</t>
  </si>
  <si>
    <t>turnerrobert@yahoo.com</t>
  </si>
  <si>
    <t>PK-101388</t>
  </si>
  <si>
    <t>Thomas Mckinney</t>
  </si>
  <si>
    <t>mercadoerik@hotmail.com</t>
  </si>
  <si>
    <t>PK-101389</t>
  </si>
  <si>
    <t>Julia Savage</t>
  </si>
  <si>
    <t>leslie40@yahoo.com</t>
  </si>
  <si>
    <t>PK-101390</t>
  </si>
  <si>
    <t>Megan Brandt</t>
  </si>
  <si>
    <t>megan44@forbes-boyle.com</t>
  </si>
  <si>
    <t>PK-101391</t>
  </si>
  <si>
    <t>ramirezwilliam@green-rivera.biz</t>
  </si>
  <si>
    <t>PK-101392</t>
  </si>
  <si>
    <t>Christopher Jones</t>
  </si>
  <si>
    <t>imcgee@yahoo.com</t>
  </si>
  <si>
    <t>PK-101393</t>
  </si>
  <si>
    <t>Aaron Flores</t>
  </si>
  <si>
    <t>beth18@gonzalez.com</t>
  </si>
  <si>
    <t>PK-101394</t>
  </si>
  <si>
    <t>Michelle Sullivan</t>
  </si>
  <si>
    <t>alvarezrichard@yahoo.com</t>
  </si>
  <si>
    <t>PK-101395</t>
  </si>
  <si>
    <t>Jessica Jones</t>
  </si>
  <si>
    <t>robinmiller@yahoo.com</t>
  </si>
  <si>
    <t>PK-101396</t>
  </si>
  <si>
    <t>Antonio Payne</t>
  </si>
  <si>
    <t>jasonyoder@bauer.com</t>
  </si>
  <si>
    <t>PK-101397</t>
  </si>
  <si>
    <t>Ryan Alexander</t>
  </si>
  <si>
    <t>daniellethomas@vargas.com</t>
  </si>
  <si>
    <t>PK-101398</t>
  </si>
  <si>
    <t>Mr. Michael Mills</t>
  </si>
  <si>
    <t>wadejacqueline@rose.net</t>
  </si>
  <si>
    <t>PK-101399</t>
  </si>
  <si>
    <t>Gregory Smith</t>
  </si>
  <si>
    <t>johnsonkatherine@yahoo.com</t>
  </si>
  <si>
    <t>PK-101400</t>
  </si>
  <si>
    <t>Abigail Johnson</t>
  </si>
  <si>
    <t>lanetina@yahoo.com</t>
  </si>
  <si>
    <t>PK-101401</t>
  </si>
  <si>
    <t>Elizabeth Adams</t>
  </si>
  <si>
    <t>cflowers@harris-farmer.biz</t>
  </si>
  <si>
    <t>PK-101402</t>
  </si>
  <si>
    <t>Christina Estrada</t>
  </si>
  <si>
    <t>cleonard@yahoo.com</t>
  </si>
  <si>
    <t>PK-101403</t>
  </si>
  <si>
    <t>Veronica Ramos</t>
  </si>
  <si>
    <t>sandersjonathan@gutierrez-reynolds.info</t>
  </si>
  <si>
    <t>PK-101404</t>
  </si>
  <si>
    <t>Ashley Martin</t>
  </si>
  <si>
    <t>tbutler@yahoo.com</t>
  </si>
  <si>
    <t>PK-101405</t>
  </si>
  <si>
    <t>Elizabeth Williamson</t>
  </si>
  <si>
    <t>taylorchelsea@yahoo.com</t>
  </si>
  <si>
    <t>PK-101406</t>
  </si>
  <si>
    <t>Melissa Miller</t>
  </si>
  <si>
    <t>rachaelhamilton@gmail.com</t>
  </si>
  <si>
    <t>PK-101407</t>
  </si>
  <si>
    <t>Robert Coleman</t>
  </si>
  <si>
    <t>sarahkelley@thomas.com</t>
  </si>
  <si>
    <t>PK-101408</t>
  </si>
  <si>
    <t>Andrew Martinez</t>
  </si>
  <si>
    <t>ericcampbell@hotmail.com</t>
  </si>
  <si>
    <t>PK-101409</t>
  </si>
  <si>
    <t>Marc Phillips Jr.</t>
  </si>
  <si>
    <t>brittany72@yahoo.com</t>
  </si>
  <si>
    <t>PK-101410</t>
  </si>
  <si>
    <t>Holly Torres</t>
  </si>
  <si>
    <t>hubbardelizabeth@hall.info</t>
  </si>
  <si>
    <t>PK-101411</t>
  </si>
  <si>
    <t>Tammy Mccarty</t>
  </si>
  <si>
    <t>tferrell@yahoo.com</t>
  </si>
  <si>
    <t>PK-101412</t>
  </si>
  <si>
    <t>Vincent Guerra</t>
  </si>
  <si>
    <t>ruizsandra@scott.com</t>
  </si>
  <si>
    <t>PK-101413</t>
  </si>
  <si>
    <t>Shannon Jennings</t>
  </si>
  <si>
    <t>colesarah@williams-thompson.com</t>
  </si>
  <si>
    <t>PK-101414</t>
  </si>
  <si>
    <t>Jessica Browning</t>
  </si>
  <si>
    <t>qrodriguez@davis.com</t>
  </si>
  <si>
    <t>PK-101415</t>
  </si>
  <si>
    <t>Dustin Cantu DVM</t>
  </si>
  <si>
    <t>molly71@hotmail.com</t>
  </si>
  <si>
    <t>PK-101416</t>
  </si>
  <si>
    <t>Adam Miller</t>
  </si>
  <si>
    <t>grantlewis@hotmail.com</t>
  </si>
  <si>
    <t>PK-101417</t>
  </si>
  <si>
    <t>Jill White</t>
  </si>
  <si>
    <t>zmoreno@morgan.com</t>
  </si>
  <si>
    <t>PK-101418</t>
  </si>
  <si>
    <t>Jennifer Cook</t>
  </si>
  <si>
    <t>carlconrad@yahoo.com</t>
  </si>
  <si>
    <t>PK-101419</t>
  </si>
  <si>
    <t>Melissa Barker</t>
  </si>
  <si>
    <t>marybenjamin@bennett-petty.com</t>
  </si>
  <si>
    <t>PK-101420</t>
  </si>
  <si>
    <t>Sandra Pham</t>
  </si>
  <si>
    <t>james81@barron.net</t>
  </si>
  <si>
    <t>PK-101421</t>
  </si>
  <si>
    <t>Tracy Martinez</t>
  </si>
  <si>
    <t>sararichardson@shaw-phillips.net</t>
  </si>
  <si>
    <t>PK-101422</t>
  </si>
  <si>
    <t>Danny Raymond</t>
  </si>
  <si>
    <t>djordan@yahoo.com</t>
  </si>
  <si>
    <t>PK-101423</t>
  </si>
  <si>
    <t>Patricia Henson</t>
  </si>
  <si>
    <t>kingjoseph@williams.net</t>
  </si>
  <si>
    <t>PK-101424</t>
  </si>
  <si>
    <t>Douglas Miller</t>
  </si>
  <si>
    <t>corey84@pierce-anderson.net</t>
  </si>
  <si>
    <t>PK-101425</t>
  </si>
  <si>
    <t>Brian Hernandez</t>
  </si>
  <si>
    <t>berryomar@shepherd-carter.info</t>
  </si>
  <si>
    <t>PK-101426</t>
  </si>
  <si>
    <t>Tara Sexton</t>
  </si>
  <si>
    <t>smithsarah@yahoo.com</t>
  </si>
  <si>
    <t>PK-101427</t>
  </si>
  <si>
    <t>Alyssa Cruz</t>
  </si>
  <si>
    <t>vholloway@hotmail.com</t>
  </si>
  <si>
    <t>PK-101428</t>
  </si>
  <si>
    <t>Michael Alvarado</t>
  </si>
  <si>
    <t>andersonsean@hotmail.com</t>
  </si>
  <si>
    <t>PK-101429</t>
  </si>
  <si>
    <t>Erin Edwards</t>
  </si>
  <si>
    <t>nguerra@mckee.biz</t>
  </si>
  <si>
    <t>PK-101430</t>
  </si>
  <si>
    <t>James Robinson</t>
  </si>
  <si>
    <t>adamsalejandro@duke-smith.com</t>
  </si>
  <si>
    <t>PK-101431</t>
  </si>
  <si>
    <t>Alex Gray</t>
  </si>
  <si>
    <t>sarah41@carroll-hoffman.info</t>
  </si>
  <si>
    <t>PK-101432</t>
  </si>
  <si>
    <t>Joseph Kirby</t>
  </si>
  <si>
    <t>courtney40@bryant-dorsey.com</t>
  </si>
  <si>
    <t>PK-101433</t>
  </si>
  <si>
    <t>Austin Mendoza</t>
  </si>
  <si>
    <t>alec80@yahoo.com</t>
  </si>
  <si>
    <t>PK-101434</t>
  </si>
  <si>
    <t>Dawn Hall</t>
  </si>
  <si>
    <t>npeterson@gmail.com</t>
  </si>
  <si>
    <t>PK-101435</t>
  </si>
  <si>
    <t>Joshua Thomas DVM</t>
  </si>
  <si>
    <t>keith30@gmail.com</t>
  </si>
  <si>
    <t>PK-101436</t>
  </si>
  <si>
    <t>Rachel Copeland</t>
  </si>
  <si>
    <t>nicholasgray@jensen.net</t>
  </si>
  <si>
    <t>PK-101437</t>
  </si>
  <si>
    <t>Cheryl Lee</t>
  </si>
  <si>
    <t>margaret04@jones.com</t>
  </si>
  <si>
    <t>PK-101438</t>
  </si>
  <si>
    <t>Susan Williams</t>
  </si>
  <si>
    <t>williamsdawn@kane.biz</t>
  </si>
  <si>
    <t>PK-101439</t>
  </si>
  <si>
    <t>Gabriel Ferguson</t>
  </si>
  <si>
    <t>williamslee@stewart-mcmahon.com</t>
  </si>
  <si>
    <t>PK-101440</t>
  </si>
  <si>
    <t>Gregory Washington</t>
  </si>
  <si>
    <t>jennifer98@gmail.com</t>
  </si>
  <si>
    <t>PK-101441</t>
  </si>
  <si>
    <t>Daniel Meyer</t>
  </si>
  <si>
    <t>tonyajenkins@hotmail.com</t>
  </si>
  <si>
    <t>PK-101442</t>
  </si>
  <si>
    <t>Beth Lopez</t>
  </si>
  <si>
    <t>keith82@coleman.com</t>
  </si>
  <si>
    <t>PK-101443</t>
  </si>
  <si>
    <t>Kevin Hayden</t>
  </si>
  <si>
    <t>ashleyjones@roberts-brady.com</t>
  </si>
  <si>
    <t>PK-101444</t>
  </si>
  <si>
    <t>Gary Hughes</t>
  </si>
  <si>
    <t>whitneyjessica@hutchinson.com</t>
  </si>
  <si>
    <t>PK-101445</t>
  </si>
  <si>
    <t>Jessica Hickman</t>
  </si>
  <si>
    <t>karasanders@jefferson.net</t>
  </si>
  <si>
    <t>PK-101446</t>
  </si>
  <si>
    <t>james60@brock.com</t>
  </si>
  <si>
    <t>PK-101447</t>
  </si>
  <si>
    <t>Christopher Richards</t>
  </si>
  <si>
    <t>terrywalker@gmail.com</t>
  </si>
  <si>
    <t>PK-101448</t>
  </si>
  <si>
    <t>Sharon Lopez</t>
  </si>
  <si>
    <t>curtisashley@ewing-anderson.com</t>
  </si>
  <si>
    <t>PK-101449</t>
  </si>
  <si>
    <t>Eugene Simpson</t>
  </si>
  <si>
    <t>williamwilkins@hotmail.com</t>
  </si>
  <si>
    <t>PK-101450</t>
  </si>
  <si>
    <t>Amanda Myers</t>
  </si>
  <si>
    <t>xherman@guerrero.com</t>
  </si>
  <si>
    <t>PK-101451</t>
  </si>
  <si>
    <t>Jeffrey Ramos</t>
  </si>
  <si>
    <t>elizabeth93@yahoo.com</t>
  </si>
  <si>
    <t>PK-101452</t>
  </si>
  <si>
    <t>Nicole Schmidt</t>
  </si>
  <si>
    <t>lydiajohnson@rodriguez-robertson.com</t>
  </si>
  <si>
    <t>PK-101453</t>
  </si>
  <si>
    <t>Jessica Marsh</t>
  </si>
  <si>
    <t>nicole78@garcia.com</t>
  </si>
  <si>
    <t>PK-101454</t>
  </si>
  <si>
    <t>Jeffrey Scott</t>
  </si>
  <si>
    <t>knightjohn@mason.info</t>
  </si>
  <si>
    <t>PK-101455</t>
  </si>
  <si>
    <t>Kenneth Ramirez</t>
  </si>
  <si>
    <t>vgonzalez@gmail.com</t>
  </si>
  <si>
    <t>PK-101456</t>
  </si>
  <si>
    <t>Luke Cain</t>
  </si>
  <si>
    <t>emily73@sanders.net</t>
  </si>
  <si>
    <t>PK-101457</t>
  </si>
  <si>
    <t>Craig Long</t>
  </si>
  <si>
    <t>christopher34@yahoo.com</t>
  </si>
  <si>
    <t>PK-101458</t>
  </si>
  <si>
    <t>Juan Stewart</t>
  </si>
  <si>
    <t>zlynn@yahoo.com</t>
  </si>
  <si>
    <t>PK-101459</t>
  </si>
  <si>
    <t>Melissa Martin</t>
  </si>
  <si>
    <t>vanessa12@yahoo.com</t>
  </si>
  <si>
    <t>PK-101460</t>
  </si>
  <si>
    <t>Cory Bridges</t>
  </si>
  <si>
    <t>athomas@hotmail.com</t>
  </si>
  <si>
    <t>PK-101461</t>
  </si>
  <si>
    <t>Kerry Dean</t>
  </si>
  <si>
    <t>patricia08@gmail.com</t>
  </si>
  <si>
    <t>PK-101462</t>
  </si>
  <si>
    <t>Mrs. Tammy Gallegos</t>
  </si>
  <si>
    <t>jesse31@paul.org</t>
  </si>
  <si>
    <t>PK-101463</t>
  </si>
  <si>
    <t>Kathryn Wallace</t>
  </si>
  <si>
    <t>joneslaura@hotmail.com</t>
  </si>
  <si>
    <t>PK-101464</t>
  </si>
  <si>
    <t>Mrs. Linda Baldwin MD</t>
  </si>
  <si>
    <t>calvin85@mora.com</t>
  </si>
  <si>
    <t>PK-101465</t>
  </si>
  <si>
    <t>David Scott</t>
  </si>
  <si>
    <t>kyle06@gmail.com</t>
  </si>
  <si>
    <t>PK-101466</t>
  </si>
  <si>
    <t>Tommy Lee</t>
  </si>
  <si>
    <t>trevor76@sanders.info</t>
  </si>
  <si>
    <t>PK-101467</t>
  </si>
  <si>
    <t>Devin Gutierrez</t>
  </si>
  <si>
    <t>ashleyfisher@yahoo.com</t>
  </si>
  <si>
    <t>PK-101468</t>
  </si>
  <si>
    <t>Jennifer Mcclain</t>
  </si>
  <si>
    <t>collinsannette@edwards.com</t>
  </si>
  <si>
    <t>PK-101469</t>
  </si>
  <si>
    <t>Melissa Edwards</t>
  </si>
  <si>
    <t>lindahall@simpson-velasquez.com</t>
  </si>
  <si>
    <t>PK-101470</t>
  </si>
  <si>
    <t>Crystal Barton</t>
  </si>
  <si>
    <t>lindseyjeffrey@gmail.com</t>
  </si>
  <si>
    <t>PK-101471</t>
  </si>
  <si>
    <t>Kristy Barajas</t>
  </si>
  <si>
    <t>pmarsh@gmail.com</t>
  </si>
  <si>
    <t>PK-101472</t>
  </si>
  <si>
    <t>Anna Stewart</t>
  </si>
  <si>
    <t>timothyjacobson@galloway.com</t>
  </si>
  <si>
    <t>PK-101473</t>
  </si>
  <si>
    <t>Tracey Nelson</t>
  </si>
  <si>
    <t>linda82@humphrey.net</t>
  </si>
  <si>
    <t>PK-101474</t>
  </si>
  <si>
    <t>Emily Williams</t>
  </si>
  <si>
    <t>jessica11@barron.biz</t>
  </si>
  <si>
    <t>PK-101475</t>
  </si>
  <si>
    <t>Lori Myers</t>
  </si>
  <si>
    <t>jennifer20@gmail.com</t>
  </si>
  <si>
    <t>PK-101476</t>
  </si>
  <si>
    <t>Holly Henderson</t>
  </si>
  <si>
    <t>williamramos@yahoo.com</t>
  </si>
  <si>
    <t>PK-101477</t>
  </si>
  <si>
    <t>Alexander Anderson</t>
  </si>
  <si>
    <t>lindseyparker@yahoo.com</t>
  </si>
  <si>
    <t>PK-101478</t>
  </si>
  <si>
    <t>Kimberly Young</t>
  </si>
  <si>
    <t>paul09@hotmail.com</t>
  </si>
  <si>
    <t>PK-101479</t>
  </si>
  <si>
    <t>Jeremiah Booth</t>
  </si>
  <si>
    <t>phyllis01@hotmail.com</t>
  </si>
  <si>
    <t>PK-101480</t>
  </si>
  <si>
    <t>Joseph Chavez</t>
  </si>
  <si>
    <t>brittneywoodard@hotmail.com</t>
  </si>
  <si>
    <t>PK-101481</t>
  </si>
  <si>
    <t>Samantha Bishop</t>
  </si>
  <si>
    <t>marcramirez@delgado.com</t>
  </si>
  <si>
    <t>PK-101482</t>
  </si>
  <si>
    <t>Beth Jones</t>
  </si>
  <si>
    <t>tonyaharris@hotmail.com</t>
  </si>
  <si>
    <t>PK-101483</t>
  </si>
  <si>
    <t>Jacob Cooper</t>
  </si>
  <si>
    <t>laurenmartin@butler.com</t>
  </si>
  <si>
    <t>PK-101484</t>
  </si>
  <si>
    <t>Linda Gomez</t>
  </si>
  <si>
    <t>john91@copeland-patterson.org</t>
  </si>
  <si>
    <t>PK-101485</t>
  </si>
  <si>
    <t>Terry Miller</t>
  </si>
  <si>
    <t>hrocha@marshall.com</t>
  </si>
  <si>
    <t>PK-101486</t>
  </si>
  <si>
    <t>Anita Waters</t>
  </si>
  <si>
    <t>nnewton@hotmail.com</t>
  </si>
  <si>
    <t>PK-101487</t>
  </si>
  <si>
    <t>Blake Khan</t>
  </si>
  <si>
    <t>jacobstoni@hotmail.com</t>
  </si>
  <si>
    <t>PK-101488</t>
  </si>
  <si>
    <t>Meagan Adams</t>
  </si>
  <si>
    <t>powersdonald@goodman.com</t>
  </si>
  <si>
    <t>PK-101489</t>
  </si>
  <si>
    <t>Ashley Reed</t>
  </si>
  <si>
    <t>fuentesbrittany@yahoo.com</t>
  </si>
  <si>
    <t>PK-101490</t>
  </si>
  <si>
    <t>Christopher Ayala</t>
  </si>
  <si>
    <t>geraldwilliams@good.com</t>
  </si>
  <si>
    <t>PK-101491</t>
  </si>
  <si>
    <t>Rachael Anderson</t>
  </si>
  <si>
    <t>leslie36@hotmail.com</t>
  </si>
  <si>
    <t>PK-101492</t>
  </si>
  <si>
    <t>Jeffrey Edwards</t>
  </si>
  <si>
    <t>scott21@pierce.org</t>
  </si>
  <si>
    <t>PK-101493</t>
  </si>
  <si>
    <t>Angela Robbins</t>
  </si>
  <si>
    <t>david98@gmail.com</t>
  </si>
  <si>
    <t>PK-101494</t>
  </si>
  <si>
    <t>Brittany Salazar</t>
  </si>
  <si>
    <t>ugonzalez@yahoo.com</t>
  </si>
  <si>
    <t>PK-101495</t>
  </si>
  <si>
    <t>caseyjesus@hotmail.com</t>
  </si>
  <si>
    <t>PK-101496</t>
  </si>
  <si>
    <t>Matthew Young</t>
  </si>
  <si>
    <t>erica94@baker.com</t>
  </si>
  <si>
    <t>PK-101497</t>
  </si>
  <si>
    <t>Dillon Poole</t>
  </si>
  <si>
    <t>susan76@gmail.com</t>
  </si>
  <si>
    <t>PK-101498</t>
  </si>
  <si>
    <t>Zoe Stephens</t>
  </si>
  <si>
    <t>adrianabrown@gmail.com</t>
  </si>
  <si>
    <t>PK-101499</t>
  </si>
  <si>
    <t>Ross Perez</t>
  </si>
  <si>
    <t>keith48@allen-hardy.com</t>
  </si>
  <si>
    <t>PK-101500</t>
  </si>
  <si>
    <t>Sandra Zamora</t>
  </si>
  <si>
    <t>qwilson@yahoo.com</t>
  </si>
  <si>
    <t>PK-101501</t>
  </si>
  <si>
    <t>Kyle Rowland</t>
  </si>
  <si>
    <t>flemingdonna@joyce.biz</t>
  </si>
  <si>
    <t>PK-101502</t>
  </si>
  <si>
    <t>Kurt Watson</t>
  </si>
  <si>
    <t>jnoble@hotmail.com</t>
  </si>
  <si>
    <t>PK-101503</t>
  </si>
  <si>
    <t>Roger Green</t>
  </si>
  <si>
    <t>ashleyerin@hotmail.com</t>
  </si>
  <si>
    <t>PK-101504</t>
  </si>
  <si>
    <t>Nicholas Wyatt</t>
  </si>
  <si>
    <t>lyonsemily@yahoo.com</t>
  </si>
  <si>
    <t>PK-101505</t>
  </si>
  <si>
    <t>Mrs. Mariah Gonzalez</t>
  </si>
  <si>
    <t>kaylee55@williams.com</t>
  </si>
  <si>
    <t>PK-101506</t>
  </si>
  <si>
    <t>Mark Campos</t>
  </si>
  <si>
    <t>joseph14@gmail.com</t>
  </si>
  <si>
    <t>PK-101507</t>
  </si>
  <si>
    <t>Tara Hansen</t>
  </si>
  <si>
    <t>andradesamantha@hotmail.com</t>
  </si>
  <si>
    <t>PK-101508</t>
  </si>
  <si>
    <t>Janet Knox</t>
  </si>
  <si>
    <t>cpalmer@manning-robinson.com</t>
  </si>
  <si>
    <t>PK-101509</t>
  </si>
  <si>
    <t>Kelly Williams</t>
  </si>
  <si>
    <t>ashleyharrison@yahoo.com</t>
  </si>
  <si>
    <t>PK-101510</t>
  </si>
  <si>
    <t>Kara Lee</t>
  </si>
  <si>
    <t>brandibrown@gmail.com</t>
  </si>
  <si>
    <t>PK-101511</t>
  </si>
  <si>
    <t>Gabriella Mcdowell</t>
  </si>
  <si>
    <t>wsimpson@gmail.com</t>
  </si>
  <si>
    <t>PK-101512</t>
  </si>
  <si>
    <t>Veronica Wilson</t>
  </si>
  <si>
    <t>nwoods@jones.com</t>
  </si>
  <si>
    <t>PK-101513</t>
  </si>
  <si>
    <t>Elizabeth Jackson</t>
  </si>
  <si>
    <t>davisjamie@duran.com</t>
  </si>
  <si>
    <t>PK-101514</t>
  </si>
  <si>
    <t>Hayley Cobb</t>
  </si>
  <si>
    <t>jesusrodriguez@stewart-jordan.com</t>
  </si>
  <si>
    <t>PK-101515</t>
  </si>
  <si>
    <t>Glen Coleman</t>
  </si>
  <si>
    <t>meganyang@yahoo.com</t>
  </si>
  <si>
    <t>PK-101516</t>
  </si>
  <si>
    <t>Brandy Velasquez</t>
  </si>
  <si>
    <t>lisa01@hotmail.com</t>
  </si>
  <si>
    <t>PK-101517</t>
  </si>
  <si>
    <t>allenbaker@gmail.com</t>
  </si>
  <si>
    <t>PK-101518</t>
  </si>
  <si>
    <t>Deanna Bishop</t>
  </si>
  <si>
    <t>jillianfarmer@yahoo.com</t>
  </si>
  <si>
    <t>PK-101519</t>
  </si>
  <si>
    <t>Amanda Weber</t>
  </si>
  <si>
    <t>kyleconner@gmail.com</t>
  </si>
  <si>
    <t>PK-101520</t>
  </si>
  <si>
    <t>Michael Garrison</t>
  </si>
  <si>
    <t>laura41@hotmail.com</t>
  </si>
  <si>
    <t>PK-101521</t>
  </si>
  <si>
    <t>Barbara Cooper</t>
  </si>
  <si>
    <t>zlowery@snyder.com</t>
  </si>
  <si>
    <t>PK-101522</t>
  </si>
  <si>
    <t>Debra Torres</t>
  </si>
  <si>
    <t>kimberlyjames@knight-porter.com</t>
  </si>
  <si>
    <t>PK-101523</t>
  </si>
  <si>
    <t>Matthew Roberts</t>
  </si>
  <si>
    <t>kristi03@rose.info</t>
  </si>
  <si>
    <t>PK-101524</t>
  </si>
  <si>
    <t>youngchristopher@yahoo.com</t>
  </si>
  <si>
    <t>PK-101525</t>
  </si>
  <si>
    <t>Jason Stewart</t>
  </si>
  <si>
    <t>ngalloway@hotmail.com</t>
  </si>
  <si>
    <t>PK-101526</t>
  </si>
  <si>
    <t>Regina Stewart</t>
  </si>
  <si>
    <t>walkerrebecca@yahoo.com</t>
  </si>
  <si>
    <t>PK-101527</t>
  </si>
  <si>
    <t>Mr. Timothy Cochran</t>
  </si>
  <si>
    <t>marychandler@yahoo.com</t>
  </si>
  <si>
    <t>PK-101528</t>
  </si>
  <si>
    <t>Matthew Davis</t>
  </si>
  <si>
    <t>zpeterson@scott.com</t>
  </si>
  <si>
    <t>PK-101529</t>
  </si>
  <si>
    <t>Melissa Gentry</t>
  </si>
  <si>
    <t>anthonydiaz@yahoo.com</t>
  </si>
  <si>
    <t>PK-101530</t>
  </si>
  <si>
    <t>Gary Garcia</t>
  </si>
  <si>
    <t>nwhitney@yahoo.com</t>
  </si>
  <si>
    <t>PK-101531</t>
  </si>
  <si>
    <t>Randy Osborne</t>
  </si>
  <si>
    <t>qmoon@hotmail.com</t>
  </si>
  <si>
    <t>PK-101532</t>
  </si>
  <si>
    <t>Bobby Garza</t>
  </si>
  <si>
    <t>pbutler@martin.com</t>
  </si>
  <si>
    <t>PK-101533</t>
  </si>
  <si>
    <t>Patricia Griffin</t>
  </si>
  <si>
    <t>amygraham@mcconnell.net</t>
  </si>
  <si>
    <t>PK-101534</t>
  </si>
  <si>
    <t>Jill Schneider</t>
  </si>
  <si>
    <t>amanda57@gmail.com</t>
  </si>
  <si>
    <t>PK-101535</t>
  </si>
  <si>
    <t>Gabrielle Hutchinson</t>
  </si>
  <si>
    <t>michaelfriedman@gmail.com</t>
  </si>
  <si>
    <t>PK-101536</t>
  </si>
  <si>
    <t>Elizabeth Day</t>
  </si>
  <si>
    <t>dawn60@fletcher-cabrera.com</t>
  </si>
  <si>
    <t>PK-101537</t>
  </si>
  <si>
    <t>Lee Wells</t>
  </si>
  <si>
    <t>moorejessica@yahoo.com</t>
  </si>
  <si>
    <t>PK-101538</t>
  </si>
  <si>
    <t>Timothy Hamilton</t>
  </si>
  <si>
    <t>cedwards@stephenson.com</t>
  </si>
  <si>
    <t>PK-101539</t>
  </si>
  <si>
    <t>Dakota Flores</t>
  </si>
  <si>
    <t>gibbsgabriel@gmail.com</t>
  </si>
  <si>
    <t>PK-101540</t>
  </si>
  <si>
    <t>Jack Hill</t>
  </si>
  <si>
    <t>asmith@lopez-perez.net</t>
  </si>
  <si>
    <t>PK-101541</t>
  </si>
  <si>
    <t>Kyle Foster</t>
  </si>
  <si>
    <t>jimenezjulia@stephens.net</t>
  </si>
  <si>
    <t>PK-101542</t>
  </si>
  <si>
    <t>Matthew Marshall</t>
  </si>
  <si>
    <t>bgilbert@lane.biz</t>
  </si>
  <si>
    <t>PK-101543</t>
  </si>
  <si>
    <t>Kevin James DDS</t>
  </si>
  <si>
    <t>carrillomichelle@hotmail.com</t>
  </si>
  <si>
    <t>PK-101544</t>
  </si>
  <si>
    <t>Victor Holmes</t>
  </si>
  <si>
    <t>christophermunoz@adams.biz</t>
  </si>
  <si>
    <t>PK-101545</t>
  </si>
  <si>
    <t>Keith Aguirre</t>
  </si>
  <si>
    <t>wrightrobert@rivera.biz</t>
  </si>
  <si>
    <t>PK-101546</t>
  </si>
  <si>
    <t>Thomas Mcbride</t>
  </si>
  <si>
    <t>susanrowe@love.com</t>
  </si>
  <si>
    <t>PK-101547</t>
  </si>
  <si>
    <t>Martha Neal</t>
  </si>
  <si>
    <t>turnermatthew@horn.com</t>
  </si>
  <si>
    <t>PK-101548</t>
  </si>
  <si>
    <t>Michelle Bass</t>
  </si>
  <si>
    <t>icoleman@gmail.com</t>
  </si>
  <si>
    <t>PK-101549</t>
  </si>
  <si>
    <t>Sarah Perry</t>
  </si>
  <si>
    <t>aprilsantos@leonard.com</t>
  </si>
  <si>
    <t>PK-101550</t>
  </si>
  <si>
    <t>Joseph Morales</t>
  </si>
  <si>
    <t>kcastillo@hotmail.com</t>
  </si>
  <si>
    <t>PK-101551</t>
  </si>
  <si>
    <t>Leah Levy</t>
  </si>
  <si>
    <t>jamie28@fischer.org</t>
  </si>
  <si>
    <t>PK-101552</t>
  </si>
  <si>
    <t>Ray Kidd</t>
  </si>
  <si>
    <t>ipowell@garrison-dickson.com</t>
  </si>
  <si>
    <t>PK-101553</t>
  </si>
  <si>
    <t>Holly Marshall</t>
  </si>
  <si>
    <t>preston03@escobar.com</t>
  </si>
  <si>
    <t>PK-101554</t>
  </si>
  <si>
    <t>Hannah Wall</t>
  </si>
  <si>
    <t>stephanie06@chan.org</t>
  </si>
  <si>
    <t>PK-101555</t>
  </si>
  <si>
    <t>Barbara Fox</t>
  </si>
  <si>
    <t>brittanymorrow@andrade-zimmerman.com</t>
  </si>
  <si>
    <t>PK-101556</t>
  </si>
  <si>
    <t>Christine Sims</t>
  </si>
  <si>
    <t>dawnfernandez@sullivan.com</t>
  </si>
  <si>
    <t>PK-101557</t>
  </si>
  <si>
    <t>Amy Davis</t>
  </si>
  <si>
    <t>alisonsimmons@green-franklin.org</t>
  </si>
  <si>
    <t>PK-101558</t>
  </si>
  <si>
    <t>Taylor Green</t>
  </si>
  <si>
    <t>foxsherri@graham.com</t>
  </si>
  <si>
    <t>PK-101559</t>
  </si>
  <si>
    <t>David Byrd</t>
  </si>
  <si>
    <t>leonard82@carter.com</t>
  </si>
  <si>
    <t>PK-101560</t>
  </si>
  <si>
    <t>Kevin Jacobs</t>
  </si>
  <si>
    <t>debra94@thompson-wilson.biz</t>
  </si>
  <si>
    <t>PK-101561</t>
  </si>
  <si>
    <t>Mark Davis</t>
  </si>
  <si>
    <t>ambercastaneda@fuentes.com</t>
  </si>
  <si>
    <t>PK-101562</t>
  </si>
  <si>
    <t>Jason Jones</t>
  </si>
  <si>
    <t>fperez@hotmail.com</t>
  </si>
  <si>
    <t>PK-101563</t>
  </si>
  <si>
    <t>Tara Adams</t>
  </si>
  <si>
    <t>hbishop@hotmail.com</t>
  </si>
  <si>
    <t>PK-101564</t>
  </si>
  <si>
    <t>Michael Brooks</t>
  </si>
  <si>
    <t>dawnadkins@mclean.org</t>
  </si>
  <si>
    <t>PK-101565</t>
  </si>
  <si>
    <t>Meredith Gross</t>
  </si>
  <si>
    <t>whitejeffrey@hart.com</t>
  </si>
  <si>
    <t>PK-101566</t>
  </si>
  <si>
    <t>Mr. Adam Carter MD</t>
  </si>
  <si>
    <t>danielssteven@erickson-parker.com</t>
  </si>
  <si>
    <t>PK-101567</t>
  </si>
  <si>
    <t>Todd Morse</t>
  </si>
  <si>
    <t>wooderica@cabrera.com</t>
  </si>
  <si>
    <t>PK-101568</t>
  </si>
  <si>
    <t>Christopher Mason</t>
  </si>
  <si>
    <t>cthomas@gmail.com</t>
  </si>
  <si>
    <t>PK-101569</t>
  </si>
  <si>
    <t>Karen Gutierrez</t>
  </si>
  <si>
    <t>marythomas@hotmail.com</t>
  </si>
  <si>
    <t>PK-101570</t>
  </si>
  <si>
    <t>Gregory Davila</t>
  </si>
  <si>
    <t>lawrencemartha@hotmail.com</t>
  </si>
  <si>
    <t>PK-101571</t>
  </si>
  <si>
    <t>Christopher Acevedo</t>
  </si>
  <si>
    <t>rosespence@gmail.com</t>
  </si>
  <si>
    <t>PK-101572</t>
  </si>
  <si>
    <t>Marcus Duarte</t>
  </si>
  <si>
    <t>reneegonzalez@yahoo.com</t>
  </si>
  <si>
    <t>PK-101573</t>
  </si>
  <si>
    <t>David Snyder</t>
  </si>
  <si>
    <t>nwilliams@yahoo.com</t>
  </si>
  <si>
    <t>PK-101574</t>
  </si>
  <si>
    <t>Jennifer Patterson</t>
  </si>
  <si>
    <t>qfrancis@yahoo.com</t>
  </si>
  <si>
    <t>PK-101575</t>
  </si>
  <si>
    <t>Richard Wallace</t>
  </si>
  <si>
    <t>tstewart@mason-hunter.com</t>
  </si>
  <si>
    <t>PK-101576</t>
  </si>
  <si>
    <t>Matthew Davila</t>
  </si>
  <si>
    <t>alex31@scott-mills.com</t>
  </si>
  <si>
    <t>PK-101577</t>
  </si>
  <si>
    <t>Pamela Martinez</t>
  </si>
  <si>
    <t>smason@gmail.com</t>
  </si>
  <si>
    <t>PK-101578</t>
  </si>
  <si>
    <t>Tina Dillon</t>
  </si>
  <si>
    <t>zyang@petty.com</t>
  </si>
  <si>
    <t>PK-101579</t>
  </si>
  <si>
    <t>Justin Scott</t>
  </si>
  <si>
    <t>briangriffith@yahoo.com</t>
  </si>
  <si>
    <t>PK-101580</t>
  </si>
  <si>
    <t>Amy Jarvis</t>
  </si>
  <si>
    <t>fletcherselena@gmail.com</t>
  </si>
  <si>
    <t>PK-101581</t>
  </si>
  <si>
    <t>Mr. Chris Hernandez</t>
  </si>
  <si>
    <t>laura35@norman-rhodes.com</t>
  </si>
  <si>
    <t>PK-101582</t>
  </si>
  <si>
    <t>Mrs. Tonya Ingram</t>
  </si>
  <si>
    <t>danafields@yahoo.com</t>
  </si>
  <si>
    <t>PK-101583</t>
  </si>
  <si>
    <t>Kirk Bernard</t>
  </si>
  <si>
    <t>qosborn@miller.biz</t>
  </si>
  <si>
    <t>PK-101584</t>
  </si>
  <si>
    <t>Mark Lloyd</t>
  </si>
  <si>
    <t>graymarissa@payne-daniels.com</t>
  </si>
  <si>
    <t>PK-101585</t>
  </si>
  <si>
    <t>Amanda Ryan</t>
  </si>
  <si>
    <t>staciemills@bates-salinas.org</t>
  </si>
  <si>
    <t>PK-101586</t>
  </si>
  <si>
    <t>Michael Hernandez</t>
  </si>
  <si>
    <t>braunscott@hotmail.com</t>
  </si>
  <si>
    <t>PK-101587</t>
  </si>
  <si>
    <t>Ronald Kennedy</t>
  </si>
  <si>
    <t>melaniescott@hernandez.org</t>
  </si>
  <si>
    <t>PK-101588</t>
  </si>
  <si>
    <t>John Riley</t>
  </si>
  <si>
    <t>douglasrogers@kelley.info</t>
  </si>
  <si>
    <t>PK-101589</t>
  </si>
  <si>
    <t>Nicolas Friedman</t>
  </si>
  <si>
    <t>wallen@case.info</t>
  </si>
  <si>
    <t>PK-101590</t>
  </si>
  <si>
    <t>Anita Perez</t>
  </si>
  <si>
    <t>shannoncasey@gmail.com</t>
  </si>
  <si>
    <t>PK-101591</t>
  </si>
  <si>
    <t>Jamie Hudson</t>
  </si>
  <si>
    <t>shawdarrell@gmail.com</t>
  </si>
  <si>
    <t>PK-101592</t>
  </si>
  <si>
    <t>Stephanie Williams</t>
  </si>
  <si>
    <t>berrycraig@gmail.com</t>
  </si>
  <si>
    <t>PK-101593</t>
  </si>
  <si>
    <t>Brittany Kramer</t>
  </si>
  <si>
    <t>teresafuller@hotmail.com</t>
  </si>
  <si>
    <t>PK-101594</t>
  </si>
  <si>
    <t>Thomas Williams</t>
  </si>
  <si>
    <t>yolandawilliams@shah.com</t>
  </si>
  <si>
    <t>PK-101595</t>
  </si>
  <si>
    <t>Brian Martinez</t>
  </si>
  <si>
    <t>robertsjohnathan@williams-hernandez.com</t>
  </si>
  <si>
    <t>PK-101596</t>
  </si>
  <si>
    <t>Drew Allen</t>
  </si>
  <si>
    <t>jasonmitchell@hotmail.com</t>
  </si>
  <si>
    <t>PK-101597</t>
  </si>
  <si>
    <t>William Monroe</t>
  </si>
  <si>
    <t>jennifer48@hotmail.com</t>
  </si>
  <si>
    <t>PK-101598</t>
  </si>
  <si>
    <t>Donald Smith</t>
  </si>
  <si>
    <t>candacejames@gmail.com</t>
  </si>
  <si>
    <t>PK-101599</t>
  </si>
  <si>
    <t>Robert Cervantes</t>
  </si>
  <si>
    <t>patrick65@boyd.biz</t>
  </si>
  <si>
    <t>PK-101600</t>
  </si>
  <si>
    <t>Joanna Chandler</t>
  </si>
  <si>
    <t>jason15@yahoo.com</t>
  </si>
  <si>
    <t>PK-101601</t>
  </si>
  <si>
    <t>Amy Logan</t>
  </si>
  <si>
    <t>danielle61@hawkins-reynolds.com</t>
  </si>
  <si>
    <t>PK-101602</t>
  </si>
  <si>
    <t>Brianna Higgins</t>
  </si>
  <si>
    <t>randall87@singleton.org</t>
  </si>
  <si>
    <t>PK-101603</t>
  </si>
  <si>
    <t>Marc Hoover</t>
  </si>
  <si>
    <t>ethannguyen@calderon.org</t>
  </si>
  <si>
    <t>PK-101604</t>
  </si>
  <si>
    <t>Aaron Henry</t>
  </si>
  <si>
    <t>hernandezisabel@yahoo.com</t>
  </si>
  <si>
    <t>PK-101605</t>
  </si>
  <si>
    <t>Blake Franklin</t>
  </si>
  <si>
    <t>meganhebert@smith.com</t>
  </si>
  <si>
    <t>PK-101606</t>
  </si>
  <si>
    <t>Robert Johnson</t>
  </si>
  <si>
    <t>brian71@riddle-walton.com</t>
  </si>
  <si>
    <t>PK-101607</t>
  </si>
  <si>
    <t>Mrs. Linda Jones PhD</t>
  </si>
  <si>
    <t>bpreston@gmail.com</t>
  </si>
  <si>
    <t>PK-101608</t>
  </si>
  <si>
    <t>Joanne Fuentes</t>
  </si>
  <si>
    <t>jayyoung@gmail.com</t>
  </si>
  <si>
    <t>PK-101609</t>
  </si>
  <si>
    <t>Andrea Johnson</t>
  </si>
  <si>
    <t>vrobinson@hotmail.com</t>
  </si>
  <si>
    <t>PK-101610</t>
  </si>
  <si>
    <t>Patrick Brooks</t>
  </si>
  <si>
    <t>edavis@yahoo.com</t>
  </si>
  <si>
    <t>PK-101611</t>
  </si>
  <si>
    <t>Alyssa Wong</t>
  </si>
  <si>
    <t>zdyer@reyes.com</t>
  </si>
  <si>
    <t>PK-101612</t>
  </si>
  <si>
    <t>Sarah Lee</t>
  </si>
  <si>
    <t>laralisa@maldonado.com</t>
  </si>
  <si>
    <t>PK-101613</t>
  </si>
  <si>
    <t>Kristin Murray</t>
  </si>
  <si>
    <t>audrey65@gamble.info</t>
  </si>
  <si>
    <t>PK-101614</t>
  </si>
  <si>
    <t>Jacob Leblanc</t>
  </si>
  <si>
    <t>mullensandra@moses.com</t>
  </si>
  <si>
    <t>PK-101615</t>
  </si>
  <si>
    <t>Gary Stevens</t>
  </si>
  <si>
    <t>monica85@dennis.com</t>
  </si>
  <si>
    <t>PK-101616</t>
  </si>
  <si>
    <t>Calvin Ford</t>
  </si>
  <si>
    <t>oliviamarshall@gmail.com</t>
  </si>
  <si>
    <t>PK-101617</t>
  </si>
  <si>
    <t>Pedro Mccoy</t>
  </si>
  <si>
    <t>riverajohn@hotmail.com</t>
  </si>
  <si>
    <t>PK-101618</t>
  </si>
  <si>
    <t>Ryan Washington</t>
  </si>
  <si>
    <t>cory96@clark.com</t>
  </si>
  <si>
    <t>PK-101619</t>
  </si>
  <si>
    <t>Melissa Williams</t>
  </si>
  <si>
    <t>pamela86@fleming-vasquez.org</t>
  </si>
  <si>
    <t>PK-101620</t>
  </si>
  <si>
    <t>Brenda Miller</t>
  </si>
  <si>
    <t>xnguyen@hotmail.com</t>
  </si>
  <si>
    <t>PK-101621</t>
  </si>
  <si>
    <t>Sean Martin</t>
  </si>
  <si>
    <t>ashley98@simpson-johnson.biz</t>
  </si>
  <si>
    <t>PK-101622</t>
  </si>
  <si>
    <t>Kathy Houston</t>
  </si>
  <si>
    <t>gregory28@kerr.com</t>
  </si>
  <si>
    <t>PK-101623</t>
  </si>
  <si>
    <t>Frederick Ramirez</t>
  </si>
  <si>
    <t>mburns@yahoo.com</t>
  </si>
  <si>
    <t>PK-101624</t>
  </si>
  <si>
    <t>Eric Griffin</t>
  </si>
  <si>
    <t>conniejackson@rasmussen.info</t>
  </si>
  <si>
    <t>PK-101625</t>
  </si>
  <si>
    <t>Bradley Krueger</t>
  </si>
  <si>
    <t>singletonmichelle@cordova.net</t>
  </si>
  <si>
    <t>PK-101626</t>
  </si>
  <si>
    <t>Kayla Cruz</t>
  </si>
  <si>
    <t>mjordan@collins.com</t>
  </si>
  <si>
    <t>PK-101627</t>
  </si>
  <si>
    <t>Marc Wood</t>
  </si>
  <si>
    <t>zshah@rodriguez.com</t>
  </si>
  <si>
    <t>PK-101628</t>
  </si>
  <si>
    <t>Donald Fitzgerald</t>
  </si>
  <si>
    <t>haguilar@smith-casey.net</t>
  </si>
  <si>
    <t>PK-101629</t>
  </si>
  <si>
    <t>Jacob Myers</t>
  </si>
  <si>
    <t>michael76@yahoo.com</t>
  </si>
  <si>
    <t>PK-101630</t>
  </si>
  <si>
    <t>Michelle Barber</t>
  </si>
  <si>
    <t>megan24@gmail.com</t>
  </si>
  <si>
    <t>PK-101631</t>
  </si>
  <si>
    <t>Catherine Ford</t>
  </si>
  <si>
    <t>marylong@myers.com</t>
  </si>
  <si>
    <t>PK-101632</t>
  </si>
  <si>
    <t>Justin Wilkerson</t>
  </si>
  <si>
    <t>charlesmiller@hunter-norton.com</t>
  </si>
  <si>
    <t>PK-101633</t>
  </si>
  <si>
    <t>Chris Santos</t>
  </si>
  <si>
    <t>ismith@hill.info</t>
  </si>
  <si>
    <t>PK-101634</t>
  </si>
  <si>
    <t>Sarah Garcia</t>
  </si>
  <si>
    <t>lauren88@caldwell.com</t>
  </si>
  <si>
    <t>PK-101635</t>
  </si>
  <si>
    <t>Roberto Ryan</t>
  </si>
  <si>
    <t>kharper@morris-gibson.org</t>
  </si>
  <si>
    <t>PK-101636</t>
  </si>
  <si>
    <t>Jennifer Holland</t>
  </si>
  <si>
    <t>PK-101637</t>
  </si>
  <si>
    <t>Steve Robinson</t>
  </si>
  <si>
    <t>charles99@hotmail.com</t>
  </si>
  <si>
    <t>PK-101638</t>
  </si>
  <si>
    <t>Cameron Smith</t>
  </si>
  <si>
    <t>randy24@hotmail.com</t>
  </si>
  <si>
    <t>PK-101639</t>
  </si>
  <si>
    <t>Walter Rodriguez</t>
  </si>
  <si>
    <t>smithlawrence@gmail.com</t>
  </si>
  <si>
    <t>PK-101640</t>
  </si>
  <si>
    <t>Jeffrey Bryant</t>
  </si>
  <si>
    <t>shooper@avila.info</t>
  </si>
  <si>
    <t>PK-101641</t>
  </si>
  <si>
    <t>Peggy Brooks</t>
  </si>
  <si>
    <t>rdominguez@hayden.net</t>
  </si>
  <si>
    <t>PK-101642</t>
  </si>
  <si>
    <t>Carrie Kelly</t>
  </si>
  <si>
    <t>tdavis@hotmail.com</t>
  </si>
  <si>
    <t>PK-101643</t>
  </si>
  <si>
    <t>Nicole Franklin</t>
  </si>
  <si>
    <t>maddoxvictoria@yahoo.com</t>
  </si>
  <si>
    <t>PK-101644</t>
  </si>
  <si>
    <t>mollysmith@hotmail.com</t>
  </si>
  <si>
    <t>PK-101645</t>
  </si>
  <si>
    <t>Jessica Black</t>
  </si>
  <si>
    <t>ashleyrobinson@moore.net</t>
  </si>
  <si>
    <t>PK-101646</t>
  </si>
  <si>
    <t>Kenneth Sanders</t>
  </si>
  <si>
    <t>mmoody@gmail.com</t>
  </si>
  <si>
    <t>PK-101647</t>
  </si>
  <si>
    <t>qsalazar@jones.com</t>
  </si>
  <si>
    <t>PK-101648</t>
  </si>
  <si>
    <t>Briana Simmons</t>
  </si>
  <si>
    <t>urodriguez@hotmail.com</t>
  </si>
  <si>
    <t>PK-101649</t>
  </si>
  <si>
    <t>Nicole Lawrence</t>
  </si>
  <si>
    <t>sheilagriffin@gmail.com</t>
  </si>
  <si>
    <t>PK-101650</t>
  </si>
  <si>
    <t>Jesus Burgess</t>
  </si>
  <si>
    <t>scottjames@brown.com</t>
  </si>
  <si>
    <t>PK-101651</t>
  </si>
  <si>
    <t>Michael Romero</t>
  </si>
  <si>
    <t>sandrade@hotmail.com</t>
  </si>
  <si>
    <t>PK-101652</t>
  </si>
  <si>
    <t>whitesherry@gmail.com</t>
  </si>
  <si>
    <t>PK-101653</t>
  </si>
  <si>
    <t>Mike English</t>
  </si>
  <si>
    <t>robinsonjustin@yahoo.com</t>
  </si>
  <si>
    <t>PK-101654</t>
  </si>
  <si>
    <t>Debra Rodriguez</t>
  </si>
  <si>
    <t>denise77@walker-davis.biz</t>
  </si>
  <si>
    <t>PK-101655</t>
  </si>
  <si>
    <t>Brian Wilson</t>
  </si>
  <si>
    <t>johnbailey@gmail.com</t>
  </si>
  <si>
    <t>PK-101656</t>
  </si>
  <si>
    <t>Dr. Bryan Stewart</t>
  </si>
  <si>
    <t>georgeralph@andrews.org</t>
  </si>
  <si>
    <t>PK-101657</t>
  </si>
  <si>
    <t>stephensonhaley@nguyen.com</t>
  </si>
  <si>
    <t>PK-101658</t>
  </si>
  <si>
    <t>Larry Bartlett</t>
  </si>
  <si>
    <t>ydunn@hotmail.com</t>
  </si>
  <si>
    <t>PK-101659</t>
  </si>
  <si>
    <t>Gregory Jenkins</t>
  </si>
  <si>
    <t>julia94@allen.com</t>
  </si>
  <si>
    <t>PK-101660</t>
  </si>
  <si>
    <t>Deborah Sanders</t>
  </si>
  <si>
    <t>derek28@murphy.com</t>
  </si>
  <si>
    <t>PK-101661</t>
  </si>
  <si>
    <t>Jacob Walker</t>
  </si>
  <si>
    <t>omclaughlin@hotmail.com</t>
  </si>
  <si>
    <t>PK-101662</t>
  </si>
  <si>
    <t>Ashley Davila</t>
  </si>
  <si>
    <t>kelseyleon@gmail.com</t>
  </si>
  <si>
    <t>PK-101663</t>
  </si>
  <si>
    <t>Kelly Thomas</t>
  </si>
  <si>
    <t>wilsonbrian@gmail.com</t>
  </si>
  <si>
    <t>PK-101664</t>
  </si>
  <si>
    <t>Ryan Moore</t>
  </si>
  <si>
    <t>jeffreymartin@yahoo.com</t>
  </si>
  <si>
    <t>PK-101665</t>
  </si>
  <si>
    <t>alexandria17@green-miller.com</t>
  </si>
  <si>
    <t>PK-101666</t>
  </si>
  <si>
    <t>Jason Lewis</t>
  </si>
  <si>
    <t>nicholsricky@yahoo.com</t>
  </si>
  <si>
    <t>PK-101667</t>
  </si>
  <si>
    <t>Melanie Reed</t>
  </si>
  <si>
    <t>latoya66@yahoo.com</t>
  </si>
  <si>
    <t>PK-101668</t>
  </si>
  <si>
    <t>Russell Peters</t>
  </si>
  <si>
    <t>steven92@pruitt.biz</t>
  </si>
  <si>
    <t>PK-101669</t>
  </si>
  <si>
    <t>Shawn Lee</t>
  </si>
  <si>
    <t>david36@gmail.com</t>
  </si>
  <si>
    <t>PK-101670</t>
  </si>
  <si>
    <t>Deborah Ross</t>
  </si>
  <si>
    <t>hernandezadam@maldonado.com</t>
  </si>
  <si>
    <t>PK-101671</t>
  </si>
  <si>
    <t>Cheryl Keller</t>
  </si>
  <si>
    <t>scott81@hotmail.com</t>
  </si>
  <si>
    <t>PK-101672</t>
  </si>
  <si>
    <t>Victor Bell</t>
  </si>
  <si>
    <t>dwright@thornton.com</t>
  </si>
  <si>
    <t>PK-101673</t>
  </si>
  <si>
    <t>Kevin Ashley</t>
  </si>
  <si>
    <t>brownscott@yahoo.com</t>
  </si>
  <si>
    <t>PK-101674</t>
  </si>
  <si>
    <t>Ashley Hernandez</t>
  </si>
  <si>
    <t>gina15@yahoo.com</t>
  </si>
  <si>
    <t>PK-101675</t>
  </si>
  <si>
    <t>Angela Daniels</t>
  </si>
  <si>
    <t>matthewthompson@hotmail.com</t>
  </si>
  <si>
    <t>PK-101676</t>
  </si>
  <si>
    <t>Matthew Reid</t>
  </si>
  <si>
    <t>peter64@gmail.com</t>
  </si>
  <si>
    <t>PK-101677</t>
  </si>
  <si>
    <t>Kristen Watkins</t>
  </si>
  <si>
    <t>ryanbarnes@holt.net</t>
  </si>
  <si>
    <t>PK-101678</t>
  </si>
  <si>
    <t>Trevor Sullivan</t>
  </si>
  <si>
    <t>kvillarreal@yahoo.com</t>
  </si>
  <si>
    <t>PK-101679</t>
  </si>
  <si>
    <t>Amy Kim</t>
  </si>
  <si>
    <t>michael87@gmail.com</t>
  </si>
  <si>
    <t>PK-101680</t>
  </si>
  <si>
    <t>Anthony Beasley</t>
  </si>
  <si>
    <t>ejackson@vargas-adams.net</t>
  </si>
  <si>
    <t>PK-101681</t>
  </si>
  <si>
    <t>Debra Williams</t>
  </si>
  <si>
    <t>melanie67@juarez.biz</t>
  </si>
  <si>
    <t>PK-101682</t>
  </si>
  <si>
    <t>Christopher Gallagher</t>
  </si>
  <si>
    <t>bmyers@sullivan-smith.org</t>
  </si>
  <si>
    <t>PK-101683</t>
  </si>
  <si>
    <t>Jonathan Charles</t>
  </si>
  <si>
    <t>hoganmelissa@hotmail.com</t>
  </si>
  <si>
    <t>PK-101684</t>
  </si>
  <si>
    <t>Margaret Diaz</t>
  </si>
  <si>
    <t>galvanalejandro@hotmail.com</t>
  </si>
  <si>
    <t>PK-101685</t>
  </si>
  <si>
    <t>Mr. Tim Robertson</t>
  </si>
  <si>
    <t>josephbrown@juarez-king.biz</t>
  </si>
  <si>
    <t>PK-101686</t>
  </si>
  <si>
    <t>Bernard Williams</t>
  </si>
  <si>
    <t>dicksondennis@olson.com</t>
  </si>
  <si>
    <t>PK-101687</t>
  </si>
  <si>
    <t>Carla Moore</t>
  </si>
  <si>
    <t>christopheryoung@carroll-vargas.com</t>
  </si>
  <si>
    <t>PK-101688</t>
  </si>
  <si>
    <t>xkhan@yahoo.com</t>
  </si>
  <si>
    <t>PK-101689</t>
  </si>
  <si>
    <t>Morgan Williams</t>
  </si>
  <si>
    <t>nelsonkrista@duncan.org</t>
  </si>
  <si>
    <t>PK-101690</t>
  </si>
  <si>
    <t>Susan Lee</t>
  </si>
  <si>
    <t>jkoch@hunter-kelly.info</t>
  </si>
  <si>
    <t>PK-101691</t>
  </si>
  <si>
    <t>Victor Ramirez</t>
  </si>
  <si>
    <t>williamsshannon@yahoo.com</t>
  </si>
  <si>
    <t>PK-101692</t>
  </si>
  <si>
    <t>Daniel Hayes</t>
  </si>
  <si>
    <t>saraerickson@yahoo.com</t>
  </si>
  <si>
    <t>PK-101693</t>
  </si>
  <si>
    <t>Troy Williams</t>
  </si>
  <si>
    <t>heathercole@yahoo.com</t>
  </si>
  <si>
    <t>PK-101694</t>
  </si>
  <si>
    <t>Melissa Hicks</t>
  </si>
  <si>
    <t>ymiller@gmail.com</t>
  </si>
  <si>
    <t>PK-101695</t>
  </si>
  <si>
    <t>Christine Wade</t>
  </si>
  <si>
    <t>johnsonsara@foley.net</t>
  </si>
  <si>
    <t>PK-101696</t>
  </si>
  <si>
    <t>Daniel Garcia</t>
  </si>
  <si>
    <t>christina62@hernandez.org</t>
  </si>
  <si>
    <t>PK-101697</t>
  </si>
  <si>
    <t>Brooke Hammond</t>
  </si>
  <si>
    <t>stephanie63@chung.org</t>
  </si>
  <si>
    <t>PK-101698</t>
  </si>
  <si>
    <t>Candace David</t>
  </si>
  <si>
    <t>pdixon@richmond.biz</t>
  </si>
  <si>
    <t>PK-101699</t>
  </si>
  <si>
    <t>Lindsay Gardner</t>
  </si>
  <si>
    <t>william11@miller.com</t>
  </si>
  <si>
    <t>PK-101700</t>
  </si>
  <si>
    <t>Nicholas Ball</t>
  </si>
  <si>
    <t>brandondunn@gmail.com</t>
  </si>
  <si>
    <t>PK-101701</t>
  </si>
  <si>
    <t>Phillip Montoya</t>
  </si>
  <si>
    <t>jmcdonald@gmail.com</t>
  </si>
  <si>
    <t>PK-101702</t>
  </si>
  <si>
    <t>Derek Klein</t>
  </si>
  <si>
    <t>troy54@yahoo.com</t>
  </si>
  <si>
    <t>PK-101703</t>
  </si>
  <si>
    <t>Jacqueline Ferrell</t>
  </si>
  <si>
    <t>christina05@hotmail.com</t>
  </si>
  <si>
    <t>PK-101704</t>
  </si>
  <si>
    <t>Sara Brown</t>
  </si>
  <si>
    <t>xford@phillips-jones.com</t>
  </si>
  <si>
    <t>PK-101705</t>
  </si>
  <si>
    <t>Curtis Brown</t>
  </si>
  <si>
    <t>victoria22@hall-bean.biz</t>
  </si>
  <si>
    <t>PK-101706</t>
  </si>
  <si>
    <t>Dawn Gomez</t>
  </si>
  <si>
    <t>clarence60@hotmail.com</t>
  </si>
  <si>
    <t>PK-101707</t>
  </si>
  <si>
    <t>Katherine Smith</t>
  </si>
  <si>
    <t>stacycrane@diaz.com</t>
  </si>
  <si>
    <t>PK-101708</t>
  </si>
  <si>
    <t>Craig Shepherd</t>
  </si>
  <si>
    <t>plin@hotmail.com</t>
  </si>
  <si>
    <t>PK-101709</t>
  </si>
  <si>
    <t>Melissa Douglas</t>
  </si>
  <si>
    <t>nphillips@sanchez.com</t>
  </si>
  <si>
    <t>PK-101710</t>
  </si>
  <si>
    <t>Elizabeth Garcia</t>
  </si>
  <si>
    <t>epham@yahoo.com</t>
  </si>
  <si>
    <t>PK-101711</t>
  </si>
  <si>
    <t>Michael Lopez</t>
  </si>
  <si>
    <t>derek67@torres.com</t>
  </si>
  <si>
    <t>PK-101712</t>
  </si>
  <si>
    <t>Katie Castaneda</t>
  </si>
  <si>
    <t>mary50@yahoo.com</t>
  </si>
  <si>
    <t>PK-101713</t>
  </si>
  <si>
    <t>Luis Berry</t>
  </si>
  <si>
    <t>luis26@hudson.com</t>
  </si>
  <si>
    <t>PK-101714</t>
  </si>
  <si>
    <t>Carl Meza</t>
  </si>
  <si>
    <t>reginalawrence@hayes-moreno.com</t>
  </si>
  <si>
    <t>PK-101715</t>
  </si>
  <si>
    <t>Kevin Francis</t>
  </si>
  <si>
    <t>yvonne48@richardson-dominguez.com</t>
  </si>
  <si>
    <t>PK-101716</t>
  </si>
  <si>
    <t>Courtney Jordan</t>
  </si>
  <si>
    <t>morenoalan@gmail.com</t>
  </si>
  <si>
    <t>PK-101717</t>
  </si>
  <si>
    <t>Sean Morse</t>
  </si>
  <si>
    <t>jscott@gmail.com</t>
  </si>
  <si>
    <t>PK-101718</t>
  </si>
  <si>
    <t>Steven Rodgers</t>
  </si>
  <si>
    <t>daltondustin@johnson-chung.info</t>
  </si>
  <si>
    <t>PK-101719</t>
  </si>
  <si>
    <t>Larry Fisher</t>
  </si>
  <si>
    <t>michael25@fisher-monroe.com</t>
  </si>
  <si>
    <t>PK-101720</t>
  </si>
  <si>
    <t>Adam Anderson</t>
  </si>
  <si>
    <t>fosterbriana@hotmail.com</t>
  </si>
  <si>
    <t>PK-101721</t>
  </si>
  <si>
    <t>Kathryn Benjamin</t>
  </si>
  <si>
    <t>nhaynes@dickson.net</t>
  </si>
  <si>
    <t>PK-101722</t>
  </si>
  <si>
    <t>Wesley Werner</t>
  </si>
  <si>
    <t>cking@yahoo.com</t>
  </si>
  <si>
    <t>PK-101723</t>
  </si>
  <si>
    <t>Todd Rhodes</t>
  </si>
  <si>
    <t>luisoliver@hotmail.com</t>
  </si>
  <si>
    <t>PK-101724</t>
  </si>
  <si>
    <t>Joseph George</t>
  </si>
  <si>
    <t>amitchell@johnson.com</t>
  </si>
  <si>
    <t>PK-101725</t>
  </si>
  <si>
    <t>Terri Miller</t>
  </si>
  <si>
    <t>roberttaylor@dorsey.info</t>
  </si>
  <si>
    <t>PK-101726</t>
  </si>
  <si>
    <t>Kyle Escobar</t>
  </si>
  <si>
    <t>stanleyaaron@gmail.com</t>
  </si>
  <si>
    <t>PK-101727</t>
  </si>
  <si>
    <t>Samuel Rodriguez</t>
  </si>
  <si>
    <t>warrenkevin@sampson.com</t>
  </si>
  <si>
    <t>PK-101728</t>
  </si>
  <si>
    <t>Brianna Hill</t>
  </si>
  <si>
    <t>tiffanyrichardson@lindsey.org</t>
  </si>
  <si>
    <t>PK-101729</t>
  </si>
  <si>
    <t>Laura Moore</t>
  </si>
  <si>
    <t>reedvirginia@padilla.com</t>
  </si>
  <si>
    <t>PK-101730</t>
  </si>
  <si>
    <t>Derrick Burch</t>
  </si>
  <si>
    <t>chad08@hotmail.com</t>
  </si>
  <si>
    <t>PK-101731</t>
  </si>
  <si>
    <t>William Alvarado</t>
  </si>
  <si>
    <t>ykelly@gmail.com</t>
  </si>
  <si>
    <t>PK-101732</t>
  </si>
  <si>
    <t>Julia Coleman</t>
  </si>
  <si>
    <t>jacksonandrew@gardner.com</t>
  </si>
  <si>
    <t>PK-101733</t>
  </si>
  <si>
    <t>Matthew Allen</t>
  </si>
  <si>
    <t>jonesjonathan@hotmail.com</t>
  </si>
  <si>
    <t>PK-101734</t>
  </si>
  <si>
    <t>Robert Sutton</t>
  </si>
  <si>
    <t>adamselaine@yahoo.com</t>
  </si>
  <si>
    <t>PK-101735</t>
  </si>
  <si>
    <t>Austin Murray</t>
  </si>
  <si>
    <t>cwalls@hotmail.com</t>
  </si>
  <si>
    <t>PK-101736</t>
  </si>
  <si>
    <t>Matthew Richards</t>
  </si>
  <si>
    <t>davidboyle@gmail.com</t>
  </si>
  <si>
    <t>PK-101737</t>
  </si>
  <si>
    <t>Charles Miller</t>
  </si>
  <si>
    <t>amyespinoza@hotmail.com</t>
  </si>
  <si>
    <t>PK-101738</t>
  </si>
  <si>
    <t>Daniel Harris</t>
  </si>
  <si>
    <t>ihawkins@hotmail.com</t>
  </si>
  <si>
    <t>PK-101739</t>
  </si>
  <si>
    <t>Jay Bell</t>
  </si>
  <si>
    <t>kmarquez@gmail.com</t>
  </si>
  <si>
    <t>PK-101740</t>
  </si>
  <si>
    <t>Paul Watson</t>
  </si>
  <si>
    <t>anthonyclark@reynolds.com</t>
  </si>
  <si>
    <t>PK-101741</t>
  </si>
  <si>
    <t>Jessica Schroeder</t>
  </si>
  <si>
    <t>nblack@yahoo.com</t>
  </si>
  <si>
    <t>PK-101742</t>
  </si>
  <si>
    <t>Kimberly Moore</t>
  </si>
  <si>
    <t>daniel13@yahoo.com</t>
  </si>
  <si>
    <t>PK-101743</t>
  </si>
  <si>
    <t>Edward Robinson</t>
  </si>
  <si>
    <t>fnelson@leblanc.net</t>
  </si>
  <si>
    <t>PK-101744</t>
  </si>
  <si>
    <t>Frank Campbell</t>
  </si>
  <si>
    <t>ashley79@yahoo.com</t>
  </si>
  <si>
    <t>PK-101745</t>
  </si>
  <si>
    <t>Mathew Lawrence</t>
  </si>
  <si>
    <t>alexandra75@lopez.com</t>
  </si>
  <si>
    <t>PK-101746</t>
  </si>
  <si>
    <t>Elizabeth Smith</t>
  </si>
  <si>
    <t>ufischer@gmail.com</t>
  </si>
  <si>
    <t>PK-101747</t>
  </si>
  <si>
    <t>Laura Butler</t>
  </si>
  <si>
    <t>kenneth86@gmail.com</t>
  </si>
  <si>
    <t>PK-101748</t>
  </si>
  <si>
    <t>Ryan Valentine</t>
  </si>
  <si>
    <t>amanda48@wallace.biz</t>
  </si>
  <si>
    <t>PK-101749</t>
  </si>
  <si>
    <t>Melissa Parsons</t>
  </si>
  <si>
    <t>bridgetbailey@hotmail.com</t>
  </si>
  <si>
    <t>PK-101750</t>
  </si>
  <si>
    <t>Katherine Thompson</t>
  </si>
  <si>
    <t>robert76@hotmail.com</t>
  </si>
  <si>
    <t>PK-101751</t>
  </si>
  <si>
    <t>houstonerin@gmail.com</t>
  </si>
  <si>
    <t>PK-101752</t>
  </si>
  <si>
    <t>kaylacollier@hotmail.com</t>
  </si>
  <si>
    <t>PK-101753</t>
  </si>
  <si>
    <t>Andrew Ingram</t>
  </si>
  <si>
    <t>marialucero@yahoo.com</t>
  </si>
  <si>
    <t>PK-101754</t>
  </si>
  <si>
    <t>Phyllis Clark</t>
  </si>
  <si>
    <t>leeeric@hotmail.com</t>
  </si>
  <si>
    <t>PK-101755</t>
  </si>
  <si>
    <t>Cody Davis</t>
  </si>
  <si>
    <t>stephaniecox@yahoo.com</t>
  </si>
  <si>
    <t>PK-101756</t>
  </si>
  <si>
    <t>Bonnie Perkins</t>
  </si>
  <si>
    <t>howardking@scott-rodriguez.net</t>
  </si>
  <si>
    <t>PK-101757</t>
  </si>
  <si>
    <t>Steven Bradford</t>
  </si>
  <si>
    <t>ortegaangel@gmail.com</t>
  </si>
  <si>
    <t>PK-101758</t>
  </si>
  <si>
    <t>Cody Saunders</t>
  </si>
  <si>
    <t>whitney50@gmail.com</t>
  </si>
  <si>
    <t>PK-101759</t>
  </si>
  <si>
    <t>Dr. Kelsey Rhodes</t>
  </si>
  <si>
    <t>sharon46@heath.biz</t>
  </si>
  <si>
    <t>PK-101760</t>
  </si>
  <si>
    <t>William Roberts Jr.</t>
  </si>
  <si>
    <t>davisnathan@merritt.info</t>
  </si>
  <si>
    <t>PK-101761</t>
  </si>
  <si>
    <t>Roger Carter</t>
  </si>
  <si>
    <t>perezalexis@hotmail.com</t>
  </si>
  <si>
    <t>PK-101762</t>
  </si>
  <si>
    <t>Nicole Pineda</t>
  </si>
  <si>
    <t>steven46@miller.biz</t>
  </si>
  <si>
    <t>PK-101763</t>
  </si>
  <si>
    <t>Brandy Garcia</t>
  </si>
  <si>
    <t>christinaserrano@yahoo.com</t>
  </si>
  <si>
    <t>PK-101764</t>
  </si>
  <si>
    <t>tammy55@gmail.com</t>
  </si>
  <si>
    <t>PK-101765</t>
  </si>
  <si>
    <t>Sandra Lee</t>
  </si>
  <si>
    <t>david93@mcpherson-porter.net</t>
  </si>
  <si>
    <t>PK-101766</t>
  </si>
  <si>
    <t>Paula Irwin</t>
  </si>
  <si>
    <t>wendy14@holloway.com</t>
  </si>
  <si>
    <t>PK-101767</t>
  </si>
  <si>
    <t>Stephanie Hanson</t>
  </si>
  <si>
    <t>zjimenez@hotmail.com</t>
  </si>
  <si>
    <t>PK-101768</t>
  </si>
  <si>
    <t>James Patrick</t>
  </si>
  <si>
    <t>spencerlarsen@yahoo.com</t>
  </si>
  <si>
    <t>PK-101769</t>
  </si>
  <si>
    <t>Kelsey Fleming</t>
  </si>
  <si>
    <t>troytate@middleton.com</t>
  </si>
  <si>
    <t>PK-101770</t>
  </si>
  <si>
    <t>Justin Villanueva</t>
  </si>
  <si>
    <t>wellslisa@gmail.com</t>
  </si>
  <si>
    <t>PK-101771</t>
  </si>
  <si>
    <t>Gary Dixon</t>
  </si>
  <si>
    <t>brobinson@jackson.biz</t>
  </si>
  <si>
    <t>PK-101772</t>
  </si>
  <si>
    <t>Katherine Fitzpatrick</t>
  </si>
  <si>
    <t>bowersdustin@mata.com</t>
  </si>
  <si>
    <t>PK-101773</t>
  </si>
  <si>
    <t>Julia Hubbard</t>
  </si>
  <si>
    <t>jamestaylor@smith-richards.org</t>
  </si>
  <si>
    <t>PK-101774</t>
  </si>
  <si>
    <t>Taylor Guerrero</t>
  </si>
  <si>
    <t>smithshannon@parker-cortez.com</t>
  </si>
  <si>
    <t>PK-101775</t>
  </si>
  <si>
    <t>Cynthia Tate</t>
  </si>
  <si>
    <t>vsanders@martinez.biz</t>
  </si>
  <si>
    <t>PK-101776</t>
  </si>
  <si>
    <t>Richard Osborne Jr.</t>
  </si>
  <si>
    <t>bobby41@hotmail.com</t>
  </si>
  <si>
    <t>PK-101777</t>
  </si>
  <si>
    <t>Tracy Brooks</t>
  </si>
  <si>
    <t>mbryant@gmail.com</t>
  </si>
  <si>
    <t>PK-101778</t>
  </si>
  <si>
    <t>Sarah Phillips</t>
  </si>
  <si>
    <t>brian46@yahoo.com</t>
  </si>
  <si>
    <t>PK-101779</t>
  </si>
  <si>
    <t>Laura Sellers</t>
  </si>
  <si>
    <t>brianhanson@johnston.info</t>
  </si>
  <si>
    <t>PK-101780</t>
  </si>
  <si>
    <t>cynthia32@yahoo.com</t>
  </si>
  <si>
    <t>PK-101781</t>
  </si>
  <si>
    <t>Cory Brown</t>
  </si>
  <si>
    <t>steven11@gilmore.info</t>
  </si>
  <si>
    <t>PK-101782</t>
  </si>
  <si>
    <t>Steven Fields</t>
  </si>
  <si>
    <t>vcortez@webb-dunn.info</t>
  </si>
  <si>
    <t>PK-101783</t>
  </si>
  <si>
    <t>Lawrence Martinez</t>
  </si>
  <si>
    <t>agardner@hernandez.com</t>
  </si>
  <si>
    <t>PK-101784</t>
  </si>
  <si>
    <t>Raymond Edwards</t>
  </si>
  <si>
    <t>mannjason@tanner-russell.biz</t>
  </si>
  <si>
    <t>PK-101785</t>
  </si>
  <si>
    <t>Elizabeth Wade</t>
  </si>
  <si>
    <t>kimberlylyons@carter-coleman.info</t>
  </si>
  <si>
    <t>PK-101786</t>
  </si>
  <si>
    <t>Deanna Perez</t>
  </si>
  <si>
    <t>nwhitney@collins.org</t>
  </si>
  <si>
    <t>PK-101787</t>
  </si>
  <si>
    <t>Cody Howard</t>
  </si>
  <si>
    <t>michael67@jackson.net</t>
  </si>
  <si>
    <t>PK-101788</t>
  </si>
  <si>
    <t>James Benitez</t>
  </si>
  <si>
    <t>christopher78@hotmail.com</t>
  </si>
  <si>
    <t>PK-101789</t>
  </si>
  <si>
    <t>Tammy Moses</t>
  </si>
  <si>
    <t>daniel22@meza.com</t>
  </si>
  <si>
    <t>PK-101790</t>
  </si>
  <si>
    <t>Leslie Kaiser</t>
  </si>
  <si>
    <t>pearsonalexander@hotmail.com</t>
  </si>
  <si>
    <t>PK-101791</t>
  </si>
  <si>
    <t>Mark Bailey</t>
  </si>
  <si>
    <t>jeremysanchez@greer.com</t>
  </si>
  <si>
    <t>PK-101792</t>
  </si>
  <si>
    <t>Robert Hudson</t>
  </si>
  <si>
    <t>ramseydenise@yahoo.com</t>
  </si>
  <si>
    <t>PK-101793</t>
  </si>
  <si>
    <t>Casey Castillo</t>
  </si>
  <si>
    <t>georgechelsea@brady-ochoa.com</t>
  </si>
  <si>
    <t>PK-101794</t>
  </si>
  <si>
    <t>Kaitlyn Richmond</t>
  </si>
  <si>
    <t>clittle@yahoo.com</t>
  </si>
  <si>
    <t>PK-101795</t>
  </si>
  <si>
    <t>Robert Tran</t>
  </si>
  <si>
    <t>carlsonelizabeth@hunt.org</t>
  </si>
  <si>
    <t>PK-101796</t>
  </si>
  <si>
    <t>Robin Montgomery</t>
  </si>
  <si>
    <t>jason69@hernandez.biz</t>
  </si>
  <si>
    <t>PK-101797</t>
  </si>
  <si>
    <t>Jennifer Mcguire</t>
  </si>
  <si>
    <t>christophersilva@gmail.com</t>
  </si>
  <si>
    <t>PK-101798</t>
  </si>
  <si>
    <t>Joshua Rowe</t>
  </si>
  <si>
    <t>ebauer@lynch.biz</t>
  </si>
  <si>
    <t>PK-101799</t>
  </si>
  <si>
    <t>Jeanette Rivera</t>
  </si>
  <si>
    <t>jessica55@king.org</t>
  </si>
  <si>
    <t>PK-101800</t>
  </si>
  <si>
    <t>Sheila Wilson</t>
  </si>
  <si>
    <t>dawnfrench@diaz.com</t>
  </si>
  <si>
    <t>PK-101801</t>
  </si>
  <si>
    <t>Lindsey Gillespie</t>
  </si>
  <si>
    <t>hardinjames@gmail.com</t>
  </si>
  <si>
    <t>PK-101802</t>
  </si>
  <si>
    <t>Randy Contreras</t>
  </si>
  <si>
    <t>mrogers@yahoo.com</t>
  </si>
  <si>
    <t>PK-101803</t>
  </si>
  <si>
    <t>John Adams</t>
  </si>
  <si>
    <t>nathanbarber@jennings-craig.com</t>
  </si>
  <si>
    <t>PK-101804</t>
  </si>
  <si>
    <t>Kristen Cross</t>
  </si>
  <si>
    <t>adriantorres@yahoo.com</t>
  </si>
  <si>
    <t>PK-101805</t>
  </si>
  <si>
    <t>Dylan Thomas</t>
  </si>
  <si>
    <t>russobrendan@richmond-austin.com</t>
  </si>
  <si>
    <t>PK-101806</t>
  </si>
  <si>
    <t>Tina Joseph</t>
  </si>
  <si>
    <t>jill40@hotmail.com</t>
  </si>
  <si>
    <t>PK-101807</t>
  </si>
  <si>
    <t>Margaret Cook</t>
  </si>
  <si>
    <t>williamsdavid@gmail.com</t>
  </si>
  <si>
    <t>PK-101808</t>
  </si>
  <si>
    <t>Scott Brown</t>
  </si>
  <si>
    <t>tpage@wall-martin.info</t>
  </si>
  <si>
    <t>PK-101809</t>
  </si>
  <si>
    <t>Russell Hester</t>
  </si>
  <si>
    <t>andrewcherry@flores.com</t>
  </si>
  <si>
    <t>PK-101810</t>
  </si>
  <si>
    <t>Bill Camacho</t>
  </si>
  <si>
    <t>teresawilliams@hotmail.com</t>
  </si>
  <si>
    <t>PK-101811</t>
  </si>
  <si>
    <t>Kevin George</t>
  </si>
  <si>
    <t>richard57@gmail.com</t>
  </si>
  <si>
    <t>PK-101812</t>
  </si>
  <si>
    <t>James Harrington DDS</t>
  </si>
  <si>
    <t>bruce09@taylor.net</t>
  </si>
  <si>
    <t>PK-101813</t>
  </si>
  <si>
    <t>Matthew Nelson</t>
  </si>
  <si>
    <t>schultzjulia@hotmail.com</t>
  </si>
  <si>
    <t>PK-101814</t>
  </si>
  <si>
    <t>Timothy Myers</t>
  </si>
  <si>
    <t>chadsims@parker-freeman.com</t>
  </si>
  <si>
    <t>PK-101815</t>
  </si>
  <si>
    <t>Gerald Gonzalez</t>
  </si>
  <si>
    <t>erica87@sandoval.info</t>
  </si>
  <si>
    <t>PK-101816</t>
  </si>
  <si>
    <t>Amanda Mcdowell</t>
  </si>
  <si>
    <t>martinandrew@gmail.com</t>
  </si>
  <si>
    <t>PK-101817</t>
  </si>
  <si>
    <t>Nicole Morton</t>
  </si>
  <si>
    <t>xalexander@franklin.com</t>
  </si>
  <si>
    <t>PK-101818</t>
  </si>
  <si>
    <t>Amanda Mills</t>
  </si>
  <si>
    <t>jenniferharris@holland.com</t>
  </si>
  <si>
    <t>PK-101819</t>
  </si>
  <si>
    <t>Traci Cohen</t>
  </si>
  <si>
    <t>amy36@hotmail.com</t>
  </si>
  <si>
    <t>PK-101820</t>
  </si>
  <si>
    <t>Eric Jacobson</t>
  </si>
  <si>
    <t>wsingh@lynn-reynolds.info</t>
  </si>
  <si>
    <t>PK-101821</t>
  </si>
  <si>
    <t>Tiffany Jacobs</t>
  </si>
  <si>
    <t>ashleyrush@gmail.com</t>
  </si>
  <si>
    <t>PK-101822</t>
  </si>
  <si>
    <t>Johnny Johnson</t>
  </si>
  <si>
    <t>jamesjackson@yahoo.com</t>
  </si>
  <si>
    <t>PK-101823</t>
  </si>
  <si>
    <t>Timothy Williams</t>
  </si>
  <si>
    <t>johnsonlaura@hotmail.com</t>
  </si>
  <si>
    <t>PK-101824</t>
  </si>
  <si>
    <t>Nicholas Russell</t>
  </si>
  <si>
    <t>lorozco@kline.info</t>
  </si>
  <si>
    <t>PK-101825</t>
  </si>
  <si>
    <t>Amber Ortiz</t>
  </si>
  <si>
    <t>rebeccakelley@holmes-payne.biz</t>
  </si>
  <si>
    <t>PK-101826</t>
  </si>
  <si>
    <t>Stephen Campbell</t>
  </si>
  <si>
    <t>campbelltara@yahoo.com</t>
  </si>
  <si>
    <t>PK-101827</t>
  </si>
  <si>
    <t>Gregory Chandler</t>
  </si>
  <si>
    <t>douglas29@wang-johnson.com</t>
  </si>
  <si>
    <t>PK-101828</t>
  </si>
  <si>
    <t>Theresa Hunter</t>
  </si>
  <si>
    <t>gmartinez@hotmail.com</t>
  </si>
  <si>
    <t>PK-101829</t>
  </si>
  <si>
    <t>Jeffrey Santos</t>
  </si>
  <si>
    <t>lewispamela@hotmail.com</t>
  </si>
  <si>
    <t>PK-101830</t>
  </si>
  <si>
    <t>Larry Bautista</t>
  </si>
  <si>
    <t>salasjudy@hotmail.com</t>
  </si>
  <si>
    <t>PK-101831</t>
  </si>
  <si>
    <t>Charles Allen</t>
  </si>
  <si>
    <t>mooretara@gmail.com</t>
  </si>
  <si>
    <t>PK-101832</t>
  </si>
  <si>
    <t>Michael Ewing</t>
  </si>
  <si>
    <t>ljohnson@campos.com</t>
  </si>
  <si>
    <t>PK-101833</t>
  </si>
  <si>
    <t>Sharon Marshall</t>
  </si>
  <si>
    <t>dustin90@rivera.info</t>
  </si>
  <si>
    <t>PK-101834</t>
  </si>
  <si>
    <t>Misty Martin</t>
  </si>
  <si>
    <t>gibsonamanda@frank-morgan.com</t>
  </si>
  <si>
    <t>PK-101835</t>
  </si>
  <si>
    <t>Alison Patel</t>
  </si>
  <si>
    <t>alexanderbyrd@mills-thornton.com</t>
  </si>
  <si>
    <t>PK-101836</t>
  </si>
  <si>
    <t>Dr. Robert Munoz</t>
  </si>
  <si>
    <t>wwilliams@hotmail.com</t>
  </si>
  <si>
    <t>PK-101837</t>
  </si>
  <si>
    <t>Brian Williams</t>
  </si>
  <si>
    <t>denisegraham@snyder.info</t>
  </si>
  <si>
    <t>PK-101838</t>
  </si>
  <si>
    <t>Elizabeth Lane</t>
  </si>
  <si>
    <t>andreamontgomery@sims.com</t>
  </si>
  <si>
    <t>PK-101839</t>
  </si>
  <si>
    <t>Linda Brown</t>
  </si>
  <si>
    <t>jclayton@richardson.com</t>
  </si>
  <si>
    <t>PK-101840</t>
  </si>
  <si>
    <t>John Atkins</t>
  </si>
  <si>
    <t>zrodriguez@gmail.com</t>
  </si>
  <si>
    <t>PK-101841</t>
  </si>
  <si>
    <t>Dean Anderson</t>
  </si>
  <si>
    <t>dawn97@hotmail.com</t>
  </si>
  <si>
    <t>PK-101842</t>
  </si>
  <si>
    <t>Jose Oliver</t>
  </si>
  <si>
    <t>brittanydaniels@yahoo.com</t>
  </si>
  <si>
    <t>PK-101843</t>
  </si>
  <si>
    <t>Brittany Brown</t>
  </si>
  <si>
    <t>theresamathis@yahoo.com</t>
  </si>
  <si>
    <t>PK-101844</t>
  </si>
  <si>
    <t>Shawn Collins</t>
  </si>
  <si>
    <t>marquezholly@trevino.org</t>
  </si>
  <si>
    <t>PK-101845</t>
  </si>
  <si>
    <t>Melissa Payne</t>
  </si>
  <si>
    <t>rcalhoun@yahoo.com</t>
  </si>
  <si>
    <t>PK-101846</t>
  </si>
  <si>
    <t>Kendra Miller</t>
  </si>
  <si>
    <t>mjones@lamb.biz</t>
  </si>
  <si>
    <t>PK-101847</t>
  </si>
  <si>
    <t>Douglas May</t>
  </si>
  <si>
    <t>matthew85@yahoo.com</t>
  </si>
  <si>
    <t>PK-101848</t>
  </si>
  <si>
    <t>Michelle Johnson</t>
  </si>
  <si>
    <t>jhammond@sandoval-miller.com</t>
  </si>
  <si>
    <t>PK-101849</t>
  </si>
  <si>
    <t>Clayton Duran</t>
  </si>
  <si>
    <t>tonya97@gmail.com</t>
  </si>
  <si>
    <t>PK-101850</t>
  </si>
  <si>
    <t>Max Bowers</t>
  </si>
  <si>
    <t>andrea48@gmail.com</t>
  </si>
  <si>
    <t>PK-101851</t>
  </si>
  <si>
    <t>Elijah Thomas</t>
  </si>
  <si>
    <t>justincannon@yahoo.com</t>
  </si>
  <si>
    <t>PK-101852</t>
  </si>
  <si>
    <t>Anna Thomas</t>
  </si>
  <si>
    <t>carterdonald@smith.com</t>
  </si>
  <si>
    <t>PK-101853</t>
  </si>
  <si>
    <t>Kim Rowland</t>
  </si>
  <si>
    <t>ddavis@duncan.com</t>
  </si>
  <si>
    <t>PK-101854</t>
  </si>
  <si>
    <t>Valerie Smith</t>
  </si>
  <si>
    <t>englishrobert@cruz-dennis.com</t>
  </si>
  <si>
    <t>PK-101855</t>
  </si>
  <si>
    <t>Andrew Dunlap</t>
  </si>
  <si>
    <t>elizabethrandall@gmail.com</t>
  </si>
  <si>
    <t>PK-101856</t>
  </si>
  <si>
    <t>Steven Wilson</t>
  </si>
  <si>
    <t>mahoneychelsea@brooks.com</t>
  </si>
  <si>
    <t>PK-101857</t>
  </si>
  <si>
    <t>Victor Mosley</t>
  </si>
  <si>
    <t>penamargaret@palmer.com</t>
  </si>
  <si>
    <t>PK-101858</t>
  </si>
  <si>
    <t>Adrian Fitzgerald MD</t>
  </si>
  <si>
    <t>ashleyevans@perez-campos.com</t>
  </si>
  <si>
    <t>PK-101859</t>
  </si>
  <si>
    <t>Stacey Haynes</t>
  </si>
  <si>
    <t>lauren01@burton-smith.org</t>
  </si>
  <si>
    <t>PK-101860</t>
  </si>
  <si>
    <t>wilkersonwilliam@hotmail.com</t>
  </si>
  <si>
    <t>PK-101861</t>
  </si>
  <si>
    <t>Mr. Rickey Adams</t>
  </si>
  <si>
    <t>smithstephanie@rocha.info</t>
  </si>
  <si>
    <t>PK-101862</t>
  </si>
  <si>
    <t>Christopher Williams</t>
  </si>
  <si>
    <t>ischultz@mayo.info</t>
  </si>
  <si>
    <t>PK-101863</t>
  </si>
  <si>
    <t>Carlos Murray</t>
  </si>
  <si>
    <t>pclark@ferguson-turner.info</t>
  </si>
  <si>
    <t>PK-101864</t>
  </si>
  <si>
    <t>Ronnie Rivas</t>
  </si>
  <si>
    <t>wfrost@gmail.com</t>
  </si>
  <si>
    <t>PK-101865</t>
  </si>
  <si>
    <t>Timothy Burns</t>
  </si>
  <si>
    <t>frances48@moore.org</t>
  </si>
  <si>
    <t>PK-101866</t>
  </si>
  <si>
    <t>Martha Johnson</t>
  </si>
  <si>
    <t>sandra86@gregory.com</t>
  </si>
  <si>
    <t>PK-101867</t>
  </si>
  <si>
    <t>Nathaniel Cole</t>
  </si>
  <si>
    <t>richard52@hotmail.com</t>
  </si>
  <si>
    <t>PK-101868</t>
  </si>
  <si>
    <t>Rachel Williams</t>
  </si>
  <si>
    <t>pbrown@perez-everett.com</t>
  </si>
  <si>
    <t>PK-101869</t>
  </si>
  <si>
    <t>Russell Wilson</t>
  </si>
  <si>
    <t>millerdiane@jackson.com</t>
  </si>
  <si>
    <t>PK-101870</t>
  </si>
  <si>
    <t>Natasha Cox</t>
  </si>
  <si>
    <t>millerdennis@hotmail.com</t>
  </si>
  <si>
    <t>PK-101871</t>
  </si>
  <si>
    <t>Matthew Miller</t>
  </si>
  <si>
    <t>adam85@smith-mcdonald.biz</t>
  </si>
  <si>
    <t>PK-101872</t>
  </si>
  <si>
    <t>Anthony Garcia</t>
  </si>
  <si>
    <t>john92@lester.net</t>
  </si>
  <si>
    <t>PK-101873</t>
  </si>
  <si>
    <t>Jenna Shelton</t>
  </si>
  <si>
    <t>markgomez@vargas-ayala.com</t>
  </si>
  <si>
    <t>PK-101874</t>
  </si>
  <si>
    <t>Dr. Christopher Smith</t>
  </si>
  <si>
    <t>johnnyanderson@wilson.com</t>
  </si>
  <si>
    <t>PK-101875</t>
  </si>
  <si>
    <t>Cody Durham</t>
  </si>
  <si>
    <t>christina79@williamson.com</t>
  </si>
  <si>
    <t>PK-101876</t>
  </si>
  <si>
    <t>Jacob Gillespie</t>
  </si>
  <si>
    <t>PK-101877</t>
  </si>
  <si>
    <t>Christy Evans</t>
  </si>
  <si>
    <t>gloverelizabeth@gmail.com</t>
  </si>
  <si>
    <t>PK-101878</t>
  </si>
  <si>
    <t>Jesse Li</t>
  </si>
  <si>
    <t>samantha25@fuller.com</t>
  </si>
  <si>
    <t>PK-101879</t>
  </si>
  <si>
    <t>Harry Ward</t>
  </si>
  <si>
    <t>jamesjacob@smith.org</t>
  </si>
  <si>
    <t>PK-101880</t>
  </si>
  <si>
    <t>Jennifer Pineda</t>
  </si>
  <si>
    <t>austinlopez@yahoo.com</t>
  </si>
  <si>
    <t>PK-101881</t>
  </si>
  <si>
    <t>Rachel Gonzalez</t>
  </si>
  <si>
    <t>nathanmatthews@hotmail.com</t>
  </si>
  <si>
    <t>PK-101882</t>
  </si>
  <si>
    <t>Darlene Gutierrez</t>
  </si>
  <si>
    <t>granthodges@ayers.info</t>
  </si>
  <si>
    <t>PK-101883</t>
  </si>
  <si>
    <t>Mr. David Phillips</t>
  </si>
  <si>
    <t>benjamin07@brown.net</t>
  </si>
  <si>
    <t>PK-101884</t>
  </si>
  <si>
    <t>Jeff Miller</t>
  </si>
  <si>
    <t>cruzmichael@horn.com</t>
  </si>
  <si>
    <t>PK-101885</t>
  </si>
  <si>
    <t>Rachel Dunlap</t>
  </si>
  <si>
    <t>qperry@gmail.com</t>
  </si>
  <si>
    <t>PK-101886</t>
  </si>
  <si>
    <t>Patrick Reed</t>
  </si>
  <si>
    <t>travis59@rowe.info</t>
  </si>
  <si>
    <t>PK-101887</t>
  </si>
  <si>
    <t>Susan Johnson</t>
  </si>
  <si>
    <t>kyleroach@hotmail.com</t>
  </si>
  <si>
    <t>PK-101888</t>
  </si>
  <si>
    <t>Laurie Clayton</t>
  </si>
  <si>
    <t>shawn07@anderson.com</t>
  </si>
  <si>
    <t>PK-101889</t>
  </si>
  <si>
    <t>Margaret Campbell</t>
  </si>
  <si>
    <t>alexismcneil@evans.com</t>
  </si>
  <si>
    <t>PK-101890</t>
  </si>
  <si>
    <t>Steven Clark</t>
  </si>
  <si>
    <t>alanpatterson@nelson.org</t>
  </si>
  <si>
    <t>PK-101891</t>
  </si>
  <si>
    <t>Wanda Hale</t>
  </si>
  <si>
    <t>mrobinson@hotmail.com</t>
  </si>
  <si>
    <t>PK-101892</t>
  </si>
  <si>
    <t>Julie Banks</t>
  </si>
  <si>
    <t>oolson@buchanan.com</t>
  </si>
  <si>
    <t>PK-101893</t>
  </si>
  <si>
    <t>Ashley Craig</t>
  </si>
  <si>
    <t>mariahaynes@yahoo.com</t>
  </si>
  <si>
    <t>PK-101894</t>
  </si>
  <si>
    <t>Austin Juarez</t>
  </si>
  <si>
    <t>sandovaltina@hall-kirby.com</t>
  </si>
  <si>
    <t>PK-101895</t>
  </si>
  <si>
    <t>Laurie Davis</t>
  </si>
  <si>
    <t>esmith@robinson.org</t>
  </si>
  <si>
    <t>PK-101896</t>
  </si>
  <si>
    <t>Christopher Spears</t>
  </si>
  <si>
    <t>vthompson@nguyen-mitchell.com</t>
  </si>
  <si>
    <t>PK-101897</t>
  </si>
  <si>
    <t>Barbara Boyer</t>
  </si>
  <si>
    <t>cindyschmidt@gmail.com</t>
  </si>
  <si>
    <t>PK-101898</t>
  </si>
  <si>
    <t>Scott Delgado</t>
  </si>
  <si>
    <t>zhernandez@montgomery.com</t>
  </si>
  <si>
    <t>PK-101899</t>
  </si>
  <si>
    <t>Stacey Smith</t>
  </si>
  <si>
    <t>crobinson@swanson.net</t>
  </si>
  <si>
    <t>PK-101900</t>
  </si>
  <si>
    <t>Chad Lewis</t>
  </si>
  <si>
    <t>johnsonnancy@livingston.com</t>
  </si>
  <si>
    <t>PK-101901</t>
  </si>
  <si>
    <t>Anna Garza</t>
  </si>
  <si>
    <t>yfuller@yahoo.com</t>
  </si>
  <si>
    <t>PK-101902</t>
  </si>
  <si>
    <t>Kimberly Greene</t>
  </si>
  <si>
    <t>howardespinoza@kelley-morgan.com</t>
  </si>
  <si>
    <t>PK-101903</t>
  </si>
  <si>
    <t>John Wells</t>
  </si>
  <si>
    <t>raymondstephens@yahoo.com</t>
  </si>
  <si>
    <t>PK-101904</t>
  </si>
  <si>
    <t>Kristen Evans DDS</t>
  </si>
  <si>
    <t>thomas40@taylor-chavez.com</t>
  </si>
  <si>
    <t>PK-101905</t>
  </si>
  <si>
    <t>Francisco Clark</t>
  </si>
  <si>
    <t>toddreese@rich.net</t>
  </si>
  <si>
    <t>PK-101906</t>
  </si>
  <si>
    <t>Whitney Padilla</t>
  </si>
  <si>
    <t>rebecca71@gmail.com</t>
  </si>
  <si>
    <t>PK-101907</t>
  </si>
  <si>
    <t>Michael Morrison</t>
  </si>
  <si>
    <t>nicholasthomas@hotmail.com</t>
  </si>
  <si>
    <t>PK-101908</t>
  </si>
  <si>
    <t>Donald Flores</t>
  </si>
  <si>
    <t>tyler96@mathis-tyler.com</t>
  </si>
  <si>
    <t>PK-101909</t>
  </si>
  <si>
    <t>Cynthia Steele</t>
  </si>
  <si>
    <t>gonzalezsara@gmail.com</t>
  </si>
  <si>
    <t>PK-101910</t>
  </si>
  <si>
    <t>Mary Carpenter</t>
  </si>
  <si>
    <t>toddweiss@horton.com</t>
  </si>
  <si>
    <t>PK-101911</t>
  </si>
  <si>
    <t>Matthew Johnson</t>
  </si>
  <si>
    <t>wfowler@taylor.net</t>
  </si>
  <si>
    <t>PK-101912</t>
  </si>
  <si>
    <t>George Williams</t>
  </si>
  <si>
    <t>terri49@hotmail.com</t>
  </si>
  <si>
    <t>PK-101913</t>
  </si>
  <si>
    <t>April Daniels</t>
  </si>
  <si>
    <t>gabriellaramirez@yahoo.com</t>
  </si>
  <si>
    <t>PK-101914</t>
  </si>
  <si>
    <t>Lauren Snyder</t>
  </si>
  <si>
    <t>vincentsuarez@gmail.com</t>
  </si>
  <si>
    <t>PK-101915</t>
  </si>
  <si>
    <t>Edwin Becker</t>
  </si>
  <si>
    <t>mariomiller@yahoo.com</t>
  </si>
  <si>
    <t>PK-101916</t>
  </si>
  <si>
    <t>Dustin Ray</t>
  </si>
  <si>
    <t>russellmichael@yahoo.com</t>
  </si>
  <si>
    <t>PK-101917</t>
  </si>
  <si>
    <t>Marissa Young</t>
  </si>
  <si>
    <t>debra45@hotmail.com</t>
  </si>
  <si>
    <t>PK-101918</t>
  </si>
  <si>
    <t>Raymond Banks</t>
  </si>
  <si>
    <t>beckysanchez@nelson-blevins.com</t>
  </si>
  <si>
    <t>PK-101919</t>
  </si>
  <si>
    <t>Evelyn Wilson</t>
  </si>
  <si>
    <t>maryjohnson@yahoo.com</t>
  </si>
  <si>
    <t>PK-101920</t>
  </si>
  <si>
    <t>Richard Jones</t>
  </si>
  <si>
    <t>brianferguson@wilson-huber.com</t>
  </si>
  <si>
    <t>PK-101921</t>
  </si>
  <si>
    <t>Kristen Anderson</t>
  </si>
  <si>
    <t>hboyer@harrison.com</t>
  </si>
  <si>
    <t>PK-101922</t>
  </si>
  <si>
    <t>Jennifer Mcmahon</t>
  </si>
  <si>
    <t>joseph80@smith.org</t>
  </si>
  <si>
    <t>PK-101923</t>
  </si>
  <si>
    <t>Virginia Bullock</t>
  </si>
  <si>
    <t>kimrodriguez@hotmail.com</t>
  </si>
  <si>
    <t>PK-101924</t>
  </si>
  <si>
    <t>Annette Barnes</t>
  </si>
  <si>
    <t>eric42@yahoo.com</t>
  </si>
  <si>
    <t>PK-101925</t>
  </si>
  <si>
    <t>william78@hotmail.com</t>
  </si>
  <si>
    <t>PK-101926</t>
  </si>
  <si>
    <t>Theresa Nelson</t>
  </si>
  <si>
    <t>jeanharris@gmail.com</t>
  </si>
  <si>
    <t>PK-101927</t>
  </si>
  <si>
    <t>Danielle Castillo</t>
  </si>
  <si>
    <t>wwheeler@perez-mcintosh.com</t>
  </si>
  <si>
    <t>PK-101928</t>
  </si>
  <si>
    <t>Lindsey Miranda</t>
  </si>
  <si>
    <t>david39@palmer.com</t>
  </si>
  <si>
    <t>PK-101929</t>
  </si>
  <si>
    <t>Nancy Phillips</t>
  </si>
  <si>
    <t>hillbradley@yahoo.com</t>
  </si>
  <si>
    <t>PK-101930</t>
  </si>
  <si>
    <t>Matthew Ortiz</t>
  </si>
  <si>
    <t>jason44@yahoo.com</t>
  </si>
  <si>
    <t>PK-101931</t>
  </si>
  <si>
    <t>Elizabeth Maldonado</t>
  </si>
  <si>
    <t>hfreeman@yahoo.com</t>
  </si>
  <si>
    <t>PK-101932</t>
  </si>
  <si>
    <t>Mason Brown</t>
  </si>
  <si>
    <t>sandersjohn@martin.com</t>
  </si>
  <si>
    <t>PK-101933</t>
  </si>
  <si>
    <t>Samantha Rodriguez MD</t>
  </si>
  <si>
    <t>pconway@hotmail.com</t>
  </si>
  <si>
    <t>PK-101934</t>
  </si>
  <si>
    <t>Ronald Gordon</t>
  </si>
  <si>
    <t>veronicaparker@schmidt.net</t>
  </si>
  <si>
    <t>PK-101935</t>
  </si>
  <si>
    <t>Courtney Sparks</t>
  </si>
  <si>
    <t>rebecca02@singleton.info</t>
  </si>
  <si>
    <t>PK-101936</t>
  </si>
  <si>
    <t>Thomas Robertson</t>
  </si>
  <si>
    <t>tstewart@hotmail.com</t>
  </si>
  <si>
    <t>PK-101937</t>
  </si>
  <si>
    <t>Brittany Nichols</t>
  </si>
  <si>
    <t>qadams@franklin.info</t>
  </si>
  <si>
    <t>PK-101938</t>
  </si>
  <si>
    <t>Paula Joseph</t>
  </si>
  <si>
    <t>jacksonmatthew@yahoo.com</t>
  </si>
  <si>
    <t>PK-101939</t>
  </si>
  <si>
    <t>Alyssa Kelly</t>
  </si>
  <si>
    <t>mark95@gmail.com</t>
  </si>
  <si>
    <t>PK-101940</t>
  </si>
  <si>
    <t>Shannon Carlson</t>
  </si>
  <si>
    <t>charlestapia@sandoval.com</t>
  </si>
  <si>
    <t>PK-101941</t>
  </si>
  <si>
    <t>James Sanchez</t>
  </si>
  <si>
    <t>patrickshawna@gmail.com</t>
  </si>
  <si>
    <t>PK-101942</t>
  </si>
  <si>
    <t>Mariah Carr</t>
  </si>
  <si>
    <t>pchristensen@parsons.com</t>
  </si>
  <si>
    <t>PK-101943</t>
  </si>
  <si>
    <t>Anne Baker</t>
  </si>
  <si>
    <t>williamedwards@hotmail.com</t>
  </si>
  <si>
    <t>PK-101944</t>
  </si>
  <si>
    <t>Anna Anderson MD</t>
  </si>
  <si>
    <t>ubutler@gmail.com</t>
  </si>
  <si>
    <t>PK-101945</t>
  </si>
  <si>
    <t>Curtis Roberts</t>
  </si>
  <si>
    <t>gdaugherty@lewis.info</t>
  </si>
  <si>
    <t>PK-101946</t>
  </si>
  <si>
    <t>Christopher Turner</t>
  </si>
  <si>
    <t>kevinsmith@mueller.com</t>
  </si>
  <si>
    <t>PK-101947</t>
  </si>
  <si>
    <t>Patricia Gomez</t>
  </si>
  <si>
    <t>vgraham@rogers.com</t>
  </si>
  <si>
    <t>PK-101948</t>
  </si>
  <si>
    <t>Christine Palmer</t>
  </si>
  <si>
    <t>phelpssusan@yahoo.com</t>
  </si>
  <si>
    <t>PK-101949</t>
  </si>
  <si>
    <t>Brittany Williams</t>
  </si>
  <si>
    <t>brianmccullough@clayton-forbes.org</t>
  </si>
  <si>
    <t>PK-101950</t>
  </si>
  <si>
    <t>Julie Mcdonald</t>
  </si>
  <si>
    <t>taylorpierce@gmail.com</t>
  </si>
  <si>
    <t>PK-101951</t>
  </si>
  <si>
    <t>Karl Molina</t>
  </si>
  <si>
    <t>scottbishop@hotmail.com</t>
  </si>
  <si>
    <t>PK-101952</t>
  </si>
  <si>
    <t>Debbie Edwards</t>
  </si>
  <si>
    <t>pfarley@costa.com</t>
  </si>
  <si>
    <t>PK-101953</t>
  </si>
  <si>
    <t>Steven Davis</t>
  </si>
  <si>
    <t>steven03@yahoo.com</t>
  </si>
  <si>
    <t>PK-101954</t>
  </si>
  <si>
    <t>April Griffin</t>
  </si>
  <si>
    <t>ashley54@gmail.com</t>
  </si>
  <si>
    <t>PK-101955</t>
  </si>
  <si>
    <t>Laura Griffin</t>
  </si>
  <si>
    <t>ydorsey@gmail.com</t>
  </si>
  <si>
    <t>PK-101956</t>
  </si>
  <si>
    <t>Sarah Bennett</t>
  </si>
  <si>
    <t>amandacraig@cooper-johnson.info</t>
  </si>
  <si>
    <t>PK-101957</t>
  </si>
  <si>
    <t>Cynthia Mack</t>
  </si>
  <si>
    <t>simmonsangela@ochoa-valenzuela.com</t>
  </si>
  <si>
    <t>PK-101958</t>
  </si>
  <si>
    <t>Miguel Dominguez</t>
  </si>
  <si>
    <t>elizabeth34@lee-anderson.com</t>
  </si>
  <si>
    <t>PK-101959</t>
  </si>
  <si>
    <t>Katelyn Lewis</t>
  </si>
  <si>
    <t>edwardsholly@collins.com</t>
  </si>
  <si>
    <t>PK-101960</t>
  </si>
  <si>
    <t>Jeffrey Hamilton</t>
  </si>
  <si>
    <t>montgomerychristopher@gmail.com</t>
  </si>
  <si>
    <t>PK-101961</t>
  </si>
  <si>
    <t>Rebecca Gardner</t>
  </si>
  <si>
    <t>shannonshannon@hunter-mendoza.com</t>
  </si>
  <si>
    <t>PK-101962</t>
  </si>
  <si>
    <t>Matthew Gonzalez</t>
  </si>
  <si>
    <t>uzamora@edwards.info</t>
  </si>
  <si>
    <t>PK-101963</t>
  </si>
  <si>
    <t>Maria Hamilton</t>
  </si>
  <si>
    <t>gainesbrittany@gmail.com</t>
  </si>
  <si>
    <t>PK-101964</t>
  </si>
  <si>
    <t>Chad Hull</t>
  </si>
  <si>
    <t>smithjuan@gmail.com</t>
  </si>
  <si>
    <t>PK-101965</t>
  </si>
  <si>
    <t>Robert Patel</t>
  </si>
  <si>
    <t>xmyers@gomez-rodgers.com</t>
  </si>
  <si>
    <t>PK-101966</t>
  </si>
  <si>
    <t>Tyler Leon</t>
  </si>
  <si>
    <t>nicole56@hotmail.com</t>
  </si>
  <si>
    <t>PK-101967</t>
  </si>
  <si>
    <t>Alexander Parker</t>
  </si>
  <si>
    <t>karenbenjamin@conway.info</t>
  </si>
  <si>
    <t>PK-101968</t>
  </si>
  <si>
    <t>Victoria Cruz</t>
  </si>
  <si>
    <t>adamclark@peters-pitts.net</t>
  </si>
  <si>
    <t>PK-101969</t>
  </si>
  <si>
    <t>Charles Turner</t>
  </si>
  <si>
    <t>megan69@yahoo.com</t>
  </si>
  <si>
    <t>PK-101970</t>
  </si>
  <si>
    <t>Justin House</t>
  </si>
  <si>
    <t>paul15@yang.net</t>
  </si>
  <si>
    <t>PK-101971</t>
  </si>
  <si>
    <t>Ashley Brooks</t>
  </si>
  <si>
    <t>jacoblarson@stevenson.biz</t>
  </si>
  <si>
    <t>PK-101972</t>
  </si>
  <si>
    <t>Kristina Johnston</t>
  </si>
  <si>
    <t>zmalone@dixon-ibarra.com</t>
  </si>
  <si>
    <t>PK-101973</t>
  </si>
  <si>
    <t>Debra Morales</t>
  </si>
  <si>
    <t>erichorne@ortiz-walker.com</t>
  </si>
  <si>
    <t>PK-101974</t>
  </si>
  <si>
    <t>Christopher Bond MD</t>
  </si>
  <si>
    <t>lcruz@gibson-miller.org</t>
  </si>
  <si>
    <t>PK-101975</t>
  </si>
  <si>
    <t>Andrea Burns</t>
  </si>
  <si>
    <t>jessica53@hotmail.com</t>
  </si>
  <si>
    <t>PK-101976</t>
  </si>
  <si>
    <t>Courtney Lewis</t>
  </si>
  <si>
    <t>joshuahernandez@baxter.com</t>
  </si>
  <si>
    <t>PK-101977</t>
  </si>
  <si>
    <t>Antonio Rodriguez</t>
  </si>
  <si>
    <t>cookjimmy@hotmail.com</t>
  </si>
  <si>
    <t>PK-101978</t>
  </si>
  <si>
    <t>Jennifer Munoz</t>
  </si>
  <si>
    <t>tina19@yahoo.com</t>
  </si>
  <si>
    <t>PK-101979</t>
  </si>
  <si>
    <t>Brent Garcia</t>
  </si>
  <si>
    <t>dmoore@yahoo.com</t>
  </si>
  <si>
    <t>PK-101980</t>
  </si>
  <si>
    <t>Kelly Gonzalez</t>
  </si>
  <si>
    <t>middletonantonio@jones-richardson.com</t>
  </si>
  <si>
    <t>PK-101981</t>
  </si>
  <si>
    <t>Courtney George</t>
  </si>
  <si>
    <t>michaelcoleman@hotmail.com</t>
  </si>
  <si>
    <t>PK-101982</t>
  </si>
  <si>
    <t>Bryan Myers</t>
  </si>
  <si>
    <t>briannasharp@byrd.com</t>
  </si>
  <si>
    <t>PK-101983</t>
  </si>
  <si>
    <t>Dennis Hamilton</t>
  </si>
  <si>
    <t>michael56@gmail.com</t>
  </si>
  <si>
    <t>PK-101984</t>
  </si>
  <si>
    <t>Nathaniel Scott</t>
  </si>
  <si>
    <t>josemiller@hotmail.com</t>
  </si>
  <si>
    <t>PK-101985</t>
  </si>
  <si>
    <t>Amy Gray</t>
  </si>
  <si>
    <t>vmueller@flores-gordon.com</t>
  </si>
  <si>
    <t>PK-101986</t>
  </si>
  <si>
    <t>Sharon Cole</t>
  </si>
  <si>
    <t>leechelsea@crosby-taylor.com</t>
  </si>
  <si>
    <t>PK-101987</t>
  </si>
  <si>
    <t>Evan Griffin</t>
  </si>
  <si>
    <t>stephenaguirre@stein.com</t>
  </si>
  <si>
    <t>PK-101988</t>
  </si>
  <si>
    <t>Aaron Gonzales</t>
  </si>
  <si>
    <t>tiffany85@gmail.com</t>
  </si>
  <si>
    <t>PK-101989</t>
  </si>
  <si>
    <t>Lance Perkins</t>
  </si>
  <si>
    <t>pjohnson@johnson.com</t>
  </si>
  <si>
    <t>PK-101990</t>
  </si>
  <si>
    <t>Joseph Ashley</t>
  </si>
  <si>
    <t>aprilbishop@gmail.com</t>
  </si>
  <si>
    <t>PK-101991</t>
  </si>
  <si>
    <t>Tyler Scott</t>
  </si>
  <si>
    <t>greenkelsey@vaughn-spears.net</t>
  </si>
  <si>
    <t>PK-101992</t>
  </si>
  <si>
    <t>Karen Fitzpatrick</t>
  </si>
  <si>
    <t>pbrown@lowe-flores.biz</t>
  </si>
  <si>
    <t>PK-101993</t>
  </si>
  <si>
    <t>Jordan Hodges</t>
  </si>
  <si>
    <t>bonnie68@petty.biz</t>
  </si>
  <si>
    <t>PK-101994</t>
  </si>
  <si>
    <t>William Moyer</t>
  </si>
  <si>
    <t>chapmanadam@smith.com</t>
  </si>
  <si>
    <t>PK-101995</t>
  </si>
  <si>
    <t>Isaac Juarez</t>
  </si>
  <si>
    <t>jimenezashley@gmail.com</t>
  </si>
  <si>
    <t>PK-101996</t>
  </si>
  <si>
    <t>Maureen Anderson</t>
  </si>
  <si>
    <t>catherinehill@gmail.com</t>
  </si>
  <si>
    <t>PK-101997</t>
  </si>
  <si>
    <t>Elizabeth Keith</t>
  </si>
  <si>
    <t>amy15@yahoo.com</t>
  </si>
  <si>
    <t>PK-101998</t>
  </si>
  <si>
    <t>Jeremy Bell</t>
  </si>
  <si>
    <t>james96@wheeler.com</t>
  </si>
  <si>
    <t>PK-101999</t>
  </si>
  <si>
    <t>Thomas Evans</t>
  </si>
  <si>
    <t>brandonglover@yahoo.com</t>
  </si>
  <si>
    <t>PK-102000</t>
  </si>
  <si>
    <t>Mrs. Ann Jackson</t>
  </si>
  <si>
    <t>carsondalton@gmail.com</t>
  </si>
  <si>
    <t>order id</t>
  </si>
  <si>
    <t>order date</t>
  </si>
  <si>
    <t>customer name</t>
  </si>
  <si>
    <t>payment method</t>
  </si>
  <si>
    <t>acquistion source</t>
  </si>
  <si>
    <t>city</t>
  </si>
  <si>
    <t>total sale</t>
  </si>
  <si>
    <t>order status</t>
  </si>
  <si>
    <t>Row Labels</t>
  </si>
  <si>
    <t>Grand Total</t>
  </si>
  <si>
    <t>Sum of Total Sales (PKR)</t>
  </si>
  <si>
    <t>Sum of Quantity</t>
  </si>
  <si>
    <t>Quantities</t>
  </si>
  <si>
    <t>Total Sales(PKR)</t>
  </si>
  <si>
    <t>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</si>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</sst>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0000000000"/>
    <numFmt numFmtId="169" formatCode="&quot;Rs.&quot;\ 0.0,,&quot;M&quot;"/>
    <numFmt numFmtId="170" formatCode="&quot;Rs&quot;\ 00.0,&quot;K&quot;"/>
  </numFmts>
  <fonts count="21"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1"/>
      <color theme="2"/>
      <name val="Century Gothic"/>
      <family val="2"/>
      <scheme val="minor"/>
    </font>
    <font>
      <sz val="22"/>
      <color theme="1"/>
      <name val="Century Gothic"/>
      <family val="2"/>
      <scheme val="minor"/>
    </font>
    <font>
      <sz val="11"/>
      <color theme="1"/>
      <name val="Aptos Display"/>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4" fontId="0" fillId="0" borderId="0" xfId="0" applyNumberFormat="1"/>
    <xf numFmtId="0" fontId="18" fillId="33" borderId="0" xfId="0" applyFont="1" applyFill="1"/>
    <xf numFmtId="0" fontId="19" fillId="0" borderId="0" xfId="0" applyFont="1"/>
    <xf numFmtId="0" fontId="0" fillId="0" borderId="0" xfId="0" pivotButton="1"/>
    <xf numFmtId="0" fontId="0" fillId="0" borderId="0" xfId="0" applyAlignment="1">
      <alignment horizontal="left"/>
    </xf>
    <xf numFmtId="0" fontId="16" fillId="34" borderId="10" xfId="0" applyFont="1" applyFill="1" applyBorder="1"/>
    <xf numFmtId="10" fontId="0" fillId="0" borderId="0" xfId="0" applyNumberFormat="1"/>
    <xf numFmtId="0" fontId="16" fillId="34" borderId="11" xfId="0" applyFont="1" applyFill="1" applyBorder="1" applyAlignment="1">
      <alignment horizontal="left"/>
    </xf>
    <xf numFmtId="0" fontId="0" fillId="0" borderId="0" xfId="1" applyNumberFormat="1" applyFont="1"/>
    <xf numFmtId="0" fontId="16" fillId="0" borderId="10" xfId="0" applyFont="1" applyBorder="1"/>
    <xf numFmtId="10" fontId="16" fillId="0" borderId="11" xfId="0" applyNumberFormat="1" applyFont="1" applyBorder="1"/>
    <xf numFmtId="0" fontId="16" fillId="34" borderId="11" xfId="0" applyFont="1" applyFill="1" applyBorder="1"/>
    <xf numFmtId="164" fontId="18" fillId="33" borderId="0" xfId="0" applyNumberFormat="1" applyFont="1" applyFill="1"/>
    <xf numFmtId="164" fontId="0" fillId="0" borderId="0" xfId="0" applyNumberFormat="1"/>
    <xf numFmtId="44" fontId="0" fillId="0" borderId="0" xfId="43" applyFont="1"/>
    <xf numFmtId="169" fontId="20" fillId="0" borderId="0" xfId="43" applyNumberFormat="1" applyFont="1"/>
    <xf numFmtId="0" fontId="0" fillId="0" borderId="0" xfId="0" applyNumberFormat="1"/>
    <xf numFmtId="17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[dashboard.xlsx]Sheet1!Payment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Payments</a:t>
            </a:r>
          </a:p>
        </c:rich>
      </c:tx>
      <c:layout>
        <c:manualLayout>
          <c:xMode val="edge"/>
          <c:yMode val="edge"/>
          <c:x val="2.4886611976850173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s>
    <c:plotArea>
      <c:layout>
        <c:manualLayout>
          <c:layoutTarget val="inner"/>
          <c:xMode val="edge"/>
          <c:yMode val="edge"/>
          <c:x val="0.2547029947616381"/>
          <c:y val="0.12300306211723534"/>
          <c:w val="0.50105453607002048"/>
          <c:h val="0.66528907844852725"/>
        </c:manualLayout>
      </c:layout>
      <c:pieChart>
        <c:varyColors val="1"/>
        <c:ser>
          <c:idx val="0"/>
          <c:order val="0"/>
          <c:tx>
            <c:strRef>
              <c:f>Sheet1!$B$3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2-AD49-4249-A621-303FD3732C7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D49-4249-A621-303FD3732C75}"/>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4-AD49-4249-A621-303FD3732C75}"/>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DF0B-49A7-9830-D2E3A4B5CC19}"/>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DF0B-49A7-9830-D2E3A4B5CC19}"/>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B-DF0B-49A7-9830-D2E3A4B5CC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Bank Transfer</c:v>
                </c:pt>
                <c:pt idx="1">
                  <c:v>COD</c:v>
                </c:pt>
                <c:pt idx="2">
                  <c:v>Credit Card</c:v>
                </c:pt>
                <c:pt idx="3">
                  <c:v>Debit Card</c:v>
                </c:pt>
                <c:pt idx="4">
                  <c:v>EasyPaisa</c:v>
                </c:pt>
                <c:pt idx="5">
                  <c:v>JazzCash</c:v>
                </c:pt>
              </c:strCache>
            </c:strRef>
          </c:cat>
          <c:val>
            <c:numRef>
              <c:f>Sheet1!$B$4:$B$10</c:f>
              <c:numCache>
                <c:formatCode>0.00%</c:formatCode>
                <c:ptCount val="6"/>
                <c:pt idx="0">
                  <c:v>0.16638383899748793</c:v>
                </c:pt>
                <c:pt idx="1">
                  <c:v>0.17138630187638371</c:v>
                </c:pt>
                <c:pt idx="2">
                  <c:v>0.15616227881469827</c:v>
                </c:pt>
                <c:pt idx="3">
                  <c:v>0.17060239995665122</c:v>
                </c:pt>
                <c:pt idx="4">
                  <c:v>0.15489370141153994</c:v>
                </c:pt>
                <c:pt idx="5">
                  <c:v>0.18057147894323894</c:v>
                </c:pt>
              </c:numCache>
            </c:numRef>
          </c:val>
          <c:extLst>
            <c:ext xmlns:c16="http://schemas.microsoft.com/office/drawing/2014/chart" uri="{C3380CC4-5D6E-409C-BE32-E72D297353CC}">
              <c16:uniqueId val="{00000000-AD49-4249-A621-303FD3732C75}"/>
            </c:ext>
          </c:extLst>
        </c:ser>
        <c:dLbls>
          <c:dLblPos val="bestFit"/>
          <c:showLegendKey val="0"/>
          <c:showVal val="1"/>
          <c:showCatName val="0"/>
          <c:showSerName val="0"/>
          <c:showPercent val="0"/>
          <c:showBubbleSize val="0"/>
          <c:showLeaderLines val="1"/>
        </c:dLbls>
        <c:firstSliceAng val="33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[dashboard.xlsx]Sheet1!Adsales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Ads</a:t>
            </a:r>
            <a:endParaRPr lang="en-US"/>
          </a:p>
        </c:rich>
      </c:tx>
      <c:layout>
        <c:manualLayout>
          <c:xMode val="edge"/>
          <c:yMode val="edge"/>
          <c:x val="0.39648785477557091"/>
          <c:y val="6.9826917216223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Sheet1!$H$10:$H$18</c:f>
              <c:strCache>
                <c:ptCount val="8"/>
                <c:pt idx="0">
                  <c:v>Direct</c:v>
                </c:pt>
                <c:pt idx="1">
                  <c:v>Email Marketing</c:v>
                </c:pt>
                <c:pt idx="2">
                  <c:v>Facebook Ads</c:v>
                </c:pt>
                <c:pt idx="3">
                  <c:v>Google Ads</c:v>
                </c:pt>
                <c:pt idx="4">
                  <c:v>Instagram Ads</c:v>
                </c:pt>
                <c:pt idx="5">
                  <c:v>Organic Search</c:v>
                </c:pt>
                <c:pt idx="6">
                  <c:v>Referral</c:v>
                </c:pt>
                <c:pt idx="7">
                  <c:v>TikTok Ads</c:v>
                </c:pt>
              </c:strCache>
            </c:strRef>
          </c:cat>
          <c:val>
            <c:numRef>
              <c:f>Sheet1!$I$10:$I$18</c:f>
              <c:numCache>
                <c:formatCode>General</c:formatCode>
                <c:ptCount val="8"/>
                <c:pt idx="0">
                  <c:v>768</c:v>
                </c:pt>
                <c:pt idx="1">
                  <c:v>744</c:v>
                </c:pt>
                <c:pt idx="2">
                  <c:v>791</c:v>
                </c:pt>
                <c:pt idx="3">
                  <c:v>619</c:v>
                </c:pt>
                <c:pt idx="4">
                  <c:v>750</c:v>
                </c:pt>
                <c:pt idx="5">
                  <c:v>725</c:v>
                </c:pt>
                <c:pt idx="6">
                  <c:v>828</c:v>
                </c:pt>
                <c:pt idx="7">
                  <c:v>742</c:v>
                </c:pt>
              </c:numCache>
            </c:numRef>
          </c:val>
          <c:extLst>
            <c:ext xmlns:c16="http://schemas.microsoft.com/office/drawing/2014/chart" uri="{C3380CC4-5D6E-409C-BE32-E72D297353CC}">
              <c16:uniqueId val="{00000000-ADBD-4B07-9D60-61CE42A48694}"/>
            </c:ext>
          </c:extLst>
        </c:ser>
        <c:dLbls>
          <c:dLblPos val="outEnd"/>
          <c:showLegendKey val="0"/>
          <c:showVal val="1"/>
          <c:showCatName val="0"/>
          <c:showSerName val="0"/>
          <c:showPercent val="0"/>
          <c:showBubbleSize val="0"/>
        </c:dLbls>
        <c:gapWidth val="182"/>
        <c:axId val="1838888303"/>
        <c:axId val="1838889263"/>
      </c:barChart>
      <c:catAx>
        <c:axId val="183888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9263"/>
        <c:crosses val="autoZero"/>
        <c:auto val="1"/>
        <c:lblAlgn val="ctr"/>
        <c:lblOffset val="100"/>
        <c:noMultiLvlLbl val="0"/>
      </c:catAx>
      <c:valAx>
        <c:axId val="183888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8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Sheet1!$E$48:$E$54</c:f>
              <c:strCache>
                <c:ptCount val="6"/>
                <c:pt idx="0">
                  <c:v>Accessories</c:v>
                </c:pt>
                <c:pt idx="1">
                  <c:v>Beauty</c:v>
                </c:pt>
                <c:pt idx="2">
                  <c:v>Electronics</c:v>
                </c:pt>
                <c:pt idx="3">
                  <c:v>Fashion</c:v>
                </c:pt>
                <c:pt idx="4">
                  <c:v>Footwear</c:v>
                </c:pt>
                <c:pt idx="5">
                  <c:v>Home Decor</c:v>
                </c:pt>
              </c:strCache>
            </c:strRef>
          </c:cat>
          <c:val>
            <c:numRef>
              <c:f>Sheet1!$F$48:$F$54</c:f>
              <c:numCache>
                <c:formatCode>General</c:formatCode>
                <c:ptCount val="6"/>
                <c:pt idx="0">
                  <c:v>7951994</c:v>
                </c:pt>
                <c:pt idx="1">
                  <c:v>7156817</c:v>
                </c:pt>
                <c:pt idx="2">
                  <c:v>7392914</c:v>
                </c:pt>
                <c:pt idx="3">
                  <c:v>7208749</c:v>
                </c:pt>
                <c:pt idx="4">
                  <c:v>8122950</c:v>
                </c:pt>
                <c:pt idx="5">
                  <c:v>7861068</c:v>
                </c:pt>
              </c:numCache>
            </c:numRef>
          </c:val>
          <c:extLst>
            <c:ext xmlns:c16="http://schemas.microsoft.com/office/drawing/2014/chart" uri="{C3380CC4-5D6E-409C-BE32-E72D297353CC}">
              <c16:uniqueId val="{00000000-29B1-497A-A879-DB1691EDA9E9}"/>
            </c:ext>
          </c:extLst>
        </c:ser>
        <c:dLbls>
          <c:dLblPos val="outEnd"/>
          <c:showLegendKey val="0"/>
          <c:showVal val="1"/>
          <c:showCatName val="0"/>
          <c:showSerName val="0"/>
          <c:showPercent val="0"/>
          <c:showBubbleSize val="0"/>
        </c:dLbls>
        <c:gapWidth val="182"/>
        <c:axId val="1674482415"/>
        <c:axId val="1810119823"/>
      </c:barChart>
      <c:catAx>
        <c:axId val="167448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19823"/>
        <c:crosses val="autoZero"/>
        <c:auto val="1"/>
        <c:lblAlgn val="ctr"/>
        <c:lblOffset val="100"/>
        <c:noMultiLvlLbl val="0"/>
      </c:catAx>
      <c:valAx>
        <c:axId val="181011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[dashboard.xlsx]Sheet1!citysale</c:name>
    <c:fmtId val="4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Sheet1!$R$8</c:f>
              <c:strCache>
                <c:ptCount val="1"/>
                <c:pt idx="0">
                  <c:v>Quantities</c:v>
                </c:pt>
              </c:strCache>
            </c:strRef>
          </c:tx>
          <c:spPr>
            <a:solidFill>
              <a:schemeClr val="accent2"/>
            </a:solidFill>
            <a:ln>
              <a:noFill/>
            </a:ln>
            <a:effectLst/>
          </c:spPr>
          <c:invertIfNegative val="0"/>
          <c:cat>
            <c:strRef>
              <c:f>Sheet1!$P$9:$P$19</c:f>
              <c:strCache>
                <c:ptCount val="10"/>
                <c:pt idx="0">
                  <c:v>Hyderabad</c:v>
                </c:pt>
                <c:pt idx="1">
                  <c:v>Faisalabad</c:v>
                </c:pt>
                <c:pt idx="2">
                  <c:v>Islamabad</c:v>
                </c:pt>
                <c:pt idx="3">
                  <c:v>Karachi</c:v>
                </c:pt>
                <c:pt idx="4">
                  <c:v>Lahore</c:v>
                </c:pt>
                <c:pt idx="5">
                  <c:v>Multan</c:v>
                </c:pt>
                <c:pt idx="6">
                  <c:v>Peshawar</c:v>
                </c:pt>
                <c:pt idx="7">
                  <c:v>Quetta</c:v>
                </c:pt>
                <c:pt idx="8">
                  <c:v>Rawalpindi</c:v>
                </c:pt>
                <c:pt idx="9">
                  <c:v>Sialkot</c:v>
                </c:pt>
              </c:strCache>
            </c:strRef>
          </c:cat>
          <c:val>
            <c:numRef>
              <c:f>Sheet1!$R$9:$R$19</c:f>
              <c:numCache>
                <c:formatCode>General</c:formatCode>
                <c:ptCount val="10"/>
                <c:pt idx="0">
                  <c:v>618</c:v>
                </c:pt>
                <c:pt idx="1">
                  <c:v>563</c:v>
                </c:pt>
                <c:pt idx="2">
                  <c:v>659</c:v>
                </c:pt>
                <c:pt idx="3">
                  <c:v>590</c:v>
                </c:pt>
                <c:pt idx="4">
                  <c:v>623</c:v>
                </c:pt>
                <c:pt idx="5">
                  <c:v>584</c:v>
                </c:pt>
                <c:pt idx="6">
                  <c:v>638</c:v>
                </c:pt>
                <c:pt idx="7">
                  <c:v>549</c:v>
                </c:pt>
                <c:pt idx="8">
                  <c:v>544</c:v>
                </c:pt>
                <c:pt idx="9">
                  <c:v>599</c:v>
                </c:pt>
              </c:numCache>
            </c:numRef>
          </c:val>
          <c:extLst>
            <c:ext xmlns:c16="http://schemas.microsoft.com/office/drawing/2014/chart" uri="{C3380CC4-5D6E-409C-BE32-E72D297353CC}">
              <c16:uniqueId val="{00000001-1C7A-4D71-A069-244B10C359A2}"/>
            </c:ext>
          </c:extLst>
        </c:ser>
        <c:dLbls>
          <c:showLegendKey val="0"/>
          <c:showVal val="0"/>
          <c:showCatName val="0"/>
          <c:showSerName val="0"/>
          <c:showPercent val="0"/>
          <c:showBubbleSize val="0"/>
        </c:dLbls>
        <c:gapWidth val="219"/>
        <c:axId val="640206576"/>
        <c:axId val="640205136"/>
      </c:barChart>
      <c:lineChart>
        <c:grouping val="stacked"/>
        <c:varyColors val="0"/>
        <c:ser>
          <c:idx val="0"/>
          <c:order val="0"/>
          <c:tx>
            <c:strRef>
              <c:f>Sheet1!$Q$8</c:f>
              <c:strCache>
                <c:ptCount val="1"/>
                <c:pt idx="0">
                  <c:v>Total Sales(PKR)</c:v>
                </c:pt>
              </c:strCache>
            </c:strRef>
          </c:tx>
          <c:spPr>
            <a:ln w="28575" cap="rnd">
              <a:solidFill>
                <a:schemeClr val="accent1"/>
              </a:solidFill>
              <a:round/>
            </a:ln>
            <a:effectLst/>
          </c:spPr>
          <c:marker>
            <c:symbol val="none"/>
          </c:marker>
          <c:cat>
            <c:strRef>
              <c:f>Sheet1!$P$9:$P$19</c:f>
              <c:strCache>
                <c:ptCount val="10"/>
                <c:pt idx="0">
                  <c:v>Hyderabad</c:v>
                </c:pt>
                <c:pt idx="1">
                  <c:v>Faisalabad</c:v>
                </c:pt>
                <c:pt idx="2">
                  <c:v>Islamabad</c:v>
                </c:pt>
                <c:pt idx="3">
                  <c:v>Karachi</c:v>
                </c:pt>
                <c:pt idx="4">
                  <c:v>Lahore</c:v>
                </c:pt>
                <c:pt idx="5">
                  <c:v>Multan</c:v>
                </c:pt>
                <c:pt idx="6">
                  <c:v>Peshawar</c:v>
                </c:pt>
                <c:pt idx="7">
                  <c:v>Quetta</c:v>
                </c:pt>
                <c:pt idx="8">
                  <c:v>Rawalpindi</c:v>
                </c:pt>
                <c:pt idx="9">
                  <c:v>Sialkot</c:v>
                </c:pt>
              </c:strCache>
            </c:strRef>
          </c:cat>
          <c:val>
            <c:numRef>
              <c:f>Sheet1!$Q$9:$Q$19</c:f>
              <c:numCache>
                <c:formatCode>General</c:formatCode>
                <c:ptCount val="10"/>
                <c:pt idx="0">
                  <c:v>4646977</c:v>
                </c:pt>
                <c:pt idx="1">
                  <c:v>4233929</c:v>
                </c:pt>
                <c:pt idx="2">
                  <c:v>5061297</c:v>
                </c:pt>
                <c:pt idx="3">
                  <c:v>4300500</c:v>
                </c:pt>
                <c:pt idx="4">
                  <c:v>4896920</c:v>
                </c:pt>
                <c:pt idx="5">
                  <c:v>4337094</c:v>
                </c:pt>
                <c:pt idx="6">
                  <c:v>5081339</c:v>
                </c:pt>
                <c:pt idx="7">
                  <c:v>4384589</c:v>
                </c:pt>
                <c:pt idx="8">
                  <c:v>4244446</c:v>
                </c:pt>
                <c:pt idx="9">
                  <c:v>4507401</c:v>
                </c:pt>
              </c:numCache>
            </c:numRef>
          </c:val>
          <c:smooth val="0"/>
          <c:extLst>
            <c:ext xmlns:c16="http://schemas.microsoft.com/office/drawing/2014/chart" uri="{C3380CC4-5D6E-409C-BE32-E72D297353CC}">
              <c16:uniqueId val="{00000000-1C7A-4D71-A069-244B10C359A2}"/>
            </c:ext>
          </c:extLst>
        </c:ser>
        <c:dLbls>
          <c:showLegendKey val="0"/>
          <c:showVal val="0"/>
          <c:showCatName val="0"/>
          <c:showSerName val="0"/>
          <c:showPercent val="0"/>
          <c:showBubbleSize val="0"/>
        </c:dLbls>
        <c:marker val="1"/>
        <c:smooth val="0"/>
        <c:axId val="434465888"/>
        <c:axId val="640207056"/>
      </c:lineChart>
      <c:catAx>
        <c:axId val="4344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7056"/>
        <c:crosses val="autoZero"/>
        <c:auto val="1"/>
        <c:lblAlgn val="ctr"/>
        <c:lblOffset val="100"/>
        <c:noMultiLvlLbl val="0"/>
      </c:catAx>
      <c:valAx>
        <c:axId val="64020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65888"/>
        <c:crosses val="autoZero"/>
        <c:crossBetween val="between"/>
      </c:valAx>
      <c:valAx>
        <c:axId val="6402051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576"/>
        <c:crosses val="max"/>
        <c:crossBetween val="between"/>
      </c:valAx>
      <c:catAx>
        <c:axId val="640206576"/>
        <c:scaling>
          <c:orientation val="minMax"/>
        </c:scaling>
        <c:delete val="1"/>
        <c:axPos val="b"/>
        <c:numFmt formatCode="General" sourceLinked="1"/>
        <c:majorTickMark val="out"/>
        <c:minorTickMark val="none"/>
        <c:tickLblPos val="nextTo"/>
        <c:crossAx val="640205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[dashboard.xlsx]Sheet1!Payment</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0000"/>
            </a:schemeClr>
          </a:solidFill>
          <a:ln w="19050">
            <a:solidFill>
              <a:schemeClr val="lt1"/>
            </a:solidFill>
          </a:ln>
          <a:effectLst/>
        </c:spPr>
      </c:pivotFmt>
      <c:pivotFmt>
        <c:idx val="2"/>
        <c:spPr>
          <a:solidFill>
            <a:schemeClr val="accent1">
              <a:shade val="70000"/>
            </a:schemeClr>
          </a:solidFill>
          <a:ln w="19050">
            <a:solidFill>
              <a:schemeClr val="lt1"/>
            </a:solidFill>
          </a:ln>
          <a:effectLst/>
        </c:spPr>
      </c:pivotFmt>
      <c:pivotFmt>
        <c:idx val="3"/>
        <c:spPr>
          <a:solidFill>
            <a:schemeClr val="accent1">
              <a:shade val="9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A95F-4D39-8DB9-00234B1E4225}"/>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A95F-4D39-8DB9-00234B1E4225}"/>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A95F-4D39-8DB9-00234B1E4225}"/>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A95F-4D39-8DB9-00234B1E4225}"/>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A95F-4D39-8DB9-00234B1E4225}"/>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A95F-4D39-8DB9-00234B1E4225}"/>
              </c:ext>
            </c:extLst>
          </c:dPt>
          <c:dLbls>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Bank Transfer</c:v>
                </c:pt>
                <c:pt idx="1">
                  <c:v>COD</c:v>
                </c:pt>
                <c:pt idx="2">
                  <c:v>Credit Card</c:v>
                </c:pt>
                <c:pt idx="3">
                  <c:v>Debit Card</c:v>
                </c:pt>
                <c:pt idx="4">
                  <c:v>EasyPaisa</c:v>
                </c:pt>
                <c:pt idx="5">
                  <c:v>JazzCash</c:v>
                </c:pt>
              </c:strCache>
            </c:strRef>
          </c:cat>
          <c:val>
            <c:numRef>
              <c:f>Sheet1!$B$4:$B$10</c:f>
              <c:numCache>
                <c:formatCode>0.00%</c:formatCode>
                <c:ptCount val="6"/>
                <c:pt idx="0">
                  <c:v>0.16638383899748793</c:v>
                </c:pt>
                <c:pt idx="1">
                  <c:v>0.17138630187638371</c:v>
                </c:pt>
                <c:pt idx="2">
                  <c:v>0.15616227881469827</c:v>
                </c:pt>
                <c:pt idx="3">
                  <c:v>0.17060239995665122</c:v>
                </c:pt>
                <c:pt idx="4">
                  <c:v>0.15489370141153994</c:v>
                </c:pt>
                <c:pt idx="5">
                  <c:v>0.18057147894323894</c:v>
                </c:pt>
              </c:numCache>
            </c:numRef>
          </c:val>
          <c:extLst>
            <c:ext xmlns:c16="http://schemas.microsoft.com/office/drawing/2014/chart" uri="{C3380CC4-5D6E-409C-BE32-E72D297353CC}">
              <c16:uniqueId val="{00000000-7E3A-4C1C-BDF2-F7380B1CD04A}"/>
            </c:ext>
          </c:extLst>
        </c:ser>
        <c:dLbls>
          <c:showLegendKey val="0"/>
          <c:showVal val="1"/>
          <c:showCatName val="0"/>
          <c:showSerName val="0"/>
          <c:showPercent val="0"/>
          <c:showBubbleSize val="0"/>
          <c:showLeaderLines val="1"/>
        </c:dLbls>
        <c:firstSliceAng val="27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[dashboard.xlsx]Sheet1!PivotTable21</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Products</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Rs-420]#,##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7267622408311"/>
          <c:y val="0.16385372369474635"/>
          <c:w val="0.79993882324945575"/>
          <c:h val="0.74094469436448473"/>
        </c:manualLayout>
      </c:layout>
      <c:barChart>
        <c:barDir val="bar"/>
        <c:grouping val="clustered"/>
        <c:varyColors val="0"/>
        <c:ser>
          <c:idx val="0"/>
          <c:order val="0"/>
          <c:tx>
            <c:strRef>
              <c:f>Sheet1!$F$47</c:f>
              <c:strCache>
                <c:ptCount val="1"/>
                <c:pt idx="0">
                  <c:v>Total</c:v>
                </c:pt>
              </c:strCache>
            </c:strRef>
          </c:tx>
          <c:spPr>
            <a:solidFill>
              <a:schemeClr val="accent1"/>
            </a:solidFill>
            <a:ln>
              <a:noFill/>
            </a:ln>
            <a:effectLst/>
          </c:spPr>
          <c:invertIfNegative val="0"/>
          <c:dLbls>
            <c:numFmt formatCode="[$Rs-420]#,##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Sheet1!$E$48:$E$54</c:f>
              <c:strCache>
                <c:ptCount val="6"/>
                <c:pt idx="0">
                  <c:v>Accessories</c:v>
                </c:pt>
                <c:pt idx="1">
                  <c:v>Beauty</c:v>
                </c:pt>
                <c:pt idx="2">
                  <c:v>Electronics</c:v>
                </c:pt>
                <c:pt idx="3">
                  <c:v>Fashion</c:v>
                </c:pt>
                <c:pt idx="4">
                  <c:v>Footwear</c:v>
                </c:pt>
                <c:pt idx="5">
                  <c:v>Home Decor</c:v>
                </c:pt>
              </c:strCache>
            </c:strRef>
          </c:cat>
          <c:val>
            <c:numRef>
              <c:f>Sheet1!$F$48:$F$54</c:f>
              <c:numCache>
                <c:formatCode>General</c:formatCode>
                <c:ptCount val="6"/>
                <c:pt idx="0">
                  <c:v>7951994</c:v>
                </c:pt>
                <c:pt idx="1">
                  <c:v>7156817</c:v>
                </c:pt>
                <c:pt idx="2">
                  <c:v>7392914</c:v>
                </c:pt>
                <c:pt idx="3">
                  <c:v>7208749</c:v>
                </c:pt>
                <c:pt idx="4">
                  <c:v>8122950</c:v>
                </c:pt>
                <c:pt idx="5">
                  <c:v>7861068</c:v>
                </c:pt>
              </c:numCache>
            </c:numRef>
          </c:val>
          <c:extLst>
            <c:ext xmlns:c16="http://schemas.microsoft.com/office/drawing/2014/chart" uri="{C3380CC4-5D6E-409C-BE32-E72D297353CC}">
              <c16:uniqueId val="{00000000-2127-4056-AD62-70AE095A1B73}"/>
            </c:ext>
          </c:extLst>
        </c:ser>
        <c:dLbls>
          <c:dLblPos val="inEnd"/>
          <c:showLegendKey val="0"/>
          <c:showVal val="1"/>
          <c:showCatName val="0"/>
          <c:showSerName val="0"/>
          <c:showPercent val="0"/>
          <c:showBubbleSize val="0"/>
        </c:dLbls>
        <c:gapWidth val="182"/>
        <c:axId val="1674482415"/>
        <c:axId val="1810119823"/>
      </c:barChart>
      <c:catAx>
        <c:axId val="167448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19823"/>
        <c:crosses val="autoZero"/>
        <c:auto val="1"/>
        <c:lblAlgn val="ctr"/>
        <c:lblOffset val="100"/>
        <c:noMultiLvlLbl val="0"/>
      </c:catAx>
      <c:valAx>
        <c:axId val="181011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[dashboard.xlsx]Sheet1!Adsales</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Orders by </a:t>
            </a:r>
            <a:r>
              <a:rPr lang="en-US" sz="1400" b="1" i="0" u="none" strike="noStrike" baseline="0">
                <a:effectLst/>
              </a:rPr>
              <a:t>Acquisition Source </a:t>
            </a:r>
            <a:endParaRPr lang="en-US" b="1" i="0" baseline="0"/>
          </a:p>
        </c:rich>
      </c:tx>
      <c:layout>
        <c:manualLayout>
          <c:xMode val="edge"/>
          <c:yMode val="edge"/>
          <c:x val="0.32509871130190587"/>
          <c:y val="5.9561726796246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Sheet1!$H$10:$H$18</c:f>
              <c:strCache>
                <c:ptCount val="8"/>
                <c:pt idx="0">
                  <c:v>Direct</c:v>
                </c:pt>
                <c:pt idx="1">
                  <c:v>Email Marketing</c:v>
                </c:pt>
                <c:pt idx="2">
                  <c:v>Facebook Ads</c:v>
                </c:pt>
                <c:pt idx="3">
                  <c:v>Google Ads</c:v>
                </c:pt>
                <c:pt idx="4">
                  <c:v>Instagram Ads</c:v>
                </c:pt>
                <c:pt idx="5">
                  <c:v>Organic Search</c:v>
                </c:pt>
                <c:pt idx="6">
                  <c:v>Referral</c:v>
                </c:pt>
                <c:pt idx="7">
                  <c:v>TikTok Ads</c:v>
                </c:pt>
              </c:strCache>
            </c:strRef>
          </c:cat>
          <c:val>
            <c:numRef>
              <c:f>Sheet1!$I$10:$I$18</c:f>
              <c:numCache>
                <c:formatCode>General</c:formatCode>
                <c:ptCount val="8"/>
                <c:pt idx="0">
                  <c:v>768</c:v>
                </c:pt>
                <c:pt idx="1">
                  <c:v>744</c:v>
                </c:pt>
                <c:pt idx="2">
                  <c:v>791</c:v>
                </c:pt>
                <c:pt idx="3">
                  <c:v>619</c:v>
                </c:pt>
                <c:pt idx="4">
                  <c:v>750</c:v>
                </c:pt>
                <c:pt idx="5">
                  <c:v>725</c:v>
                </c:pt>
                <c:pt idx="6">
                  <c:v>828</c:v>
                </c:pt>
                <c:pt idx="7">
                  <c:v>742</c:v>
                </c:pt>
              </c:numCache>
            </c:numRef>
          </c:val>
          <c:extLst>
            <c:ext xmlns:c16="http://schemas.microsoft.com/office/drawing/2014/chart" uri="{C3380CC4-5D6E-409C-BE32-E72D297353CC}">
              <c16:uniqueId val="{00000000-C0A9-410D-AD23-C567AAF82708}"/>
            </c:ext>
          </c:extLst>
        </c:ser>
        <c:dLbls>
          <c:dLblPos val="outEnd"/>
          <c:showLegendKey val="0"/>
          <c:showVal val="1"/>
          <c:showCatName val="0"/>
          <c:showSerName val="0"/>
          <c:showPercent val="0"/>
          <c:showBubbleSize val="0"/>
        </c:dLbls>
        <c:gapWidth val="182"/>
        <c:axId val="1838888303"/>
        <c:axId val="1838889263"/>
      </c:barChart>
      <c:catAx>
        <c:axId val="183888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9263"/>
        <c:crosses val="autoZero"/>
        <c:auto val="1"/>
        <c:lblAlgn val="ctr"/>
        <c:lblOffset val="100"/>
        <c:noMultiLvlLbl val="0"/>
      </c:catAx>
      <c:valAx>
        <c:axId val="183888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[dashboard.xlsx]Sheet1!citysale</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sq">
            <a:solidFill>
              <a:schemeClr val="tx1">
                <a:alpha val="7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Sheet1!$R$8</c:f>
              <c:strCache>
                <c:ptCount val="1"/>
                <c:pt idx="0">
                  <c:v>Quantities</c:v>
                </c:pt>
              </c:strCache>
            </c:strRef>
          </c:tx>
          <c:spPr>
            <a:solidFill>
              <a:srgbClr val="C00000"/>
            </a:solidFill>
            <a:ln>
              <a:noFill/>
            </a:ln>
            <a:effectLst/>
          </c:spPr>
          <c:invertIfNegative val="0"/>
          <c:cat>
            <c:strRef>
              <c:f>Sheet1!$P$9:$P$19</c:f>
              <c:strCache>
                <c:ptCount val="10"/>
                <c:pt idx="0">
                  <c:v>Hyderabad</c:v>
                </c:pt>
                <c:pt idx="1">
                  <c:v>Faisalabad</c:v>
                </c:pt>
                <c:pt idx="2">
                  <c:v>Islamabad</c:v>
                </c:pt>
                <c:pt idx="3">
                  <c:v>Karachi</c:v>
                </c:pt>
                <c:pt idx="4">
                  <c:v>Lahore</c:v>
                </c:pt>
                <c:pt idx="5">
                  <c:v>Multan</c:v>
                </c:pt>
                <c:pt idx="6">
                  <c:v>Peshawar</c:v>
                </c:pt>
                <c:pt idx="7">
                  <c:v>Quetta</c:v>
                </c:pt>
                <c:pt idx="8">
                  <c:v>Rawalpindi</c:v>
                </c:pt>
                <c:pt idx="9">
                  <c:v>Sialkot</c:v>
                </c:pt>
              </c:strCache>
            </c:strRef>
          </c:cat>
          <c:val>
            <c:numRef>
              <c:f>Sheet1!$R$9:$R$19</c:f>
              <c:numCache>
                <c:formatCode>General</c:formatCode>
                <c:ptCount val="10"/>
                <c:pt idx="0">
                  <c:v>618</c:v>
                </c:pt>
                <c:pt idx="1">
                  <c:v>563</c:v>
                </c:pt>
                <c:pt idx="2">
                  <c:v>659</c:v>
                </c:pt>
                <c:pt idx="3">
                  <c:v>590</c:v>
                </c:pt>
                <c:pt idx="4">
                  <c:v>623</c:v>
                </c:pt>
                <c:pt idx="5">
                  <c:v>584</c:v>
                </c:pt>
                <c:pt idx="6">
                  <c:v>638</c:v>
                </c:pt>
                <c:pt idx="7">
                  <c:v>549</c:v>
                </c:pt>
                <c:pt idx="8">
                  <c:v>544</c:v>
                </c:pt>
                <c:pt idx="9">
                  <c:v>599</c:v>
                </c:pt>
              </c:numCache>
            </c:numRef>
          </c:val>
          <c:extLst>
            <c:ext xmlns:c16="http://schemas.microsoft.com/office/drawing/2014/chart" uri="{C3380CC4-5D6E-409C-BE32-E72D297353CC}">
              <c16:uniqueId val="{00000000-529F-46FF-88D4-3EBE7AA03478}"/>
            </c:ext>
          </c:extLst>
        </c:ser>
        <c:dLbls>
          <c:showLegendKey val="0"/>
          <c:showVal val="0"/>
          <c:showCatName val="0"/>
          <c:showSerName val="0"/>
          <c:showPercent val="0"/>
          <c:showBubbleSize val="0"/>
        </c:dLbls>
        <c:gapWidth val="219"/>
        <c:axId val="640206576"/>
        <c:axId val="640205136"/>
      </c:barChart>
      <c:lineChart>
        <c:grouping val="stacked"/>
        <c:varyColors val="0"/>
        <c:ser>
          <c:idx val="0"/>
          <c:order val="0"/>
          <c:tx>
            <c:strRef>
              <c:f>Sheet1!$Q$8</c:f>
              <c:strCache>
                <c:ptCount val="1"/>
                <c:pt idx="0">
                  <c:v>Total Sales(PKR)</c:v>
                </c:pt>
              </c:strCache>
            </c:strRef>
          </c:tx>
          <c:spPr>
            <a:ln w="28575" cap="sq">
              <a:solidFill>
                <a:schemeClr val="tx1">
                  <a:alpha val="70000"/>
                </a:schemeClr>
              </a:solidFill>
              <a:round/>
            </a:ln>
            <a:effectLst/>
          </c:spPr>
          <c:marker>
            <c:symbol val="none"/>
          </c:marker>
          <c:cat>
            <c:strRef>
              <c:f>Sheet1!$P$9:$P$19</c:f>
              <c:strCache>
                <c:ptCount val="10"/>
                <c:pt idx="0">
                  <c:v>Hyderabad</c:v>
                </c:pt>
                <c:pt idx="1">
                  <c:v>Faisalabad</c:v>
                </c:pt>
                <c:pt idx="2">
                  <c:v>Islamabad</c:v>
                </c:pt>
                <c:pt idx="3">
                  <c:v>Karachi</c:v>
                </c:pt>
                <c:pt idx="4">
                  <c:v>Lahore</c:v>
                </c:pt>
                <c:pt idx="5">
                  <c:v>Multan</c:v>
                </c:pt>
                <c:pt idx="6">
                  <c:v>Peshawar</c:v>
                </c:pt>
                <c:pt idx="7">
                  <c:v>Quetta</c:v>
                </c:pt>
                <c:pt idx="8">
                  <c:v>Rawalpindi</c:v>
                </c:pt>
                <c:pt idx="9">
                  <c:v>Sialkot</c:v>
                </c:pt>
              </c:strCache>
            </c:strRef>
          </c:cat>
          <c:val>
            <c:numRef>
              <c:f>Sheet1!$Q$9:$Q$19</c:f>
              <c:numCache>
                <c:formatCode>General</c:formatCode>
                <c:ptCount val="10"/>
                <c:pt idx="0">
                  <c:v>4646977</c:v>
                </c:pt>
                <c:pt idx="1">
                  <c:v>4233929</c:v>
                </c:pt>
                <c:pt idx="2">
                  <c:v>5061297</c:v>
                </c:pt>
                <c:pt idx="3">
                  <c:v>4300500</c:v>
                </c:pt>
                <c:pt idx="4">
                  <c:v>4896920</c:v>
                </c:pt>
                <c:pt idx="5">
                  <c:v>4337094</c:v>
                </c:pt>
                <c:pt idx="6">
                  <c:v>5081339</c:v>
                </c:pt>
                <c:pt idx="7">
                  <c:v>4384589</c:v>
                </c:pt>
                <c:pt idx="8">
                  <c:v>4244446</c:v>
                </c:pt>
                <c:pt idx="9">
                  <c:v>4507401</c:v>
                </c:pt>
              </c:numCache>
            </c:numRef>
          </c:val>
          <c:smooth val="0"/>
          <c:extLst>
            <c:ext xmlns:c16="http://schemas.microsoft.com/office/drawing/2014/chart" uri="{C3380CC4-5D6E-409C-BE32-E72D297353CC}">
              <c16:uniqueId val="{00000001-529F-46FF-88D4-3EBE7AA03478}"/>
            </c:ext>
          </c:extLst>
        </c:ser>
        <c:dLbls>
          <c:showLegendKey val="0"/>
          <c:showVal val="0"/>
          <c:showCatName val="0"/>
          <c:showSerName val="0"/>
          <c:showPercent val="0"/>
          <c:showBubbleSize val="0"/>
        </c:dLbls>
        <c:marker val="1"/>
        <c:smooth val="0"/>
        <c:axId val="434465888"/>
        <c:axId val="640207056"/>
      </c:lineChart>
      <c:catAx>
        <c:axId val="4344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7056"/>
        <c:crosses val="autoZero"/>
        <c:auto val="1"/>
        <c:lblAlgn val="ctr"/>
        <c:lblOffset val="100"/>
        <c:noMultiLvlLbl val="0"/>
      </c:catAx>
      <c:valAx>
        <c:axId val="64020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65888"/>
        <c:crosses val="autoZero"/>
        <c:crossBetween val="between"/>
      </c:valAx>
      <c:valAx>
        <c:axId val="6402051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576"/>
        <c:crosses val="max"/>
        <c:crossBetween val="between"/>
      </c:valAx>
      <c:catAx>
        <c:axId val="640206576"/>
        <c:scaling>
          <c:orientation val="minMax"/>
        </c:scaling>
        <c:delete val="1"/>
        <c:axPos val="b"/>
        <c:numFmt formatCode="General" sourceLinked="1"/>
        <c:majorTickMark val="out"/>
        <c:minorTickMark val="none"/>
        <c:tickLblPos val="nextTo"/>
        <c:crossAx val="6402051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[dashboard.xlsx]Sheet1!Payment</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p>
        </c:rich>
      </c:tx>
      <c:layout>
        <c:manualLayout>
          <c:xMode val="edge"/>
          <c:yMode val="edge"/>
          <c:x val="3.8709281757657643E-2"/>
          <c:y val="2.4680599998989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50000"/>
            </a:schemeClr>
          </a:solidFill>
          <a:ln w="19050">
            <a:solidFill>
              <a:schemeClr val="lt1"/>
            </a:solidFill>
          </a:ln>
          <a:effectLst/>
        </c:spPr>
      </c:pivotFmt>
      <c:pivotFmt>
        <c:idx val="10"/>
        <c:spPr>
          <a:solidFill>
            <a:schemeClr val="accent1">
              <a:shade val="70000"/>
            </a:schemeClr>
          </a:solidFill>
          <a:ln w="19050">
            <a:solidFill>
              <a:schemeClr val="lt1"/>
            </a:solidFill>
          </a:ln>
          <a:effectLst/>
        </c:spPr>
      </c:pivotFmt>
      <c:pivotFmt>
        <c:idx val="11"/>
        <c:spPr>
          <a:solidFill>
            <a:schemeClr val="accent1">
              <a:shade val="90000"/>
            </a:schemeClr>
          </a:solidFill>
          <a:ln w="19050">
            <a:solidFill>
              <a:schemeClr val="lt1"/>
            </a:solidFill>
          </a:ln>
          <a:effectLst/>
        </c:spPr>
      </c:pivotFmt>
      <c:pivotFmt>
        <c:idx val="12"/>
        <c:spPr>
          <a:solidFill>
            <a:schemeClr val="accent1">
              <a:tint val="90000"/>
            </a:schemeClr>
          </a:solidFill>
          <a:ln w="19050">
            <a:solidFill>
              <a:schemeClr val="lt1"/>
            </a:solidFill>
          </a:ln>
          <a:effectLst/>
        </c:spPr>
      </c:pivotFmt>
      <c:pivotFmt>
        <c:idx val="13"/>
        <c:spPr>
          <a:solidFill>
            <a:schemeClr val="accent1">
              <a:tint val="70000"/>
            </a:schemeClr>
          </a:solidFill>
          <a:ln w="19050">
            <a:solidFill>
              <a:schemeClr val="lt1"/>
            </a:solidFill>
          </a:ln>
          <a:effectLst/>
        </c:spPr>
      </c:pivotFmt>
      <c:pivotFmt>
        <c:idx val="14"/>
        <c:spPr>
          <a:solidFill>
            <a:schemeClr val="accent1">
              <a:tint val="50000"/>
            </a:schemeClr>
          </a:solidFill>
          <a:ln w="19050">
            <a:solidFill>
              <a:schemeClr val="lt1"/>
            </a:solidFill>
          </a:ln>
          <a:effectLst/>
        </c:spPr>
      </c:pivotFmt>
    </c:pivotFmts>
    <c:plotArea>
      <c:layout>
        <c:manualLayout>
          <c:layoutTarget val="inner"/>
          <c:xMode val="edge"/>
          <c:yMode val="edge"/>
          <c:x val="0.24935005508841188"/>
          <c:y val="0.16749381526347024"/>
          <c:w val="0.47332830479509114"/>
          <c:h val="0.76194298120659765"/>
        </c:manualLayout>
      </c:layout>
      <c:doughnutChart>
        <c:varyColors val="1"/>
        <c:ser>
          <c:idx val="0"/>
          <c:order val="0"/>
          <c:tx>
            <c:strRef>
              <c:f>Sheet1!$B$3</c:f>
              <c:strCache>
                <c:ptCount val="1"/>
                <c:pt idx="0">
                  <c:v>Total</c:v>
                </c:pt>
              </c:strCache>
            </c:strRef>
          </c:tx>
          <c:explosion val="1"/>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004F-46A6-BE09-963D850F738B}"/>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004F-46A6-BE09-963D850F738B}"/>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004F-46A6-BE09-963D850F738B}"/>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004F-46A6-BE09-963D850F738B}"/>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004F-46A6-BE09-963D850F738B}"/>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004F-46A6-BE09-963D850F73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Bank Transfer</c:v>
                </c:pt>
                <c:pt idx="1">
                  <c:v>COD</c:v>
                </c:pt>
                <c:pt idx="2">
                  <c:v>Credit Card</c:v>
                </c:pt>
                <c:pt idx="3">
                  <c:v>Debit Card</c:v>
                </c:pt>
                <c:pt idx="4">
                  <c:v>EasyPaisa</c:v>
                </c:pt>
                <c:pt idx="5">
                  <c:v>JazzCash</c:v>
                </c:pt>
              </c:strCache>
            </c:strRef>
          </c:cat>
          <c:val>
            <c:numRef>
              <c:f>Sheet1!$B$4:$B$10</c:f>
              <c:numCache>
                <c:formatCode>0.00%</c:formatCode>
                <c:ptCount val="6"/>
                <c:pt idx="0">
                  <c:v>0.16638383899748793</c:v>
                </c:pt>
                <c:pt idx="1">
                  <c:v>0.17138630187638371</c:v>
                </c:pt>
                <c:pt idx="2">
                  <c:v>0.15616227881469827</c:v>
                </c:pt>
                <c:pt idx="3">
                  <c:v>0.17060239995665122</c:v>
                </c:pt>
                <c:pt idx="4">
                  <c:v>0.15489370141153994</c:v>
                </c:pt>
                <c:pt idx="5">
                  <c:v>0.18057147894323894</c:v>
                </c:pt>
              </c:numCache>
            </c:numRef>
          </c:val>
          <c:extLst>
            <c:ext xmlns:c16="http://schemas.microsoft.com/office/drawing/2014/chart" uri="{C3380CC4-5D6E-409C-BE32-E72D297353CC}">
              <c16:uniqueId val="{0000000C-004F-46A6-BE09-963D850F738B}"/>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 status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Order status</a:t>
          </a:r>
        </a:p>
      </cx:txPr>
    </cx:title>
    <cx:plotArea>
      <cx:plotAreaRegion>
        <cx:series layoutId="treemap" uniqueId="{BA2451E3-1F4D-4A91-BA96-600AF54C90F5}">
          <cx:dataLabels pos="ctr">
            <cx:txPr>
              <a:bodyPr spcFirstLastPara="1" vertOverflow="ellipsis" horzOverflow="overflow" wrap="square" lIns="0" tIns="0" rIns="0" bIns="0" anchor="ctr" anchorCtr="1"/>
              <a:lstStyle/>
              <a:p>
                <a:pPr algn="ctr" rtl="0">
                  <a:defRPr sz="1600" b="1"/>
                </a:pPr>
                <a:endParaRPr lang="en-US" sz="1600" b="1" i="0" u="none" strike="noStrike" baseline="0">
                  <a:solidFill>
                    <a:sysClr val="window" lastClr="FFFFFF"/>
                  </a:solidFill>
                  <a:latin typeface="Aptos Narrow" panose="02110004020202020204"/>
                </a:endParaRPr>
              </a:p>
            </cx:txPr>
            <cx:visibility seriesName="0" categoryName="0" value="1"/>
            <cx:separator>, </cx:separator>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Order status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Order status</a:t>
          </a:r>
        </a:p>
      </cx:txPr>
    </cx:title>
    <cx:plotArea>
      <cx:plotAreaRegion>
        <cx:series layoutId="treemap" uniqueId="{BA2451E3-1F4D-4A91-BA96-600AF54C90F5}">
          <cx:dataLabels pos="ctr">
            <cx:txPr>
              <a:bodyPr spcFirstLastPara="1" vertOverflow="ellipsis" horzOverflow="overflow" wrap="square" lIns="0" tIns="0" rIns="0" bIns="0" anchor="ctr" anchorCtr="1"/>
              <a:lstStyle/>
              <a:p>
                <a:pPr algn="ctr" rtl="0">
                  <a:defRPr sz="1600" b="1"/>
                </a:pPr>
                <a:endParaRPr lang="en-US" sz="1600" b="1" i="0" u="none" strike="noStrike" baseline="0">
                  <a:solidFill>
                    <a:sysClr val="window" lastClr="FFFFFF"/>
                  </a:solidFill>
                  <a:latin typeface="Aptos Narrow" panose="02110004020202020204"/>
                </a:endParaRPr>
              </a:p>
            </cx:txPr>
            <cx:visibility seriesName="0" categoryName="0" value="1"/>
            <cx:separator>, </cx:separator>
          </cx:dataLabels>
          <cx:dataId val="0"/>
          <cx:layoutPr>
            <cx:parentLabelLayout val="overlapping"/>
          </cx:layoutPr>
        </cx:series>
      </cx:plotAreaRegion>
    </cx:plotArea>
    <cx:legend pos="b" align="ctr" overlay="0"/>
  </cx:chart>
  <cx:spPr>
    <a:solidFill>
      <a:schemeClr val="bg1"/>
    </a:solidFill>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ustomXml" Target="../ink/ink7.xml"/><Relationship Id="rId18" Type="http://schemas.openxmlformats.org/officeDocument/2006/relationships/image" Target="../media/image10.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7.png"/><Relationship Id="rId17" Type="http://schemas.openxmlformats.org/officeDocument/2006/relationships/customXml" Target="../ink/ink9.xml"/><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customXml" Target="../ink/ink1.xml"/><Relationship Id="rId6" Type="http://schemas.openxmlformats.org/officeDocument/2006/relationships/image" Target="../media/image4.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customXml" Target="../ink/ink5.xml"/><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114000</xdr:colOff>
      <xdr:row>2</xdr:row>
      <xdr:rowOff>205560</xdr:rowOff>
    </xdr:from>
    <xdr:to>
      <xdr:col>1</xdr:col>
      <xdr:colOff>969360</xdr:colOff>
      <xdr:row>2</xdr:row>
      <xdr:rowOff>235080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A47B319-F173-7C21-E01E-3D22E817EAEE}"/>
                </a:ext>
              </a:extLst>
            </xdr14:cNvPr>
            <xdr14:cNvContentPartPr/>
          </xdr14:nvContentPartPr>
          <xdr14:nvPr macro=""/>
          <xdr14:xfrm>
            <a:off x="723600" y="937080"/>
            <a:ext cx="855360" cy="29520"/>
          </xdr14:xfrm>
        </xdr:contentPart>
      </mc:Choice>
      <mc:Fallback xmlns="">
        <xdr:pic>
          <xdr:nvPicPr>
            <xdr:cNvPr id="2" name="Ink 1">
              <a:extLst>
                <a:ext uri="{FF2B5EF4-FFF2-40B4-BE49-F238E27FC236}">
                  <a16:creationId xmlns:a16="http://schemas.microsoft.com/office/drawing/2014/main" id="{9A47B319-F173-7C21-E01E-3D22E817EAEE}"/>
                </a:ext>
              </a:extLst>
            </xdr:cNvPr>
            <xdr:cNvPicPr/>
          </xdr:nvPicPr>
          <xdr:blipFill>
            <a:blip xmlns:r="http://schemas.openxmlformats.org/officeDocument/2006/relationships" r:embed="rId2"/>
            <a:stretch>
              <a:fillRect/>
            </a:stretch>
          </xdr:blipFill>
          <xdr:spPr>
            <a:xfrm>
              <a:off x="651600" y="793080"/>
              <a:ext cx="999000" cy="317160"/>
            </a:xfrm>
            <a:prstGeom prst="rect">
              <a:avLst/>
            </a:prstGeom>
          </xdr:spPr>
        </xdr:pic>
      </mc:Fallback>
    </mc:AlternateContent>
    <xdr:clientData/>
  </xdr:twoCellAnchor>
  <xdr:twoCellAnchor editAs="oneCell">
    <xdr:from>
      <xdr:col>1</xdr:col>
      <xdr:colOff>60720</xdr:colOff>
      <xdr:row>5</xdr:row>
      <xdr:rowOff>97560</xdr:rowOff>
    </xdr:from>
    <xdr:to>
      <xdr:col>1</xdr:col>
      <xdr:colOff>1951800</xdr:colOff>
      <xdr:row>5</xdr:row>
      <xdr:rowOff>241200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4114AB62-658C-9609-BD40-9C5188B01EA4}"/>
                </a:ext>
              </a:extLst>
            </xdr14:cNvPr>
            <xdr14:cNvContentPartPr/>
          </xdr14:nvContentPartPr>
          <xdr14:nvPr macro=""/>
          <xdr14:xfrm>
            <a:off x="670320" y="1926360"/>
            <a:ext cx="1891080" cy="143640"/>
          </xdr14:xfrm>
        </xdr:contentPart>
      </mc:Choice>
      <mc:Fallback xmlns="">
        <xdr:pic>
          <xdr:nvPicPr>
            <xdr:cNvPr id="3" name="Ink 2">
              <a:extLst>
                <a:ext uri="{FF2B5EF4-FFF2-40B4-BE49-F238E27FC236}">
                  <a16:creationId xmlns:a16="http://schemas.microsoft.com/office/drawing/2014/main" id="{4114AB62-658C-9609-BD40-9C5188B01EA4}"/>
                </a:ext>
              </a:extLst>
            </xdr:cNvPr>
            <xdr:cNvPicPr/>
          </xdr:nvPicPr>
          <xdr:blipFill>
            <a:blip xmlns:r="http://schemas.openxmlformats.org/officeDocument/2006/relationships" r:embed="rId4"/>
            <a:stretch>
              <a:fillRect/>
            </a:stretch>
          </xdr:blipFill>
          <xdr:spPr>
            <a:xfrm>
              <a:off x="598320" y="1782360"/>
              <a:ext cx="2034720" cy="431280"/>
            </a:xfrm>
            <a:prstGeom prst="rect">
              <a:avLst/>
            </a:prstGeom>
          </xdr:spPr>
        </xdr:pic>
      </mc:Fallback>
    </mc:AlternateContent>
    <xdr:clientData/>
  </xdr:twoCellAnchor>
  <xdr:twoCellAnchor editAs="oneCell">
    <xdr:from>
      <xdr:col>0</xdr:col>
      <xdr:colOff>563040</xdr:colOff>
      <xdr:row>8</xdr:row>
      <xdr:rowOff>189720</xdr:rowOff>
    </xdr:from>
    <xdr:to>
      <xdr:col>1</xdr:col>
      <xdr:colOff>1188840</xdr:colOff>
      <xdr:row>8</xdr:row>
      <xdr:rowOff>259920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5901AEA1-AE74-CAC2-F39A-12D1E1B31005}"/>
                </a:ext>
              </a:extLst>
            </xdr14:cNvPr>
            <xdr14:cNvContentPartPr/>
          </xdr14:nvContentPartPr>
          <xdr14:nvPr macro=""/>
          <xdr14:xfrm>
            <a:off x="563040" y="3115800"/>
            <a:ext cx="1296360" cy="70200"/>
          </xdr14:xfrm>
        </xdr:contentPart>
      </mc:Choice>
      <mc:Fallback xmlns="">
        <xdr:pic>
          <xdr:nvPicPr>
            <xdr:cNvPr id="6" name="Ink 5">
              <a:extLst>
                <a:ext uri="{FF2B5EF4-FFF2-40B4-BE49-F238E27FC236}">
                  <a16:creationId xmlns:a16="http://schemas.microsoft.com/office/drawing/2014/main" id="{5901AEA1-AE74-CAC2-F39A-12D1E1B31005}"/>
                </a:ext>
              </a:extLst>
            </xdr:cNvPr>
            <xdr:cNvPicPr/>
          </xdr:nvPicPr>
          <xdr:blipFill>
            <a:blip xmlns:r="http://schemas.openxmlformats.org/officeDocument/2006/relationships" r:embed="rId6"/>
            <a:stretch>
              <a:fillRect/>
            </a:stretch>
          </xdr:blipFill>
          <xdr:spPr>
            <a:xfrm>
              <a:off x="491400" y="2971800"/>
              <a:ext cx="1440000" cy="357840"/>
            </a:xfrm>
            <a:prstGeom prst="rect">
              <a:avLst/>
            </a:prstGeom>
          </xdr:spPr>
        </xdr:pic>
      </mc:Fallback>
    </mc:AlternateContent>
    <xdr:clientData/>
  </xdr:twoCellAnchor>
  <xdr:twoCellAnchor editAs="oneCell">
    <xdr:from>
      <xdr:col>1</xdr:col>
      <xdr:colOff>57480</xdr:colOff>
      <xdr:row>6</xdr:row>
      <xdr:rowOff>182880</xdr:rowOff>
    </xdr:from>
    <xdr:to>
      <xdr:col>1</xdr:col>
      <xdr:colOff>2085360</xdr:colOff>
      <xdr:row>6</xdr:row>
      <xdr:rowOff>297720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a16="http://schemas.microsoft.com/office/drawing/2014/main" id="{4ED75A2F-CDC9-CC68-F725-C3F8399B7D69}"/>
                </a:ext>
              </a:extLst>
            </xdr14:cNvPr>
            <xdr14:cNvContentPartPr/>
          </xdr14:nvContentPartPr>
          <xdr14:nvPr macro=""/>
          <xdr14:xfrm>
            <a:off x="667080" y="2377440"/>
            <a:ext cx="2027880" cy="114840"/>
          </xdr14:xfrm>
        </xdr:contentPart>
      </mc:Choice>
      <mc:Fallback xmlns="">
        <xdr:pic>
          <xdr:nvPicPr>
            <xdr:cNvPr id="7" name="Ink 6">
              <a:extLst>
                <a:ext uri="{FF2B5EF4-FFF2-40B4-BE49-F238E27FC236}">
                  <a16:creationId xmlns:a16="http://schemas.microsoft.com/office/drawing/2014/main" id="{4ED75A2F-CDC9-CC68-F725-C3F8399B7D69}"/>
                </a:ext>
              </a:extLst>
            </xdr:cNvPr>
            <xdr:cNvPicPr/>
          </xdr:nvPicPr>
          <xdr:blipFill>
            <a:blip xmlns:r="http://schemas.openxmlformats.org/officeDocument/2006/relationships" r:embed="rId8"/>
            <a:stretch>
              <a:fillRect/>
            </a:stretch>
          </xdr:blipFill>
          <xdr:spPr>
            <a:xfrm>
              <a:off x="595440" y="2233800"/>
              <a:ext cx="2171520" cy="402480"/>
            </a:xfrm>
            <a:prstGeom prst="rect">
              <a:avLst/>
            </a:prstGeom>
          </xdr:spPr>
        </xdr:pic>
      </mc:Fallback>
    </mc:AlternateContent>
    <xdr:clientData/>
  </xdr:twoCellAnchor>
  <xdr:twoCellAnchor editAs="oneCell">
    <xdr:from>
      <xdr:col>1</xdr:col>
      <xdr:colOff>18240</xdr:colOff>
      <xdr:row>7</xdr:row>
      <xdr:rowOff>160560</xdr:rowOff>
    </xdr:from>
    <xdr:to>
      <xdr:col>1</xdr:col>
      <xdr:colOff>587040</xdr:colOff>
      <xdr:row>7</xdr:row>
      <xdr:rowOff>191520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Ink 7">
              <a:extLst>
                <a:ext uri="{FF2B5EF4-FFF2-40B4-BE49-F238E27FC236}">
                  <a16:creationId xmlns:a16="http://schemas.microsoft.com/office/drawing/2014/main" id="{C4A1C707-38B6-B18F-509B-9C6C44AFADBC}"/>
                </a:ext>
              </a:extLst>
            </xdr14:cNvPr>
            <xdr14:cNvContentPartPr/>
          </xdr14:nvContentPartPr>
          <xdr14:nvPr macro=""/>
          <xdr14:xfrm>
            <a:off x="627840" y="2720880"/>
            <a:ext cx="568800" cy="30960"/>
          </xdr14:xfrm>
        </xdr:contentPart>
      </mc:Choice>
      <mc:Fallback xmlns="">
        <xdr:pic>
          <xdr:nvPicPr>
            <xdr:cNvPr id="8" name="Ink 7">
              <a:extLst>
                <a:ext uri="{FF2B5EF4-FFF2-40B4-BE49-F238E27FC236}">
                  <a16:creationId xmlns:a16="http://schemas.microsoft.com/office/drawing/2014/main" id="{C4A1C707-38B6-B18F-509B-9C6C44AFADBC}"/>
                </a:ext>
              </a:extLst>
            </xdr:cNvPr>
            <xdr:cNvPicPr/>
          </xdr:nvPicPr>
          <xdr:blipFill>
            <a:blip xmlns:r="http://schemas.openxmlformats.org/officeDocument/2006/relationships" r:embed="rId10"/>
            <a:stretch>
              <a:fillRect/>
            </a:stretch>
          </xdr:blipFill>
          <xdr:spPr>
            <a:xfrm>
              <a:off x="555840" y="2577240"/>
              <a:ext cx="712440" cy="318600"/>
            </a:xfrm>
            <a:prstGeom prst="rect">
              <a:avLst/>
            </a:prstGeom>
          </xdr:spPr>
        </xdr:pic>
      </mc:Fallback>
    </mc:AlternateContent>
    <xdr:clientData/>
  </xdr:twoCellAnchor>
  <xdr:twoCellAnchor editAs="oneCell">
    <xdr:from>
      <xdr:col>1</xdr:col>
      <xdr:colOff>93120</xdr:colOff>
      <xdr:row>4</xdr:row>
      <xdr:rowOff>121680</xdr:rowOff>
    </xdr:from>
    <xdr:to>
      <xdr:col>1</xdr:col>
      <xdr:colOff>1938480</xdr:colOff>
      <xdr:row>4</xdr:row>
      <xdr:rowOff>237600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 name="Ink 8">
              <a:extLst>
                <a:ext uri="{FF2B5EF4-FFF2-40B4-BE49-F238E27FC236}">
                  <a16:creationId xmlns:a16="http://schemas.microsoft.com/office/drawing/2014/main" id="{173B3AFC-9C55-C7E1-E7F6-8C99D59214BD}"/>
                </a:ext>
              </a:extLst>
            </xdr14:cNvPr>
            <xdr14:cNvContentPartPr/>
          </xdr14:nvContentPartPr>
          <xdr14:nvPr macro=""/>
          <xdr14:xfrm>
            <a:off x="702720" y="1584720"/>
            <a:ext cx="1845360" cy="115920"/>
          </xdr14:xfrm>
        </xdr:contentPart>
      </mc:Choice>
      <mc:Fallback xmlns="">
        <xdr:pic>
          <xdr:nvPicPr>
            <xdr:cNvPr id="9" name="Ink 8">
              <a:extLst>
                <a:ext uri="{FF2B5EF4-FFF2-40B4-BE49-F238E27FC236}">
                  <a16:creationId xmlns:a16="http://schemas.microsoft.com/office/drawing/2014/main" id="{173B3AFC-9C55-C7E1-E7F6-8C99D59214BD}"/>
                </a:ext>
              </a:extLst>
            </xdr:cNvPr>
            <xdr:cNvPicPr/>
          </xdr:nvPicPr>
          <xdr:blipFill>
            <a:blip xmlns:r="http://schemas.openxmlformats.org/officeDocument/2006/relationships" r:embed="rId12"/>
            <a:stretch>
              <a:fillRect/>
            </a:stretch>
          </xdr:blipFill>
          <xdr:spPr>
            <a:xfrm>
              <a:off x="631080" y="1440720"/>
              <a:ext cx="1989000" cy="403560"/>
            </a:xfrm>
            <a:prstGeom prst="rect">
              <a:avLst/>
            </a:prstGeom>
          </xdr:spPr>
        </xdr:pic>
      </mc:Fallback>
    </mc:AlternateContent>
    <xdr:clientData/>
  </xdr:twoCellAnchor>
  <xdr:twoCellAnchor editAs="oneCell">
    <xdr:from>
      <xdr:col>1</xdr:col>
      <xdr:colOff>114360</xdr:colOff>
      <xdr:row>2</xdr:row>
      <xdr:rowOff>149040</xdr:rowOff>
    </xdr:from>
    <xdr:to>
      <xdr:col>1</xdr:col>
      <xdr:colOff>1069800</xdr:colOff>
      <xdr:row>2</xdr:row>
      <xdr:rowOff>259200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 name="Ink 9">
              <a:extLst>
                <a:ext uri="{FF2B5EF4-FFF2-40B4-BE49-F238E27FC236}">
                  <a16:creationId xmlns:a16="http://schemas.microsoft.com/office/drawing/2014/main" id="{6F8BE9E9-4CF7-ABA6-4176-02ED80E0106C}"/>
                </a:ext>
              </a:extLst>
            </xdr14:cNvPr>
            <xdr14:cNvContentPartPr/>
          </xdr14:nvContentPartPr>
          <xdr14:nvPr macro=""/>
          <xdr14:xfrm>
            <a:off x="723960" y="880560"/>
            <a:ext cx="955440" cy="110160"/>
          </xdr14:xfrm>
        </xdr:contentPart>
      </mc:Choice>
      <mc:Fallback xmlns="">
        <xdr:pic>
          <xdr:nvPicPr>
            <xdr:cNvPr id="10" name="Ink 9">
              <a:extLst>
                <a:ext uri="{FF2B5EF4-FFF2-40B4-BE49-F238E27FC236}">
                  <a16:creationId xmlns:a16="http://schemas.microsoft.com/office/drawing/2014/main" id="{6F8BE9E9-4CF7-ABA6-4176-02ED80E0106C}"/>
                </a:ext>
              </a:extLst>
            </xdr:cNvPr>
            <xdr:cNvPicPr/>
          </xdr:nvPicPr>
          <xdr:blipFill>
            <a:blip xmlns:r="http://schemas.openxmlformats.org/officeDocument/2006/relationships" r:embed="rId14"/>
            <a:stretch>
              <a:fillRect/>
            </a:stretch>
          </xdr:blipFill>
          <xdr:spPr>
            <a:xfrm>
              <a:off x="651960" y="736560"/>
              <a:ext cx="1099080" cy="397800"/>
            </a:xfrm>
            <a:prstGeom prst="rect">
              <a:avLst/>
            </a:prstGeom>
          </xdr:spPr>
        </xdr:pic>
      </mc:Fallback>
    </mc:AlternateContent>
    <xdr:clientData/>
  </xdr:twoCellAnchor>
  <xdr:twoCellAnchor editAs="oneCell">
    <xdr:from>
      <xdr:col>1</xdr:col>
      <xdr:colOff>68280</xdr:colOff>
      <xdr:row>9</xdr:row>
      <xdr:rowOff>205560</xdr:rowOff>
    </xdr:from>
    <xdr:to>
      <xdr:col>1</xdr:col>
      <xdr:colOff>1569840</xdr:colOff>
      <xdr:row>9</xdr:row>
      <xdr:rowOff>206280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2" name="Ink 11">
              <a:extLst>
                <a:ext uri="{FF2B5EF4-FFF2-40B4-BE49-F238E27FC236}">
                  <a16:creationId xmlns:a16="http://schemas.microsoft.com/office/drawing/2014/main" id="{4518A854-7EED-327F-8A72-2257D480FB46}"/>
                </a:ext>
              </a:extLst>
            </xdr14:cNvPr>
            <xdr14:cNvContentPartPr/>
          </xdr14:nvContentPartPr>
          <xdr14:nvPr macro=""/>
          <xdr14:xfrm>
            <a:off x="677880" y="3497400"/>
            <a:ext cx="1501560" cy="720"/>
          </xdr14:xfrm>
        </xdr:contentPart>
      </mc:Choice>
      <mc:Fallback xmlns="">
        <xdr:pic>
          <xdr:nvPicPr>
            <xdr:cNvPr id="12" name="Ink 11">
              <a:extLst>
                <a:ext uri="{FF2B5EF4-FFF2-40B4-BE49-F238E27FC236}">
                  <a16:creationId xmlns:a16="http://schemas.microsoft.com/office/drawing/2014/main" id="{4518A854-7EED-327F-8A72-2257D480FB46}"/>
                </a:ext>
              </a:extLst>
            </xdr:cNvPr>
            <xdr:cNvPicPr/>
          </xdr:nvPicPr>
          <xdr:blipFill>
            <a:blip xmlns:r="http://schemas.openxmlformats.org/officeDocument/2006/relationships" r:embed="rId16"/>
            <a:stretch>
              <a:fillRect/>
            </a:stretch>
          </xdr:blipFill>
          <xdr:spPr>
            <a:xfrm>
              <a:off x="605880" y="3209400"/>
              <a:ext cx="1645200" cy="576000"/>
            </a:xfrm>
            <a:prstGeom prst="rect">
              <a:avLst/>
            </a:prstGeom>
          </xdr:spPr>
        </xdr:pic>
      </mc:Fallback>
    </mc:AlternateContent>
    <xdr:clientData/>
  </xdr:twoCellAnchor>
  <xdr:twoCellAnchor editAs="oneCell">
    <xdr:from>
      <xdr:col>0</xdr:col>
      <xdr:colOff>533160</xdr:colOff>
      <xdr:row>8</xdr:row>
      <xdr:rowOff>205560</xdr:rowOff>
    </xdr:from>
    <xdr:to>
      <xdr:col>1</xdr:col>
      <xdr:colOff>1387200</xdr:colOff>
      <xdr:row>8</xdr:row>
      <xdr:rowOff>206280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a16="http://schemas.microsoft.com/office/drawing/2014/main" id="{AA7A372F-65B8-DBEC-06A2-AF8076F5FAE2}"/>
                </a:ext>
              </a:extLst>
            </xdr14:cNvPr>
            <xdr14:cNvContentPartPr/>
          </xdr14:nvContentPartPr>
          <xdr14:nvPr macro=""/>
          <xdr14:xfrm>
            <a:off x="533160" y="3131640"/>
            <a:ext cx="1524600" cy="720"/>
          </xdr14:xfrm>
        </xdr:contentPart>
      </mc:Choice>
      <mc:Fallback xmlns="">
        <xdr:pic>
          <xdr:nvPicPr>
            <xdr:cNvPr id="17" name="Ink 16">
              <a:extLst>
                <a:ext uri="{FF2B5EF4-FFF2-40B4-BE49-F238E27FC236}">
                  <a16:creationId xmlns:a16="http://schemas.microsoft.com/office/drawing/2014/main" id="{AA7A372F-65B8-DBEC-06A2-AF8076F5FAE2}"/>
                </a:ext>
              </a:extLst>
            </xdr:cNvPr>
            <xdr:cNvPicPr/>
          </xdr:nvPicPr>
          <xdr:blipFill>
            <a:blip xmlns:r="http://schemas.openxmlformats.org/officeDocument/2006/relationships" r:embed="rId18"/>
            <a:stretch>
              <a:fillRect/>
            </a:stretch>
          </xdr:blipFill>
          <xdr:spPr>
            <a:xfrm>
              <a:off x="461160" y="2843640"/>
              <a:ext cx="1668240" cy="576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742513</xdr:colOff>
      <xdr:row>18</xdr:row>
      <xdr:rowOff>49968</xdr:rowOff>
    </xdr:from>
    <xdr:to>
      <xdr:col>3</xdr:col>
      <xdr:colOff>187377</xdr:colOff>
      <xdr:row>35</xdr:row>
      <xdr:rowOff>34041</xdr:rowOff>
    </xdr:to>
    <xdr:graphicFrame macro="">
      <xdr:nvGraphicFramePr>
        <xdr:cNvPr id="2" name="aymentss">
          <a:extLst>
            <a:ext uri="{FF2B5EF4-FFF2-40B4-BE49-F238E27FC236}">
              <a16:creationId xmlns:a16="http://schemas.microsoft.com/office/drawing/2014/main" id="{22F21980-724C-67CF-F09C-33D50C349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1004204</xdr:colOff>
      <xdr:row>28</xdr:row>
      <xdr:rowOff>35744</xdr:rowOff>
    </xdr:from>
    <xdr:to>
      <xdr:col>15</xdr:col>
      <xdr:colOff>457810</xdr:colOff>
      <xdr:row>43</xdr:row>
      <xdr:rowOff>6386</xdr:rowOff>
    </xdr:to>
    <xdr:graphicFrame macro="">
      <xdr:nvGraphicFramePr>
        <xdr:cNvPr id="8" name="Order Ads">
          <a:extLst>
            <a:ext uri="{FF2B5EF4-FFF2-40B4-BE49-F238E27FC236}">
              <a16:creationId xmlns:a16="http://schemas.microsoft.com/office/drawing/2014/main" id="{37795948-2CFD-4986-69C5-2E8790B8D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1041400</xdr:colOff>
      <xdr:row>27</xdr:row>
      <xdr:rowOff>9463</xdr:rowOff>
    </xdr:from>
    <xdr:to>
      <xdr:col>38</xdr:col>
      <xdr:colOff>119330</xdr:colOff>
      <xdr:row>35</xdr:row>
      <xdr:rowOff>126674</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A5382F5C-7D96-71C4-D7A2-5D1F9C73A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230840" y="4741483"/>
              <a:ext cx="4274770" cy="14659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113805</xdr:colOff>
      <xdr:row>52</xdr:row>
      <xdr:rowOff>156112</xdr:rowOff>
    </xdr:from>
    <xdr:to>
      <xdr:col>19</xdr:col>
      <xdr:colOff>321996</xdr:colOff>
      <xdr:row>75</xdr:row>
      <xdr:rowOff>17320</xdr:rowOff>
    </xdr:to>
    <xdr:graphicFrame macro="">
      <xdr:nvGraphicFramePr>
        <xdr:cNvPr id="23" name="Product category">
          <a:extLst>
            <a:ext uri="{FF2B5EF4-FFF2-40B4-BE49-F238E27FC236}">
              <a16:creationId xmlns:a16="http://schemas.microsoft.com/office/drawing/2014/main" id="{56EBE8E3-A2DE-2880-A054-2E34EB651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406631</xdr:colOff>
      <xdr:row>7</xdr:row>
      <xdr:rowOff>11776</xdr:rowOff>
    </xdr:from>
    <xdr:to>
      <xdr:col>13</xdr:col>
      <xdr:colOff>434341</xdr:colOff>
      <xdr:row>21</xdr:row>
      <xdr:rowOff>71524</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B6067A85-8014-F8D7-D585-4A7F176EAD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612486" y="1272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554183</xdr:colOff>
      <xdr:row>43</xdr:row>
      <xdr:rowOff>131618</xdr:rowOff>
    </xdr:from>
    <xdr:to>
      <xdr:col>16</xdr:col>
      <xdr:colOff>660157</xdr:colOff>
      <xdr:row>58</xdr:row>
      <xdr:rowOff>2790</xdr:rowOff>
    </xdr:to>
    <mc:AlternateContent xmlns:mc="http://schemas.openxmlformats.org/markup-compatibility/2006" xmlns:a14="http://schemas.microsoft.com/office/drawing/2010/main">
      <mc:Choice Requires="a14">
        <xdr:graphicFrame macro="">
          <xdr:nvGraphicFramePr>
            <xdr:cNvPr id="25" name="Product Category">
              <a:extLst>
                <a:ext uri="{FF2B5EF4-FFF2-40B4-BE49-F238E27FC236}">
                  <a16:creationId xmlns:a16="http://schemas.microsoft.com/office/drawing/2014/main" id="{2677EF1A-25D6-C556-4D21-D64C5FC8CCD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059892" y="782089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299950</xdr:colOff>
      <xdr:row>42</xdr:row>
      <xdr:rowOff>126768</xdr:rowOff>
    </xdr:from>
    <xdr:to>
      <xdr:col>30</xdr:col>
      <xdr:colOff>872658</xdr:colOff>
      <xdr:row>57</xdr:row>
      <xdr:rowOff>5613</xdr:rowOff>
    </xdr:to>
    <mc:AlternateContent xmlns:mc="http://schemas.openxmlformats.org/markup-compatibility/2006" xmlns:a14="http://schemas.microsoft.com/office/drawing/2010/main">
      <mc:Choice Requires="a14">
        <xdr:graphicFrame macro="">
          <xdr:nvGraphicFramePr>
            <xdr:cNvPr id="26" name="Payment Method">
              <a:extLst>
                <a:ext uri="{FF2B5EF4-FFF2-40B4-BE49-F238E27FC236}">
                  <a16:creationId xmlns:a16="http://schemas.microsoft.com/office/drawing/2014/main" id="{3FDD1F7E-B90A-B8F2-8DDF-7F0BDAC9EF2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2813586" y="763593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1126374</xdr:colOff>
      <xdr:row>43</xdr:row>
      <xdr:rowOff>94211</xdr:rowOff>
    </xdr:from>
    <xdr:to>
      <xdr:col>20</xdr:col>
      <xdr:colOff>271289</xdr:colOff>
      <xdr:row>57</xdr:row>
      <xdr:rowOff>145492</xdr:rowOff>
    </xdr:to>
    <mc:AlternateContent xmlns:mc="http://schemas.openxmlformats.org/markup-compatibility/2006" xmlns:a14="http://schemas.microsoft.com/office/drawing/2010/main">
      <mc:Choice Requires="a14">
        <xdr:graphicFrame macro="">
          <xdr:nvGraphicFramePr>
            <xdr:cNvPr id="27" name="Acquisition Source">
              <a:extLst>
                <a:ext uri="{FF2B5EF4-FFF2-40B4-BE49-F238E27FC236}">
                  <a16:creationId xmlns:a16="http://schemas.microsoft.com/office/drawing/2014/main" id="{72070E67-C07A-3701-94A4-44C32AFDB700}"/>
                </a:ext>
              </a:extLst>
            </xdr:cNvPr>
            <xdr:cNvGraphicFramePr/>
          </xdr:nvGraphicFramePr>
          <xdr:xfrm>
            <a:off x="0" y="0"/>
            <a:ext cx="0" cy="0"/>
          </xdr:xfrm>
          <a:graphic>
            <a:graphicData uri="http://schemas.microsoft.com/office/drawing/2010/slicer">
              <sle:slicer xmlns:sle="http://schemas.microsoft.com/office/drawing/2010/slicer" name="Acquisition Source"/>
            </a:graphicData>
          </a:graphic>
        </xdr:graphicFrame>
      </mc:Choice>
      <mc:Fallback xmlns="">
        <xdr:sp macro="" textlink="">
          <xdr:nvSpPr>
            <xdr:cNvPr id="0" name=""/>
            <xdr:cNvSpPr>
              <a:spLocks noTextEdit="1"/>
            </xdr:cNvSpPr>
          </xdr:nvSpPr>
          <xdr:spPr>
            <a:xfrm>
              <a:off x="17571719" y="778348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286390</xdr:colOff>
      <xdr:row>41</xdr:row>
      <xdr:rowOff>96176</xdr:rowOff>
    </xdr:from>
    <xdr:to>
      <xdr:col>23</xdr:col>
      <xdr:colOff>107139</xdr:colOff>
      <xdr:row>55</xdr:row>
      <xdr:rowOff>150701</xdr:rowOff>
    </xdr:to>
    <mc:AlternateContent xmlns:mc="http://schemas.openxmlformats.org/markup-compatibility/2006" xmlns:a14="http://schemas.microsoft.com/office/drawing/2010/main">
      <mc:Choice Requires="a14">
        <xdr:graphicFrame macro="">
          <xdr:nvGraphicFramePr>
            <xdr:cNvPr id="28" name="Order Status">
              <a:extLst>
                <a:ext uri="{FF2B5EF4-FFF2-40B4-BE49-F238E27FC236}">
                  <a16:creationId xmlns:a16="http://schemas.microsoft.com/office/drawing/2014/main" id="{AA8723FC-FA4B-29BF-DCC8-9D51987FC722}"/>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7641474" y="7338737"/>
              <a:ext cx="1814767" cy="2547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127462</xdr:colOff>
      <xdr:row>25</xdr:row>
      <xdr:rowOff>38793</xdr:rowOff>
    </xdr:from>
    <xdr:to>
      <xdr:col>10</xdr:col>
      <xdr:colOff>337552</xdr:colOff>
      <xdr:row>33</xdr:row>
      <xdr:rowOff>24938</xdr:rowOff>
    </xdr:to>
    <mc:AlternateContent xmlns:mc="http://schemas.openxmlformats.org/markup-compatibility/2006" xmlns:tsle="http://schemas.microsoft.com/office/drawing/2012/timeslicer">
      <mc:Choice Requires="tsle">
        <xdr:graphicFrame macro="">
          <xdr:nvGraphicFramePr>
            <xdr:cNvPr id="29" name="Order Date">
              <a:extLst>
                <a:ext uri="{FF2B5EF4-FFF2-40B4-BE49-F238E27FC236}">
                  <a16:creationId xmlns:a16="http://schemas.microsoft.com/office/drawing/2014/main" id="{A40B0FDD-7711-AFE0-62CC-8FC044A7F3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952807" y="45415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881842</xdr:colOff>
      <xdr:row>10</xdr:row>
      <xdr:rowOff>99060</xdr:rowOff>
    </xdr:from>
    <xdr:to>
      <xdr:col>6</xdr:col>
      <xdr:colOff>989158</xdr:colOff>
      <xdr:row>24</xdr:row>
      <xdr:rowOff>158808</xdr:rowOff>
    </xdr:to>
    <mc:AlternateContent xmlns:mc="http://schemas.openxmlformats.org/markup-compatibility/2006" xmlns:a14="http://schemas.microsoft.com/office/drawing/2010/main">
      <mc:Choice Requires="a14">
        <xdr:graphicFrame macro="">
          <xdr:nvGraphicFramePr>
            <xdr:cNvPr id="30" name="City 2">
              <a:extLst>
                <a:ext uri="{FF2B5EF4-FFF2-40B4-BE49-F238E27FC236}">
                  <a16:creationId xmlns:a16="http://schemas.microsoft.com/office/drawing/2014/main" id="{154ED4D8-4154-EA8B-8607-0FA1A5B97F1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550824" y="190015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76199</xdr:colOff>
      <xdr:row>20</xdr:row>
      <xdr:rowOff>159202</xdr:rowOff>
    </xdr:from>
    <xdr:to>
      <xdr:col>22</xdr:col>
      <xdr:colOff>381000</xdr:colOff>
      <xdr:row>34</xdr:row>
      <xdr:rowOff>167668</xdr:rowOff>
    </xdr:to>
    <xdr:graphicFrame macro="">
      <xdr:nvGraphicFramePr>
        <xdr:cNvPr id="4" name="Chart 3">
          <a:extLst>
            <a:ext uri="{FF2B5EF4-FFF2-40B4-BE49-F238E27FC236}">
              <a16:creationId xmlns:a16="http://schemas.microsoft.com/office/drawing/2014/main" id="{85DD8780-1B0F-E65B-D08C-5528FFE0E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31229</xdr:colOff>
      <xdr:row>21</xdr:row>
      <xdr:rowOff>49968</xdr:rowOff>
    </xdr:from>
    <xdr:to>
      <xdr:col>7</xdr:col>
      <xdr:colOff>174885</xdr:colOff>
      <xdr:row>40</xdr:row>
      <xdr:rowOff>28731</xdr:rowOff>
    </xdr:to>
    <xdr:graphicFrame macro="">
      <xdr:nvGraphicFramePr>
        <xdr:cNvPr id="3" name="Chart 2">
          <a:extLst>
            <a:ext uri="{FF2B5EF4-FFF2-40B4-BE49-F238E27FC236}">
              <a16:creationId xmlns:a16="http://schemas.microsoft.com/office/drawing/2014/main" id="{EAC5D017-0066-0903-B196-0D8E9B0EB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0</xdr:rowOff>
    </xdr:from>
    <xdr:to>
      <xdr:col>3</xdr:col>
      <xdr:colOff>213360</xdr:colOff>
      <xdr:row>2</xdr:row>
      <xdr:rowOff>106680</xdr:rowOff>
    </xdr:to>
    <xdr:sp macro="" textlink="">
      <xdr:nvSpPr>
        <xdr:cNvPr id="2" name="Rectangle 1">
          <a:extLst>
            <a:ext uri="{FF2B5EF4-FFF2-40B4-BE49-F238E27FC236}">
              <a16:creationId xmlns:a16="http://schemas.microsoft.com/office/drawing/2014/main" id="{89DF0622-42B7-51D7-FB07-FD6F023C43FF}"/>
            </a:ext>
          </a:extLst>
        </xdr:cNvPr>
        <xdr:cNvSpPr/>
      </xdr:nvSpPr>
      <xdr:spPr>
        <a:xfrm>
          <a:off x="22860" y="0"/>
          <a:ext cx="2202180" cy="4572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latin typeface="Arial Narrow" panose="020B0606020202030204" pitchFamily="34" charset="0"/>
            </a:rPr>
            <a:t>SALES DASHBOARD</a:t>
          </a:r>
        </a:p>
      </xdr:txBody>
    </xdr:sp>
    <xdr:clientData/>
  </xdr:twoCellAnchor>
  <xdr:twoCellAnchor editAs="oneCell">
    <xdr:from>
      <xdr:col>0</xdr:col>
      <xdr:colOff>7620</xdr:colOff>
      <xdr:row>2</xdr:row>
      <xdr:rowOff>137161</xdr:rowOff>
    </xdr:from>
    <xdr:to>
      <xdr:col>3</xdr:col>
      <xdr:colOff>205740</xdr:colOff>
      <xdr:row>13</xdr:row>
      <xdr:rowOff>99060</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ADD041B7-1A5D-4167-98F0-52BB55FF98E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495749"/>
              <a:ext cx="2215179" cy="1934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53340</xdr:rowOff>
    </xdr:from>
    <xdr:to>
      <xdr:col>3</xdr:col>
      <xdr:colOff>213360</xdr:colOff>
      <xdr:row>20</xdr:row>
      <xdr:rowOff>83820</xdr:rowOff>
    </xdr:to>
    <mc:AlternateContent xmlns:mc="http://schemas.openxmlformats.org/markup-compatibility/2006" xmlns:a14="http://schemas.microsoft.com/office/drawing/2010/main">
      <mc:Choice Requires="a14">
        <xdr:graphicFrame macro="">
          <xdr:nvGraphicFramePr>
            <xdr:cNvPr id="4" name="Product Category 1">
              <a:extLst>
                <a:ext uri="{FF2B5EF4-FFF2-40B4-BE49-F238E27FC236}">
                  <a16:creationId xmlns:a16="http://schemas.microsoft.com/office/drawing/2014/main" id="{982CDCD5-A3C7-4449-A882-2FD6703BAD7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384164"/>
              <a:ext cx="2230419" cy="1285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222773</xdr:colOff>
      <xdr:row>6</xdr:row>
      <xdr:rowOff>44824</xdr:rowOff>
    </xdr:from>
    <xdr:to>
      <xdr:col>8</xdr:col>
      <xdr:colOff>53788</xdr:colOff>
      <xdr:row>17</xdr:row>
      <xdr:rowOff>107576</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3F548390-CF73-46FD-86A6-B9D50B290E3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239832" y="1120589"/>
              <a:ext cx="3192780" cy="2034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104335</xdr:rowOff>
    </xdr:from>
    <xdr:to>
      <xdr:col>3</xdr:col>
      <xdr:colOff>213360</xdr:colOff>
      <xdr:row>36</xdr:row>
      <xdr:rowOff>149888</xdr:rowOff>
    </xdr:to>
    <mc:AlternateContent xmlns:mc="http://schemas.openxmlformats.org/markup-compatibility/2006" xmlns:a14="http://schemas.microsoft.com/office/drawing/2010/main">
      <mc:Choice Requires="a14">
        <xdr:graphicFrame macro="">
          <xdr:nvGraphicFramePr>
            <xdr:cNvPr id="6" name="Acquisition Source 1">
              <a:extLst>
                <a:ext uri="{FF2B5EF4-FFF2-40B4-BE49-F238E27FC236}">
                  <a16:creationId xmlns:a16="http://schemas.microsoft.com/office/drawing/2014/main" id="{3E0ED3E7-B4C0-46BB-8CC0-76133E8736C8}"/>
                </a:ext>
              </a:extLst>
            </xdr:cNvPr>
            <xdr:cNvGraphicFramePr/>
          </xdr:nvGraphicFramePr>
          <xdr:xfrm>
            <a:off x="0" y="0"/>
            <a:ext cx="0" cy="0"/>
          </xdr:xfrm>
          <a:graphic>
            <a:graphicData uri="http://schemas.microsoft.com/office/drawing/2010/slicer">
              <sle:slicer xmlns:sle="http://schemas.microsoft.com/office/drawing/2010/slicer" name="Acquisition Source 1"/>
            </a:graphicData>
          </a:graphic>
        </xdr:graphicFrame>
      </mc:Choice>
      <mc:Fallback xmlns="">
        <xdr:sp macro="" textlink="">
          <xdr:nvSpPr>
            <xdr:cNvPr id="0" name=""/>
            <xdr:cNvSpPr>
              <a:spLocks noTextEdit="1"/>
            </xdr:cNvSpPr>
          </xdr:nvSpPr>
          <xdr:spPr>
            <a:xfrm>
              <a:off x="0" y="3690217"/>
              <a:ext cx="2230419" cy="2914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229250</xdr:colOff>
      <xdr:row>17</xdr:row>
      <xdr:rowOff>129395</xdr:rowOff>
    </xdr:from>
    <xdr:to>
      <xdr:col>8</xdr:col>
      <xdr:colOff>26894</xdr:colOff>
      <xdr:row>23</xdr:row>
      <xdr:rowOff>8964</xdr:rowOff>
    </xdr:to>
    <mc:AlternateContent xmlns:mc="http://schemas.openxmlformats.org/markup-compatibility/2006" xmlns:a14="http://schemas.microsoft.com/office/drawing/2010/main">
      <mc:Choice Requires="a14">
        <xdr:graphicFrame macro="">
          <xdr:nvGraphicFramePr>
            <xdr:cNvPr id="7" name="Order Status 1">
              <a:extLst>
                <a:ext uri="{FF2B5EF4-FFF2-40B4-BE49-F238E27FC236}">
                  <a16:creationId xmlns:a16="http://schemas.microsoft.com/office/drawing/2014/main" id="{54EB8DE3-F9CC-4D6B-A321-3A257DDAA5DD}"/>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2246309" y="3177395"/>
              <a:ext cx="3159409" cy="955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542412</xdr:colOff>
      <xdr:row>1</xdr:row>
      <xdr:rowOff>170047</xdr:rowOff>
    </xdr:from>
    <xdr:to>
      <xdr:col>6</xdr:col>
      <xdr:colOff>357355</xdr:colOff>
      <xdr:row>4</xdr:row>
      <xdr:rowOff>145011</xdr:rowOff>
    </xdr:to>
    <xdr:sp macro="" textlink="Sheet1!F57">
      <xdr:nvSpPr>
        <xdr:cNvPr id="9" name="Rectangle 8">
          <a:extLst>
            <a:ext uri="{FF2B5EF4-FFF2-40B4-BE49-F238E27FC236}">
              <a16:creationId xmlns:a16="http://schemas.microsoft.com/office/drawing/2014/main" id="{38A6CFD1-493D-9B00-CF3F-C7F47235D045}"/>
            </a:ext>
          </a:extLst>
        </xdr:cNvPr>
        <xdr:cNvSpPr/>
      </xdr:nvSpPr>
      <xdr:spPr>
        <a:xfrm>
          <a:off x="2371212" y="353978"/>
          <a:ext cx="1643743" cy="5267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D83600-2CD3-4923-AF38-81F183C8EFBD}" type="TxLink">
            <a:rPr lang="en-US" sz="2400" b="1" i="0" u="none" strike="noStrike">
              <a:solidFill>
                <a:schemeClr val="bg1"/>
              </a:solidFill>
              <a:latin typeface="Algerian" panose="04020705040A02060702" pitchFamily="82" charset="0"/>
            </a:rPr>
            <a:pPr algn="l"/>
            <a:t>Rs. 45.7M</a:t>
          </a:fld>
          <a:endParaRPr lang="en-US" sz="2400" b="1">
            <a:solidFill>
              <a:schemeClr val="bg1"/>
            </a:solidFill>
            <a:latin typeface="Algerian" panose="04020705040A02060702" pitchFamily="82" charset="0"/>
          </a:endParaRPr>
        </a:p>
      </xdr:txBody>
    </xdr:sp>
    <xdr:clientData/>
  </xdr:twoCellAnchor>
  <xdr:twoCellAnchor editAs="oneCell">
    <xdr:from>
      <xdr:col>0</xdr:col>
      <xdr:colOff>1</xdr:colOff>
      <xdr:row>36</xdr:row>
      <xdr:rowOff>150399</xdr:rowOff>
    </xdr:from>
    <xdr:to>
      <xdr:col>3</xdr:col>
      <xdr:colOff>205155</xdr:colOff>
      <xdr:row>44</xdr:row>
      <xdr:rowOff>127539</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65A08382-314D-44A6-BA9C-70FE53C8B3D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 y="6604987"/>
              <a:ext cx="2222213" cy="14114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224117</xdr:colOff>
      <xdr:row>23</xdr:row>
      <xdr:rowOff>35858</xdr:rowOff>
    </xdr:from>
    <xdr:to>
      <xdr:col>12</xdr:col>
      <xdr:colOff>26894</xdr:colOff>
      <xdr:row>44</xdr:row>
      <xdr:rowOff>143435</xdr:rowOff>
    </xdr:to>
    <xdr:graphicFrame macro="">
      <xdr:nvGraphicFramePr>
        <xdr:cNvPr id="13" name="Product category">
          <a:extLst>
            <a:ext uri="{FF2B5EF4-FFF2-40B4-BE49-F238E27FC236}">
              <a16:creationId xmlns:a16="http://schemas.microsoft.com/office/drawing/2014/main" id="{80C09271-78CF-47A0-BF25-EF21E2093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53789</xdr:colOff>
      <xdr:row>6</xdr:row>
      <xdr:rowOff>38996</xdr:rowOff>
    </xdr:from>
    <xdr:to>
      <xdr:col>12</xdr:col>
      <xdr:colOff>26894</xdr:colOff>
      <xdr:row>23</xdr:row>
      <xdr:rowOff>8964</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627C4E4F-93E0-4A8F-9B8B-7FB1A2DE43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18269" y="1090556"/>
              <a:ext cx="2655345" cy="29493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181534</xdr:colOff>
      <xdr:row>0</xdr:row>
      <xdr:rowOff>125506</xdr:rowOff>
    </xdr:from>
    <xdr:to>
      <xdr:col>24</xdr:col>
      <xdr:colOff>502023</xdr:colOff>
      <xdr:row>20</xdr:row>
      <xdr:rowOff>134471</xdr:rowOff>
    </xdr:to>
    <xdr:graphicFrame macro="">
      <xdr:nvGraphicFramePr>
        <xdr:cNvPr id="16" name="Order Ads">
          <a:extLst>
            <a:ext uri="{FF2B5EF4-FFF2-40B4-BE49-F238E27FC236}">
              <a16:creationId xmlns:a16="http://schemas.microsoft.com/office/drawing/2014/main" id="{672A2B29-8BD2-4CC7-A2AD-DC18E9141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0</xdr:row>
      <xdr:rowOff>0</xdr:rowOff>
    </xdr:from>
    <xdr:to>
      <xdr:col>6</xdr:col>
      <xdr:colOff>376517</xdr:colOff>
      <xdr:row>5</xdr:row>
      <xdr:rowOff>152400</xdr:rowOff>
    </xdr:to>
    <xdr:grpSp>
      <xdr:nvGrpSpPr>
        <xdr:cNvPr id="18" name="Group 17">
          <a:extLst>
            <a:ext uri="{FF2B5EF4-FFF2-40B4-BE49-F238E27FC236}">
              <a16:creationId xmlns:a16="http://schemas.microsoft.com/office/drawing/2014/main" id="{63B86CB8-BFE0-77F9-1AFA-31C698C37A76}"/>
            </a:ext>
          </a:extLst>
        </xdr:cNvPr>
        <xdr:cNvGrpSpPr/>
      </xdr:nvGrpSpPr>
      <xdr:grpSpPr>
        <a:xfrm>
          <a:off x="2245659" y="0"/>
          <a:ext cx="2164976" cy="1048871"/>
          <a:chOff x="1981200" y="0"/>
          <a:chExt cx="2396152" cy="885495"/>
        </a:xfrm>
      </xdr:grpSpPr>
      <xdr:sp macro="" textlink="Sheet1!F57">
        <xdr:nvSpPr>
          <xdr:cNvPr id="17" name="Rectangle 16">
            <a:extLst>
              <a:ext uri="{FF2B5EF4-FFF2-40B4-BE49-F238E27FC236}">
                <a16:creationId xmlns:a16="http://schemas.microsoft.com/office/drawing/2014/main" id="{249909E1-6F6C-9913-0082-D5AC2EB230CB}"/>
              </a:ext>
            </a:extLst>
          </xdr:cNvPr>
          <xdr:cNvSpPr/>
        </xdr:nvSpPr>
        <xdr:spPr>
          <a:xfrm>
            <a:off x="1981200" y="390195"/>
            <a:ext cx="2392680" cy="4953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77776B-843D-463B-BAF1-61D7F428B6C5}" type="TxLink">
              <a:rPr lang="en-US" sz="2000" b="1" i="0" u="none" strike="noStrike">
                <a:solidFill>
                  <a:schemeClr val="bg1"/>
                </a:solidFill>
                <a:latin typeface="Bahnschrift Light" panose="020B0502040204020203" pitchFamily="34" charset="0"/>
              </a:rPr>
              <a:pPr algn="ctr"/>
              <a:t>Rs. 45.7M</a:t>
            </a:fld>
            <a:endParaRPr lang="en-US" sz="2000" b="1">
              <a:solidFill>
                <a:schemeClr val="bg1"/>
              </a:solidFill>
              <a:latin typeface="Bahnschrift Light" panose="020B0502040204020203" pitchFamily="34" charset="0"/>
            </a:endParaRPr>
          </a:p>
        </xdr:txBody>
      </xdr:sp>
      <xdr:sp macro="" textlink="">
        <xdr:nvSpPr>
          <xdr:cNvPr id="8" name="Rectangle 7">
            <a:extLst>
              <a:ext uri="{FF2B5EF4-FFF2-40B4-BE49-F238E27FC236}">
                <a16:creationId xmlns:a16="http://schemas.microsoft.com/office/drawing/2014/main" id="{432BFD37-3CEB-1254-59BF-B5A10F5568EE}"/>
              </a:ext>
            </a:extLst>
          </xdr:cNvPr>
          <xdr:cNvSpPr/>
        </xdr:nvSpPr>
        <xdr:spPr>
          <a:xfrm>
            <a:off x="1981200" y="0"/>
            <a:ext cx="2396152" cy="48022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rial Black" panose="020B0A04020102020204" pitchFamily="34" charset="0"/>
              </a:rPr>
              <a:t>Total</a:t>
            </a:r>
            <a:r>
              <a:rPr lang="en-US" sz="2000" baseline="0">
                <a:latin typeface="Arial Black" panose="020B0A04020102020204" pitchFamily="34" charset="0"/>
              </a:rPr>
              <a:t> Sale</a:t>
            </a:r>
            <a:endParaRPr lang="en-US" sz="2000">
              <a:latin typeface="Arial Black" panose="020B0A04020102020204" pitchFamily="34" charset="0"/>
            </a:endParaRPr>
          </a:p>
        </xdr:txBody>
      </xdr:sp>
    </xdr:grpSp>
    <xdr:clientData/>
  </xdr:twoCellAnchor>
  <xdr:twoCellAnchor>
    <xdr:from>
      <xdr:col>12</xdr:col>
      <xdr:colOff>36756</xdr:colOff>
      <xdr:row>20</xdr:row>
      <xdr:rowOff>125506</xdr:rowOff>
    </xdr:from>
    <xdr:to>
      <xdr:col>24</xdr:col>
      <xdr:colOff>519954</xdr:colOff>
      <xdr:row>44</xdr:row>
      <xdr:rowOff>134471</xdr:rowOff>
    </xdr:to>
    <xdr:graphicFrame macro="">
      <xdr:nvGraphicFramePr>
        <xdr:cNvPr id="11" name="Chart 10">
          <a:extLst>
            <a:ext uri="{FF2B5EF4-FFF2-40B4-BE49-F238E27FC236}">
              <a16:creationId xmlns:a16="http://schemas.microsoft.com/office/drawing/2014/main" id="{FC5F4E31-38AB-484E-B116-7FBC729A5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35859</xdr:colOff>
      <xdr:row>6</xdr:row>
      <xdr:rowOff>44822</xdr:rowOff>
    </xdr:from>
    <xdr:to>
      <xdr:col>17</xdr:col>
      <xdr:colOff>170329</xdr:colOff>
      <xdr:row>20</xdr:row>
      <xdr:rowOff>125506</xdr:rowOff>
    </xdr:to>
    <xdr:graphicFrame macro="">
      <xdr:nvGraphicFramePr>
        <xdr:cNvPr id="14" name="Chart 13">
          <a:extLst>
            <a:ext uri="{FF2B5EF4-FFF2-40B4-BE49-F238E27FC236}">
              <a16:creationId xmlns:a16="http://schemas.microsoft.com/office/drawing/2014/main" id="{A32A2918-7EEF-445F-BDEC-9DC0697EA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394446</xdr:colOff>
      <xdr:row>0</xdr:row>
      <xdr:rowOff>8965</xdr:rowOff>
    </xdr:from>
    <xdr:to>
      <xdr:col>9</xdr:col>
      <xdr:colOff>502023</xdr:colOff>
      <xdr:row>5</xdr:row>
      <xdr:rowOff>152400</xdr:rowOff>
    </xdr:to>
    <xdr:grpSp>
      <xdr:nvGrpSpPr>
        <xdr:cNvPr id="23" name="Group 22">
          <a:extLst>
            <a:ext uri="{FF2B5EF4-FFF2-40B4-BE49-F238E27FC236}">
              <a16:creationId xmlns:a16="http://schemas.microsoft.com/office/drawing/2014/main" id="{DA2B25FF-62FE-47C9-8482-5DC4F4B18447}"/>
            </a:ext>
          </a:extLst>
        </xdr:cNvPr>
        <xdr:cNvGrpSpPr/>
      </xdr:nvGrpSpPr>
      <xdr:grpSpPr>
        <a:xfrm>
          <a:off x="4428564" y="8965"/>
          <a:ext cx="2124635" cy="1039906"/>
          <a:chOff x="1981200" y="0"/>
          <a:chExt cx="2401113" cy="885495"/>
        </a:xfrm>
      </xdr:grpSpPr>
      <xdr:sp macro="" textlink="Sheet1!AF81">
        <xdr:nvSpPr>
          <xdr:cNvPr id="24" name="Rectangle 23">
            <a:extLst>
              <a:ext uri="{FF2B5EF4-FFF2-40B4-BE49-F238E27FC236}">
                <a16:creationId xmlns:a16="http://schemas.microsoft.com/office/drawing/2014/main" id="{6E9A533C-05AD-20E7-4CD7-83E4B6117464}"/>
              </a:ext>
            </a:extLst>
          </xdr:cNvPr>
          <xdr:cNvSpPr/>
        </xdr:nvSpPr>
        <xdr:spPr>
          <a:xfrm>
            <a:off x="1981200" y="386607"/>
            <a:ext cx="2401113" cy="498888"/>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266EE8B-D278-46E4-B45D-9F64B84C7B0A}" type="TxLink">
              <a:rPr lang="en-US" sz="2000" b="1" i="0" u="none" strike="noStrike">
                <a:solidFill>
                  <a:schemeClr val="bg1"/>
                </a:solidFill>
                <a:latin typeface="Bahnschrift Light" panose="020B0502040204020203" pitchFamily="34" charset="0"/>
                <a:ea typeface="+mn-ea"/>
                <a:cs typeface="+mn-cs"/>
              </a:rPr>
              <a:pPr marL="0" indent="0" algn="ctr"/>
              <a:t>5967</a:t>
            </a:fld>
            <a:endParaRPr lang="en-US" sz="2000" b="1" i="0" u="none" strike="noStrike">
              <a:solidFill>
                <a:schemeClr val="bg1"/>
              </a:solidFill>
              <a:latin typeface="Bahnschrift Light" panose="020B0502040204020203" pitchFamily="34" charset="0"/>
              <a:ea typeface="+mn-ea"/>
              <a:cs typeface="+mn-cs"/>
            </a:endParaRPr>
          </a:p>
        </xdr:txBody>
      </xdr:sp>
      <xdr:sp macro="" textlink="">
        <xdr:nvSpPr>
          <xdr:cNvPr id="25" name="Rectangle 24">
            <a:extLst>
              <a:ext uri="{FF2B5EF4-FFF2-40B4-BE49-F238E27FC236}">
                <a16:creationId xmlns:a16="http://schemas.microsoft.com/office/drawing/2014/main" id="{D29F3305-28F2-94D7-0165-D32F58618F00}"/>
              </a:ext>
            </a:extLst>
          </xdr:cNvPr>
          <xdr:cNvSpPr/>
        </xdr:nvSpPr>
        <xdr:spPr>
          <a:xfrm>
            <a:off x="1981200" y="0"/>
            <a:ext cx="2401113" cy="48022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Bahnschrift Light" panose="020B0502040204020203" pitchFamily="34" charset="0"/>
                <a:ea typeface="+mn-ea"/>
                <a:cs typeface="+mn-cs"/>
              </a:rPr>
              <a:t>Quantity Sold</a:t>
            </a:r>
          </a:p>
        </xdr:txBody>
      </xdr:sp>
    </xdr:grpSp>
    <xdr:clientData/>
  </xdr:twoCellAnchor>
  <xdr:twoCellAnchor>
    <xdr:from>
      <xdr:col>9</xdr:col>
      <xdr:colOff>510989</xdr:colOff>
      <xdr:row>0</xdr:row>
      <xdr:rowOff>0</xdr:rowOff>
    </xdr:from>
    <xdr:to>
      <xdr:col>13</xdr:col>
      <xdr:colOff>502024</xdr:colOff>
      <xdr:row>5</xdr:row>
      <xdr:rowOff>161364</xdr:rowOff>
    </xdr:to>
    <xdr:grpSp>
      <xdr:nvGrpSpPr>
        <xdr:cNvPr id="26" name="Group 25">
          <a:extLst>
            <a:ext uri="{FF2B5EF4-FFF2-40B4-BE49-F238E27FC236}">
              <a16:creationId xmlns:a16="http://schemas.microsoft.com/office/drawing/2014/main" id="{AD2C9C7C-C399-4B69-B64E-959555458EC3}"/>
            </a:ext>
          </a:extLst>
        </xdr:cNvPr>
        <xdr:cNvGrpSpPr/>
      </xdr:nvGrpSpPr>
      <xdr:grpSpPr>
        <a:xfrm>
          <a:off x="6562165" y="0"/>
          <a:ext cx="2680447" cy="1057835"/>
          <a:chOff x="1981199" y="0"/>
          <a:chExt cx="2409169" cy="885495"/>
        </a:xfrm>
      </xdr:grpSpPr>
      <xdr:sp macro="" textlink="Sheet1!D64">
        <xdr:nvSpPr>
          <xdr:cNvPr id="27" name="Rectangle 26">
            <a:extLst>
              <a:ext uri="{FF2B5EF4-FFF2-40B4-BE49-F238E27FC236}">
                <a16:creationId xmlns:a16="http://schemas.microsoft.com/office/drawing/2014/main" id="{DE1E7AF2-72F1-2EC9-91AC-0AC32B821C84}"/>
              </a:ext>
            </a:extLst>
          </xdr:cNvPr>
          <xdr:cNvSpPr/>
        </xdr:nvSpPr>
        <xdr:spPr>
          <a:xfrm>
            <a:off x="1981199" y="386607"/>
            <a:ext cx="2401113" cy="498888"/>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E240C0B-E26B-448C-B0D0-705158C79980}" type="TxLink">
              <a:rPr lang="en-US" sz="2400" b="0" i="0" u="none" strike="noStrike">
                <a:solidFill>
                  <a:schemeClr val="bg1"/>
                </a:solidFill>
                <a:latin typeface="Candara Light" panose="020E0502030303020204" pitchFamily="34" charset="0"/>
                <a:ea typeface="+mn-ea"/>
                <a:cs typeface="+mn-cs"/>
              </a:rPr>
              <a:pPr marL="0" indent="0" algn="ctr"/>
              <a:t>Footwear</a:t>
            </a:fld>
            <a:endParaRPr lang="en-US" sz="2400" b="1" i="0" u="none" strike="noStrike">
              <a:solidFill>
                <a:schemeClr val="bg1"/>
              </a:solidFill>
              <a:latin typeface="Candara Light" panose="020E0502030303020204" pitchFamily="34" charset="0"/>
              <a:ea typeface="+mn-ea"/>
              <a:cs typeface="+mn-cs"/>
            </a:endParaRPr>
          </a:p>
        </xdr:txBody>
      </xdr:sp>
      <xdr:sp macro="" textlink="">
        <xdr:nvSpPr>
          <xdr:cNvPr id="28" name="Rectangle 27">
            <a:extLst>
              <a:ext uri="{FF2B5EF4-FFF2-40B4-BE49-F238E27FC236}">
                <a16:creationId xmlns:a16="http://schemas.microsoft.com/office/drawing/2014/main" id="{0C44F29E-6DD6-F7D0-44BD-0CBDF127EDFC}"/>
              </a:ext>
            </a:extLst>
          </xdr:cNvPr>
          <xdr:cNvSpPr/>
        </xdr:nvSpPr>
        <xdr:spPr>
          <a:xfrm>
            <a:off x="1981200" y="0"/>
            <a:ext cx="2409168" cy="48022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Bahnschrift Light" panose="020B0502040204020203" pitchFamily="34" charset="0"/>
                <a:ea typeface="+mn-ea"/>
                <a:cs typeface="+mn-cs"/>
              </a:rPr>
              <a:t>Most</a:t>
            </a:r>
            <a:r>
              <a:rPr lang="en-US" sz="2000" b="1" i="0" u="none" strike="noStrike" baseline="0">
                <a:solidFill>
                  <a:schemeClr val="bg1"/>
                </a:solidFill>
                <a:latin typeface="Bahnschrift Light" panose="020B0502040204020203" pitchFamily="34" charset="0"/>
                <a:ea typeface="+mn-ea"/>
                <a:cs typeface="+mn-cs"/>
              </a:rPr>
              <a:t> Selling Category</a:t>
            </a:r>
            <a:endParaRPr lang="en-US" sz="2000" b="1" i="0" u="none" strike="noStrike">
              <a:solidFill>
                <a:schemeClr val="bg1"/>
              </a:solidFill>
              <a:latin typeface="Bahnschrift Light" panose="020B0502040204020203" pitchFamily="34" charset="0"/>
              <a:ea typeface="+mn-ea"/>
              <a:cs typeface="+mn-cs"/>
            </a:endParaRPr>
          </a:p>
        </xdr:txBody>
      </xdr:sp>
    </xdr:grpSp>
    <xdr:clientData/>
  </xdr:twoCellAnchor>
  <xdr:twoCellAnchor>
    <xdr:from>
      <xdr:col>13</xdr:col>
      <xdr:colOff>519953</xdr:colOff>
      <xdr:row>0</xdr:row>
      <xdr:rowOff>8965</xdr:rowOff>
    </xdr:from>
    <xdr:to>
      <xdr:col>16</xdr:col>
      <xdr:colOff>609599</xdr:colOff>
      <xdr:row>6</xdr:row>
      <xdr:rowOff>0</xdr:rowOff>
    </xdr:to>
    <xdr:grpSp>
      <xdr:nvGrpSpPr>
        <xdr:cNvPr id="12" name="Group 11">
          <a:extLst>
            <a:ext uri="{FF2B5EF4-FFF2-40B4-BE49-F238E27FC236}">
              <a16:creationId xmlns:a16="http://schemas.microsoft.com/office/drawing/2014/main" id="{666E185A-8DEA-3113-9FDA-5DFFFF2F9AA6}"/>
            </a:ext>
          </a:extLst>
        </xdr:cNvPr>
        <xdr:cNvGrpSpPr/>
      </xdr:nvGrpSpPr>
      <xdr:grpSpPr>
        <a:xfrm>
          <a:off x="9260541" y="8965"/>
          <a:ext cx="2106705" cy="1066800"/>
          <a:chOff x="1981200" y="0"/>
          <a:chExt cx="2401113" cy="885495"/>
        </a:xfrm>
      </xdr:grpSpPr>
      <xdr:sp macro="" textlink="Sheet1!F60">
        <xdr:nvSpPr>
          <xdr:cNvPr id="19" name="Rectangle 18">
            <a:extLst>
              <a:ext uri="{FF2B5EF4-FFF2-40B4-BE49-F238E27FC236}">
                <a16:creationId xmlns:a16="http://schemas.microsoft.com/office/drawing/2014/main" id="{CF5757A4-CF89-5762-F774-04AF0B485687}"/>
              </a:ext>
            </a:extLst>
          </xdr:cNvPr>
          <xdr:cNvSpPr/>
        </xdr:nvSpPr>
        <xdr:spPr>
          <a:xfrm>
            <a:off x="1981200" y="386607"/>
            <a:ext cx="2401113" cy="498888"/>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580164B-16A8-410C-B094-2145AE5846B4}" type="TxLink">
              <a:rPr lang="en-US" sz="1800" b="1" i="0" u="none" strike="noStrike">
                <a:solidFill>
                  <a:schemeClr val="bg1"/>
                </a:solidFill>
                <a:latin typeface="Cascadia Code SemiLight" panose="020B0609020000020004" pitchFamily="49" charset="0"/>
                <a:ea typeface="Cascadia Code SemiLight" panose="020B0609020000020004" pitchFamily="49" charset="0"/>
                <a:cs typeface="Cascadia Code SemiLight" panose="020B0609020000020004" pitchFamily="49" charset="0"/>
              </a:rPr>
              <a:pPr marL="0" indent="0" algn="ctr"/>
              <a:t>Rs 22.8K</a:t>
            </a:fld>
            <a:endParaRPr lang="en-US" sz="1800" b="1" i="0" u="none" strike="noStrike">
              <a:solidFill>
                <a:schemeClr val="bg1"/>
              </a:solidFill>
              <a:latin typeface="Cascadia Code SemiLight" panose="020B0609020000020004" pitchFamily="49" charset="0"/>
              <a:ea typeface="Cascadia Code SemiLight" panose="020B0609020000020004" pitchFamily="49" charset="0"/>
              <a:cs typeface="Cascadia Code SemiLight" panose="020B0609020000020004" pitchFamily="49" charset="0"/>
            </a:endParaRPr>
          </a:p>
        </xdr:txBody>
      </xdr:sp>
      <xdr:sp macro="" textlink="">
        <xdr:nvSpPr>
          <xdr:cNvPr id="20" name="Rectangle 19">
            <a:extLst>
              <a:ext uri="{FF2B5EF4-FFF2-40B4-BE49-F238E27FC236}">
                <a16:creationId xmlns:a16="http://schemas.microsoft.com/office/drawing/2014/main" id="{83B506CC-CAD5-2F16-767B-E3EB587152D4}"/>
              </a:ext>
            </a:extLst>
          </xdr:cNvPr>
          <xdr:cNvSpPr/>
        </xdr:nvSpPr>
        <xdr:spPr>
          <a:xfrm>
            <a:off x="1981200" y="0"/>
            <a:ext cx="2401113" cy="48022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Bahnschrift Light" panose="020B0502040204020203" pitchFamily="34" charset="0"/>
                <a:ea typeface="+mn-ea"/>
                <a:cs typeface="+mn-cs"/>
              </a:rPr>
              <a:t>Avg Order Val.</a:t>
            </a:r>
          </a:p>
        </xdr:txBody>
      </xdr: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2:19.678"/>
    </inkml:context>
    <inkml:brush xml:id="br0">
      <inkml:brushProperty name="width" value="0.4" units="cm"/>
      <inkml:brushProperty name="height" value="0.8" units="cm"/>
      <inkml:brushProperty name="color" value="#FFACD5"/>
      <inkml:brushProperty name="tip" value="rectangle"/>
      <inkml:brushProperty name="rasterOp" value="maskPen"/>
      <inkml:brushProperty name="ignorePressure" value="1"/>
    </inkml:brush>
  </inkml:definitions>
  <inkml:trace contextRef="#ctx0" brushRef="#br0">1 0,'1507'0,"-1406"5,173 30,-163-17,112-2,-121-12,-46-1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2:32.038"/>
    </inkml:context>
    <inkml:brush xml:id="br0">
      <inkml:brushProperty name="width" value="0.4" units="cm"/>
      <inkml:brushProperty name="height" value="0.8" units="cm"/>
      <inkml:brushProperty name="color" value="#00F900"/>
      <inkml:brushProperty name="tip" value="rectangle"/>
      <inkml:brushProperty name="rasterOp" value="maskPen"/>
      <inkml:brushProperty name="ignorePressure" value="1"/>
    </inkml:brush>
  </inkml:definitions>
  <inkml:trace contextRef="#ctx0" brushRef="#br0">1 279,'28'9,"-9"-1,14-1,0-2,1 0,65-2,-49-2,927 5,-672-8,-286 1,0-1,0-1,0-1,0-1,32-12,20-5,-1 0,-38 12,53-11,44-2,-1-6,192-71,-276 85,1 2,1 3,0 1,85-6,191 15,-163 4,488-4,-586 3,96 17,-8 0,-115-15,0 2,0 1,61 24,-85-28,-1 0,-1 0,1 1,-1 0,0 1,0 0,0 0,6 8,27 19,-17-16,0-2,0-1,1-1,1-1,0-1,1-1,0-2,1-1,37 6,-22-9,-16-3,0 2,0 1,0 1,-1 1,44 16,-69-21,1-1,-1 1,0-1,1 1,-1-1,0 1,1 0,-1 0,0 0,0 0,0 0,0 0,0 0,0 0,0 0,0 0,0 0,0 3,-1-4,0 1,0 0,-1-1,1 1,0 0,-1-1,1 1,-1-1,1 1,-1-1,1 1,-1-1,1 1,-1-1,1 0,-1 1,0-1,1 0,-1 1,1-1,-1 0,0 0,1 0,-1 1,-1-1,-9 2,-1 0,0-1,-12 1,-381-5,277-7,14 0,-666 7,394 5,-843-2,1202 2,-43 7,-22 1,-197-10,-28 1,222 7,57-4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2:51.426"/>
    </inkml:context>
    <inkml:brush xml:id="br0">
      <inkml:brushProperty name="width" value="0.4" units="cm"/>
      <inkml:brushProperty name="height" value="0.8" units="cm"/>
      <inkml:brushProperty name="color" value="#00F900"/>
      <inkml:brushProperty name="tip" value="rectangle"/>
      <inkml:brushProperty name="rasterOp" value="maskPen"/>
      <inkml:brushProperty name="ignorePressure" value="1"/>
    </inkml:brush>
  </inkml:definitions>
  <inkml:trace contextRef="#ctx0" brushRef="#br0">3601 150,'-178'-2,"-190"5,348-1,-1 2,-37 10,38-8,0-1,-1-1,-27 2,-349-4,190-4,186 1,0-1,0-2,-36-9,-22-5,59 15,1-1,0-1,1-1,-1 0,-24-13,10 5,0 2,-1 2,-43-8,-108-9,114 19,-125-11,-185 16,201 5,-447-2,620 0,1 0,-1 0,0 1,1 0,-1 0,-10 4,15-5,1 1,-1 0,0 0,0 1,0-1,1 0,-1 1,0-1,1 1,-1-1,1 1,0 0,0-1,-1 1,1 0,0 0,1 0,-1 0,0 0,0 0,1 0,-1 0,1 0,0 4,-1-1,1-1,0 1,0-1,0 1,1 0,0-1,0 1,0-1,0 1,1-1,0 1,0-1,0 0,0 0,1 0,-1 0,1 0,0-1,0 1,0-1,1 0,-1 0,1 0,0 0,0-1,0 1,0-1,0 0,5 1,14 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3:04.295"/>
    </inkml:context>
    <inkml:brush xml:id="br0">
      <inkml:brushProperty name="width" value="0.4" units="cm"/>
      <inkml:brushProperty name="height" value="0.8" units="cm"/>
      <inkml:brushProperty name="color" value="#FF8517"/>
      <inkml:brushProperty name="tip" value="rectangle"/>
      <inkml:brushProperty name="rasterOp" value="maskPen"/>
      <inkml:brushProperty name="ignorePressure" value="1"/>
    </inkml:brush>
  </inkml:definitions>
  <inkml:trace contextRef="#ctx0" brushRef="#br0">10 63,'-1'0,"0"-1,1 1,-1 0,0-1,1 0,-1 1,1-1,-1 1,1-1,0 0,-1 1,1-1,-1 0,1 1,0-1,0 0,-1 0,1 1,0-1,0 0,0 0,0 1,0-1,0 0,0 0,0 0,0 1,0-1,1 0,-1-1,1 1,0 0,1 0,-1 0,0 0,0 0,1 0,-1 0,0 1,1-1,-1 0,1 1,-1-1,4 0,52-7,-56 8,422-2,-209 4,-148-3,0 3,0 3,90 19,-52 1,-26-5,107 13,64 4,17 2,-210-31,59 17,53 7,-9-26,-63-4,93 17,-71-9,5 1,950-10,-522-3,-338 4,247-5,-167-28,-248 25,-26 3,-19 3,0 0,-1 0,1 0,0 0,0 0,0 0,0 0,0 0,0 0,0 0,0 0,0 0,0 0,0 0,-1 0,1 0,0 0,0 0,0 0,0 0,0 0,0 0,0 0,0 0,0 0,0 0,0 0,0 0,0-1,0 1,0 0,0 0,0 0,-1 0,1 0,0 0,0 0,0 0,0 0,0 0,0 0,0 0,0-1,0 1,0 0,0 0,0 0,0 0,0 0,0 0,0 0,0 0,-36-3,10 1,0-4,1-2,0-2,0 0,1-1,-37-24,-2 0,17 14,0 1,-2 3,0 2,-91-17,75 25,0 3,-101 6,52 0,-1599-2,1219-38,463 35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3:06.150"/>
    </inkml:context>
    <inkml:brush xml:id="br0">
      <inkml:brushProperty name="width" value="0.4" units="cm"/>
      <inkml:brushProperty name="height" value="0.8" units="cm"/>
      <inkml:brushProperty name="color" value="#FF8517"/>
      <inkml:brushProperty name="tip" value="rectangle"/>
      <inkml:brushProperty name="rasterOp" value="maskPen"/>
      <inkml:brushProperty name="ignorePressure" value="1"/>
    </inkml:brush>
  </inkml:definitions>
  <inkml:trace contextRef="#ctx0" brushRef="#br0">1580 41,'-1'2,"1"-1,0 1,0-1,-1 1,1-1,-1 0,1 1,-1-1,1 0,-1 1,0-1,0 0,0 0,0 1,0-1,0 0,0 0,0 0,0 0,0-1,0 1,-1 0,1 0,0-1,-1 1,1-1,-1 1,1-1,-2 1,-7 1,0 0,-1 0,-13-1,12 0,-455 4,248-8,72 5,-166-4,279-2,1-2,-1-1,-53-19,-40-9,104 31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3:12.609"/>
    </inkml:context>
    <inkml:brush xml:id="br0">
      <inkml:brushProperty name="width" value="0.4" units="cm"/>
      <inkml:brushProperty name="height" value="0.8" units="cm"/>
      <inkml:brushProperty name="color" value="#EF0C4D"/>
      <inkml:brushProperty name="tip" value="rectangle"/>
      <inkml:brushProperty name="rasterOp" value="maskPen"/>
      <inkml:brushProperty name="ignorePressure" value="1"/>
    </inkml:brush>
  </inkml:definitions>
  <inkml:trace contextRef="#ctx0" brushRef="#br0">5034 0,'5'14,"2"0,0-1,0 0,2 0,9 12,12 18,-29-42,0 1,0 0,0-1,0 1,0 0,0 0,-1-1,1 1,-1 0,1 0,-1 0,0 0,0 0,0 0,0 0,0 0,0-1,-1 4,0-3,0 0,0 0,-1 0,1 0,-1 0,1 0,-1 0,1-1,-1 1,0-1,0 1,0-1,0 0,0 0,0 0,-4 2,-25 8,0-1,0-2,-56 7,61-10,-554 52,-11-43,575-14,-1845 1,805-5,692 4,344-1,0-1,1-1,-1-1,-22-7,21 5,0 1,0 0,-27-1,25 4,1-1,0-1,-1-1,2-1,-32-13,31 10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9T12:13:14.465"/>
    </inkml:context>
    <inkml:brush xml:id="br0">
      <inkml:brushProperty name="width" value="0.4" units="cm"/>
      <inkml:brushProperty name="height" value="0.8" units="cm"/>
      <inkml:brushProperty name="color" value="#EF0C4D"/>
      <inkml:brushProperty name="tip" value="rectangle"/>
      <inkml:brushProperty name="rasterOp" value="maskPen"/>
      <inkml:brushProperty name="ignorePressure" value="1"/>
    </inkml:brush>
  </inkml:definitions>
  <inkml:trace contextRef="#ctx0" brushRef="#br0">2646 305,'0'0,"1"-1,0 0,-1 0,1 0,0 0,-1 0,1 0,-1 0,1 0,-1 0,0 0,1 0,-1 0,0 0,0 0,0 0,0 0,0 0,0 0,0 0,0 0,0 0,0-1,-1-1,-1 0,1 0,-1 0,0 0,1 0,-1 0,-1 0,-4-5,-2 0,-1-1,0 1,-15-9,12 9,0 2,-1 0,0 0,0 1,0 1,-29-5,-91-1,41 5,48 1,5 2,1-3,0-1,-48-14,51 9,-1 2,0 2,-1 1,0 2,-60 1,-598 5,675-3,0-1,1 0,-1-2,1-1,-31-10,25 8,-1 2,-1 1,1 2,-1 0,-53 5,-7-1,-342-22,351 16,51-1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9T12:13:23.212"/>
    </inkml:context>
    <inkml:brush xml:id="br0">
      <inkml:brushProperty name="width" value="0.4" units="cm"/>
      <inkml:brushProperty name="height" value="0.8" units="cm"/>
      <inkml:brushProperty name="color" value="#00B44B"/>
      <inkml:brushProperty name="tip" value="rectangle"/>
      <inkml:brushProperty name="rasterOp" value="maskPen"/>
      <inkml:brushProperty name="ignorePressure" value="1"/>
    </inkml:brush>
  </inkml:definitions>
  <inkml:trace contextRef="#ctx0" brushRef="#br0">4170 4 0,'-4170'0'0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9T12:13:53.128"/>
    </inkml:context>
    <inkml:brush xml:id="br0">
      <inkml:brushProperty name="width" value="0.4" units="cm"/>
      <inkml:brushProperty name="height" value="0.8" units="cm"/>
      <inkml:brushProperty name="color" value="#00B44B"/>
      <inkml:brushProperty name="tip" value="rectangle"/>
      <inkml:brushProperty name="rasterOp" value="maskPen"/>
      <inkml:brushProperty name="ignorePressure" value="1"/>
    </inkml:brush>
  </inkml:definitions>
  <inkml:trace contextRef="#ctx0" brushRef="#br0">4234 10 0,'-4234'0'0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4REAL" refreshedDate="46178.620146643516" createdVersion="8" refreshedVersion="8" minRefreshableVersion="3" recordCount="2000" xr:uid="{417E4A91-F8B0-4DF2-85CA-5266B73641FD}">
  <cacheSource type="worksheet">
    <worksheetSource ref="A1:N2001" sheet="shopify_pakistan_sales_2k-1"/>
  </cacheSource>
  <cacheFields count="14">
    <cacheField name="Order ID" numFmtId="0">
      <sharedItems/>
    </cacheField>
    <cacheField name="Order Date" numFmtId="14">
      <sharedItems containsSemiMixedTypes="0" containsNonDate="0" containsDate="1" containsString="0" minDate="2025-02-17T00:00:00" maxDate="2026-02-18T00:00:00" count="364">
        <d v="2025-06-24T00:00:00"/>
        <d v="2025-11-12T00:00:00"/>
        <d v="2025-10-26T00:00:00"/>
        <d v="2025-11-03T00:00:00"/>
        <d v="2025-03-24T00:00:00"/>
        <d v="2026-01-20T00:00:00"/>
        <d v="2026-02-14T00:00:00"/>
        <d v="2025-09-26T00:00:00"/>
        <d v="2025-09-28T00:00:00"/>
        <d v="2026-01-13T00:00:00"/>
        <d v="2026-01-10T00:00:00"/>
        <d v="2025-03-10T00:00:00"/>
        <d v="2026-02-16T00:00:00"/>
        <d v="2025-02-24T00:00:00"/>
        <d v="2026-01-08T00:00:00"/>
        <d v="2025-08-03T00:00:00"/>
        <d v="2025-08-15T00:00:00"/>
        <d v="2025-03-22T00:00:00"/>
        <d v="2025-11-16T00:00:00"/>
        <d v="2025-04-04T00:00:00"/>
        <d v="2025-04-20T00:00:00"/>
        <d v="2025-11-11T00:00:00"/>
        <d v="2025-04-02T00:00:00"/>
        <d v="2025-08-05T00:00:00"/>
        <d v="2026-01-23T00:00:00"/>
        <d v="2025-05-22T00:00:00"/>
        <d v="2025-05-14T00:00:00"/>
        <d v="2026-01-12T00:00:00"/>
        <d v="2026-02-01T00:00:00"/>
        <d v="2025-11-08T00:00:00"/>
        <d v="2025-10-25T00:00:00"/>
        <d v="2025-07-26T00:00:00"/>
        <d v="2025-12-24T00:00:00"/>
        <d v="2025-07-20T00:00:00"/>
        <d v="2025-12-11T00:00:00"/>
        <d v="2025-09-11T00:00:00"/>
        <d v="2025-11-13T00:00:00"/>
        <d v="2025-11-17T00:00:00"/>
        <d v="2025-07-10T00:00:00"/>
        <d v="2025-12-29T00:00:00"/>
        <d v="2025-07-15T00:00:00"/>
        <d v="2025-10-18T00:00:00"/>
        <d v="2025-09-04T00:00:00"/>
        <d v="2025-10-06T00:00:00"/>
        <d v="2025-06-22T00:00:00"/>
        <d v="2025-10-02T00:00:00"/>
        <d v="2025-04-24T00:00:00"/>
        <d v="2025-07-24T00:00:00"/>
        <d v="2025-11-19T00:00:00"/>
        <d v="2026-01-17T00:00:00"/>
        <d v="2025-05-11T00:00:00"/>
        <d v="2026-01-09T00:00:00"/>
        <d v="2025-06-08T00:00:00"/>
        <d v="2025-03-03T00:00:00"/>
        <d v="2025-05-28T00:00:00"/>
        <d v="2026-01-18T00:00:00"/>
        <d v="2025-08-23T00:00:00"/>
        <d v="2025-10-11T00:00:00"/>
        <d v="2025-07-06T00:00:00"/>
        <d v="2025-07-27T00:00:00"/>
        <d v="2025-09-15T00:00:00"/>
        <d v="2025-02-21T00:00:00"/>
        <d v="2025-11-30T00:00:00"/>
        <d v="2025-05-05T00:00:00"/>
        <d v="2025-08-18T00:00:00"/>
        <d v="2025-07-02T00:00:00"/>
        <d v="2025-11-01T00:00:00"/>
        <d v="2025-11-27T00:00:00"/>
        <d v="2025-06-07T00:00:00"/>
        <d v="2025-03-23T00:00:00"/>
        <d v="2025-04-30T00:00:00"/>
        <d v="2025-07-22T00:00:00"/>
        <d v="2025-08-01T00:00:00"/>
        <d v="2025-03-28T00:00:00"/>
        <d v="2025-06-30T00:00:00"/>
        <d v="2025-02-18T00:00:00"/>
        <d v="2025-10-17T00:00:00"/>
        <d v="2025-07-05T00:00:00"/>
        <d v="2026-01-02T00:00:00"/>
        <d v="2025-09-22T00:00:00"/>
        <d v="2025-03-02T00:00:00"/>
        <d v="2025-07-19T00:00:00"/>
        <d v="2025-08-13T00:00:00"/>
        <d v="2025-06-13T00:00:00"/>
        <d v="2025-04-14T00:00:00"/>
        <d v="2026-01-07T00:00:00"/>
        <d v="2026-02-05T00:00:00"/>
        <d v="2025-03-30T00:00:00"/>
        <d v="2025-10-30T00:00:00"/>
        <d v="2025-12-22T00:00:00"/>
        <d v="2025-04-27T00:00:00"/>
        <d v="2025-11-25T00:00:00"/>
        <d v="2025-06-27T00:00:00"/>
        <d v="2025-05-24T00:00:00"/>
        <d v="2026-01-11T00:00:00"/>
        <d v="2025-12-27T00:00:00"/>
        <d v="2025-06-09T00:00:00"/>
        <d v="2025-09-19T00:00:00"/>
        <d v="2025-11-24T00:00:00"/>
        <d v="2025-04-17T00:00:00"/>
        <d v="2025-11-23T00:00:00"/>
        <d v="2025-03-08T00:00:00"/>
        <d v="2025-09-16T00:00:00"/>
        <d v="2025-08-12T00:00:00"/>
        <d v="2025-10-27T00:00:00"/>
        <d v="2025-08-14T00:00:00"/>
        <d v="2025-07-25T00:00:00"/>
        <d v="2025-12-07T00:00:00"/>
        <d v="2025-12-01T00:00:00"/>
        <d v="2025-07-30T00:00:00"/>
        <d v="2025-08-09T00:00:00"/>
        <d v="2025-07-31T00:00:00"/>
        <d v="2025-07-28T00:00:00"/>
        <d v="2025-08-29T00:00:00"/>
        <d v="2025-09-25T00:00:00"/>
        <d v="2025-04-09T00:00:00"/>
        <d v="2025-06-15T00:00:00"/>
        <d v="2025-06-04T00:00:00"/>
        <d v="2025-06-03T00:00:00"/>
        <d v="2025-12-08T00:00:00"/>
        <d v="2025-05-01T00:00:00"/>
        <d v="2026-02-03T00:00:00"/>
        <d v="2025-10-10T00:00:00"/>
        <d v="2025-08-06T00:00:00"/>
        <d v="2025-05-10T00:00:00"/>
        <d v="2025-08-24T00:00:00"/>
        <d v="2026-02-17T00:00:00"/>
        <d v="2025-03-12T00:00:00"/>
        <d v="2025-07-04T00:00:00"/>
        <d v="2025-06-10T00:00:00"/>
        <d v="2025-03-15T00:00:00"/>
        <d v="2025-02-17T00:00:00"/>
        <d v="2025-10-28T00:00:00"/>
        <d v="2025-07-29T00:00:00"/>
        <d v="2025-08-26T00:00:00"/>
        <d v="2025-10-29T00:00:00"/>
        <d v="2025-09-30T00:00:00"/>
        <d v="2025-06-25T00:00:00"/>
        <d v="2026-01-29T00:00:00"/>
        <d v="2026-01-26T00:00:00"/>
        <d v="2025-04-25T00:00:00"/>
        <d v="2025-08-31T00:00:00"/>
        <d v="2025-11-20T00:00:00"/>
        <d v="2026-01-28T00:00:00"/>
        <d v="2025-05-29T00:00:00"/>
        <d v="2025-09-14T00:00:00"/>
        <d v="2025-08-28T00:00:00"/>
        <d v="2025-07-03T00:00:00"/>
        <d v="2025-08-04T00:00:00"/>
        <d v="2025-06-01T00:00:00"/>
        <d v="2025-06-02T00:00:00"/>
        <d v="2025-12-13T00:00:00"/>
        <d v="2025-08-08T00:00:00"/>
        <d v="2026-02-10T00:00:00"/>
        <d v="2025-05-07T00:00:00"/>
        <d v="2025-05-15T00:00:00"/>
        <d v="2025-11-14T00:00:00"/>
        <d v="2025-11-04T00:00:00"/>
        <d v="2026-02-09T00:00:00"/>
        <d v="2025-08-10T00:00:00"/>
        <d v="2025-05-09T00:00:00"/>
        <d v="2025-02-25T00:00:00"/>
        <d v="2025-09-06T00:00:00"/>
        <d v="2025-09-03T00:00:00"/>
        <d v="2025-06-28T00:00:00"/>
        <d v="2025-09-18T00:00:00"/>
        <d v="2025-07-23T00:00:00"/>
        <d v="2025-04-06T00:00:00"/>
        <d v="2025-04-19T00:00:00"/>
        <d v="2026-02-02T00:00:00"/>
        <d v="2025-08-02T00:00:00"/>
        <d v="2025-07-07T00:00:00"/>
        <d v="2025-11-21T00:00:00"/>
        <d v="2025-05-20T00:00:00"/>
        <d v="2025-06-16T00:00:00"/>
        <d v="2025-07-09T00:00:00"/>
        <d v="2025-12-16T00:00:00"/>
        <d v="2025-10-01T00:00:00"/>
        <d v="2025-05-02T00:00:00"/>
        <d v="2026-01-30T00:00:00"/>
        <d v="2025-11-15T00:00:00"/>
        <d v="2025-12-17T00:00:00"/>
        <d v="2026-01-03T00:00:00"/>
        <d v="2025-09-17T00:00:00"/>
        <d v="2025-05-08T00:00:00"/>
        <d v="2025-04-26T00:00:00"/>
        <d v="2025-11-10T00:00:00"/>
        <d v="2025-05-30T00:00:00"/>
        <d v="2025-12-03T00:00:00"/>
        <d v="2025-03-04T00:00:00"/>
        <d v="2025-06-21T00:00:00"/>
        <d v="2025-04-03T00:00:00"/>
        <d v="2026-02-12T00:00:00"/>
        <d v="2025-05-13T00:00:00"/>
        <d v="2026-02-15T00:00:00"/>
        <d v="2025-05-18T00:00:00"/>
        <d v="2025-05-21T00:00:00"/>
        <d v="2025-07-21T00:00:00"/>
        <d v="2025-07-08T00:00:00"/>
        <d v="2025-05-16T00:00:00"/>
        <d v="2025-03-19T00:00:00"/>
        <d v="2025-02-19T00:00:00"/>
        <d v="2025-10-21T00:00:00"/>
        <d v="2025-05-31T00:00:00"/>
        <d v="2025-10-19T00:00:00"/>
        <d v="2025-04-16T00:00:00"/>
        <d v="2025-07-14T00:00:00"/>
        <d v="2025-05-17T00:00:00"/>
        <d v="2025-11-06T00:00:00"/>
        <d v="2025-12-02T00:00:00"/>
        <d v="2026-01-15T00:00:00"/>
        <d v="2025-12-04T00:00:00"/>
        <d v="2026-01-19T00:00:00"/>
        <d v="2025-10-24T00:00:00"/>
        <d v="2025-06-12T00:00:00"/>
        <d v="2025-04-05T00:00:00"/>
        <d v="2025-10-04T00:00:00"/>
        <d v="2025-08-07T00:00:00"/>
        <d v="2025-09-27T00:00:00"/>
        <d v="2025-04-29T00:00:00"/>
        <d v="2025-11-26T00:00:00"/>
        <d v="2026-01-25T00:00:00"/>
        <d v="2025-03-21T00:00:00"/>
        <d v="2025-12-12T00:00:00"/>
        <d v="2025-12-14T00:00:00"/>
        <d v="2026-01-22T00:00:00"/>
        <d v="2025-10-22T00:00:00"/>
        <d v="2025-06-17T00:00:00"/>
        <d v="2025-03-31T00:00:00"/>
        <d v="2025-12-20T00:00:00"/>
        <d v="2025-09-13T00:00:00"/>
        <d v="2025-02-26T00:00:00"/>
        <d v="2025-04-07T00:00:00"/>
        <d v="2025-09-20T00:00:00"/>
        <d v="2025-11-05T00:00:00"/>
        <d v="2025-02-28T00:00:00"/>
        <d v="2025-10-03T00:00:00"/>
        <d v="2025-03-01T00:00:00"/>
        <d v="2025-12-10T00:00:00"/>
        <d v="2025-03-14T00:00:00"/>
        <d v="2025-10-05T00:00:00"/>
        <d v="2025-04-23T00:00:00"/>
        <d v="2026-02-11T00:00:00"/>
        <d v="2025-12-25T00:00:00"/>
        <d v="2025-04-10T00:00:00"/>
        <d v="2025-03-11T00:00:00"/>
        <d v="2025-03-05T00:00:00"/>
        <d v="2025-09-08T00:00:00"/>
        <d v="2026-01-04T00:00:00"/>
        <d v="2026-01-31T00:00:00"/>
        <d v="2025-02-22T00:00:00"/>
        <d v="2025-05-12T00:00:00"/>
        <d v="2025-10-12T00:00:00"/>
        <d v="2025-11-29T00:00:00"/>
        <d v="2025-09-21T00:00:00"/>
        <d v="2026-01-27T00:00:00"/>
        <d v="2025-03-13T00:00:00"/>
        <d v="2026-02-04T00:00:00"/>
        <d v="2025-04-01T00:00:00"/>
        <d v="2026-02-08T00:00:00"/>
        <d v="2025-06-26T00:00:00"/>
        <d v="2026-02-07T00:00:00"/>
        <d v="2025-12-31T00:00:00"/>
        <d v="2025-12-23T00:00:00"/>
        <d v="2025-09-23T00:00:00"/>
        <d v="2025-04-08T00:00:00"/>
        <d v="2025-06-05T00:00:00"/>
        <d v="2025-06-20T00:00:00"/>
        <d v="2025-04-18T00:00:00"/>
        <d v="2025-04-12T00:00:00"/>
        <d v="2025-12-05T00:00:00"/>
        <d v="2025-10-14T00:00:00"/>
        <d v="2026-01-21T00:00:00"/>
        <d v="2025-11-22T00:00:00"/>
        <d v="2025-09-29T00:00:00"/>
        <d v="2025-12-18T00:00:00"/>
        <d v="2025-07-17T00:00:00"/>
        <d v="2026-01-05T00:00:00"/>
        <d v="2025-03-18T00:00:00"/>
        <d v="2025-02-27T00:00:00"/>
        <d v="2026-01-14T00:00:00"/>
        <d v="2025-11-02T00:00:00"/>
        <d v="2025-10-07T00:00:00"/>
        <d v="2025-03-16T00:00:00"/>
        <d v="2025-10-15T00:00:00"/>
        <d v="2025-05-23T00:00:00"/>
        <d v="2025-06-23T00:00:00"/>
        <d v="2025-10-08T00:00:00"/>
        <d v="2025-06-18T00:00:00"/>
        <d v="2025-05-03T00:00:00"/>
        <d v="2025-05-26T00:00:00"/>
        <d v="2025-04-21T00:00:00"/>
        <d v="2025-09-05T00:00:00"/>
        <d v="2025-09-01T00:00:00"/>
        <d v="2025-03-07T00:00:00"/>
        <d v="2025-05-04T00:00:00"/>
        <d v="2025-07-01T00:00:00"/>
        <d v="2025-10-23T00:00:00"/>
        <d v="2025-12-21T00:00:00"/>
        <d v="2025-03-20T00:00:00"/>
        <d v="2025-03-17T00:00:00"/>
        <d v="2025-10-20T00:00:00"/>
        <d v="2025-08-11T00:00:00"/>
        <d v="2025-07-16T00:00:00"/>
        <d v="2025-06-11T00:00:00"/>
        <d v="2025-12-09T00:00:00"/>
        <d v="2025-04-15T00:00:00"/>
        <d v="2025-10-31T00:00:00"/>
        <d v="2025-08-17T00:00:00"/>
        <d v="2025-06-06T00:00:00"/>
        <d v="2025-11-07T00:00:00"/>
        <d v="2025-08-27T00:00:00"/>
        <d v="2025-07-18T00:00:00"/>
        <d v="2025-05-25T00:00:00"/>
        <d v="2025-08-30T00:00:00"/>
        <d v="2025-12-28T00:00:00"/>
        <d v="2025-06-14T00:00:00"/>
        <d v="2025-07-13T00:00:00"/>
        <d v="2025-03-06T00:00:00"/>
        <d v="2025-03-27T00:00:00"/>
        <d v="2025-03-26T00:00:00"/>
        <d v="2025-02-20T00:00:00"/>
        <d v="2025-11-18T00:00:00"/>
        <d v="2025-07-12T00:00:00"/>
        <d v="2025-06-29T00:00:00"/>
        <d v="2025-09-07T00:00:00"/>
        <d v="2025-08-19T00:00:00"/>
        <d v="2025-07-11T00:00:00"/>
        <d v="2025-08-25T00:00:00"/>
        <d v="2025-12-30T00:00:00"/>
        <d v="2025-03-25T00:00:00"/>
        <d v="2025-12-06T00:00:00"/>
        <d v="2025-09-12T00:00:00"/>
        <d v="2025-04-11T00:00:00"/>
        <d v="2025-08-16T00:00:00"/>
        <d v="2025-10-13T00:00:00"/>
        <d v="2026-02-13T00:00:00"/>
        <d v="2025-03-29T00:00:00"/>
        <d v="2025-08-20T00:00:00"/>
        <d v="2025-04-28T00:00:00"/>
        <d v="2025-08-21T00:00:00"/>
        <d v="2025-08-22T00:00:00"/>
        <d v="2025-05-19T00:00:00"/>
        <d v="2025-04-22T00:00:00"/>
        <d v="2025-03-09T00:00:00"/>
        <d v="2025-06-19T00:00:00"/>
        <d v="2025-09-24T00:00:00"/>
        <d v="2025-11-28T00:00:00"/>
        <d v="2025-12-26T00:00:00"/>
        <d v="2025-05-27T00:00:00"/>
        <d v="2025-05-06T00:00:00"/>
        <d v="2025-09-02T00:00:00"/>
        <d v="2026-01-01T00:00:00"/>
        <d v="2026-01-24T00:00:00"/>
        <d v="2026-01-06T00:00:00"/>
        <d v="2026-02-06T00:00:00"/>
        <d v="2025-04-13T00:00:00"/>
        <d v="2025-11-09T00:00:00"/>
        <d v="2025-12-19T00:00:00"/>
        <d v="2025-02-23T00:00:00"/>
        <d v="2025-12-15T00:00:00"/>
        <d v="2025-09-10T00:00:00"/>
        <d v="2025-10-16T00:00:00"/>
        <d v="2026-01-16T00:00:00"/>
      </sharedItems>
    </cacheField>
    <cacheField name="Customer Name" numFmtId="0">
      <sharedItems/>
    </cacheField>
    <cacheField name="Email" numFmtId="0">
      <sharedItems/>
    </cacheField>
    <cacheField name="Phone" numFmtId="164">
      <sharedItems containsSemiMixedTypes="0" containsString="0" containsNumber="1" containsInteger="1" minValue="923000034243" maxValue="923499707353"/>
    </cacheField>
    <cacheField name="City" numFmtId="0">
      <sharedItems count="10">
        <s v="Islamabad"/>
        <s v="Hyderabad"/>
        <s v="Karachi"/>
        <s v="Quetta"/>
        <s v="Peshawar"/>
        <s v="Faisalabad"/>
        <s v="Rawalpindi"/>
        <s v="Lahore"/>
        <s v="Multan"/>
        <s v="Sialkot"/>
      </sharedItems>
    </cacheField>
    <cacheField name="Province" numFmtId="0">
      <sharedItems/>
    </cacheField>
    <cacheField name="Product Category" numFmtId="0">
      <sharedItems count="6">
        <s v="Beauty"/>
        <s v="Footwear"/>
        <s v="Home Decor"/>
        <s v="Electronics"/>
        <s v="Fashion"/>
        <s v="Accessories"/>
      </sharedItems>
    </cacheField>
    <cacheField name="Quantity" numFmtId="0">
      <sharedItems containsSemiMixedTypes="0" containsString="0" containsNumber="1" containsInteger="1" minValue="1" maxValue="9"/>
    </cacheField>
    <cacheField name="Unit Price (PKR)" numFmtId="0">
      <sharedItems containsSemiMixedTypes="0" containsString="0" containsNumber="1" containsInteger="1" minValue="1001" maxValue="14998"/>
    </cacheField>
    <cacheField name="Total Sales (PKR)" numFmtId="0">
      <sharedItems containsSemiMixedTypes="0" containsString="0" containsNumber="1" containsInteger="1" minValue="1031" maxValue="74405"/>
    </cacheField>
    <cacheField name="Payment Method" numFmtId="0">
      <sharedItems count="6">
        <s v="Credit Card"/>
        <s v="EasyPaisa"/>
        <s v="COD"/>
        <s v="Bank Transfer"/>
        <s v="Debit Card"/>
        <s v="JazzCash"/>
      </sharedItems>
    </cacheField>
    <cacheField name="Acquisition Source" numFmtId="0">
      <sharedItems count="8">
        <s v="TikTok Ads"/>
        <s v="Facebook Ads"/>
        <s v="Organic Search"/>
        <s v="Direct"/>
        <s v="Referral"/>
        <s v="Instagram Ads"/>
        <s v="Email Marketing"/>
        <s v="Google Ads"/>
      </sharedItems>
    </cacheField>
    <cacheField name="Order Status" numFmtId="0">
      <sharedItems count="4">
        <s v="Cancelled"/>
        <s v="Paid"/>
        <s v="Pending"/>
        <s v="Fulfilled"/>
      </sharedItems>
    </cacheField>
  </cacheFields>
  <extLst>
    <ext xmlns:x14="http://schemas.microsoft.com/office/spreadsheetml/2009/9/main" uri="{725AE2AE-9491-48be-B2B4-4EB974FC3084}">
      <x14:pivotCacheDefinition pivotCacheId="1213603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K-100001"/>
    <x v="0"/>
    <s v="Christopher Hammond"/>
    <s v="tlowe@ford-campos.info"/>
    <n v="923243997420"/>
    <x v="0"/>
    <s v="Pakistan"/>
    <x v="0"/>
    <n v="9"/>
    <n v="7945"/>
    <n v="39725"/>
    <x v="0"/>
    <x v="0"/>
    <x v="0"/>
  </r>
  <r>
    <s v="PK-100002"/>
    <x v="1"/>
    <s v="Jeremy Thompson"/>
    <s v="abigail66@james.info"/>
    <n v="923321060239"/>
    <x v="0"/>
    <s v="Pakistan"/>
    <x v="0"/>
    <n v="1"/>
    <n v="6676"/>
    <n v="6676"/>
    <x v="1"/>
    <x v="1"/>
    <x v="1"/>
  </r>
  <r>
    <s v="PK-100003"/>
    <x v="2"/>
    <s v="Maria Love"/>
    <s v="gpatton@gmail.com"/>
    <n v="923388726076"/>
    <x v="1"/>
    <s v="Pakistan"/>
    <x v="1"/>
    <n v="3"/>
    <n v="2829"/>
    <n v="8487"/>
    <x v="0"/>
    <x v="2"/>
    <x v="2"/>
  </r>
  <r>
    <s v="PK-100004"/>
    <x v="3"/>
    <s v="Mary Thompson"/>
    <s v="danielclark@morris.com"/>
    <n v="923080718797"/>
    <x v="0"/>
    <s v="Pakistan"/>
    <x v="2"/>
    <n v="8"/>
    <n v="6001"/>
    <n v="24004"/>
    <x v="2"/>
    <x v="1"/>
    <x v="2"/>
  </r>
  <r>
    <s v="PK-100005"/>
    <x v="4"/>
    <s v="Glen Perez"/>
    <s v="scooke@hotmail.com"/>
    <n v="923259607706"/>
    <x v="2"/>
    <s v="Pakistan"/>
    <x v="2"/>
    <n v="2"/>
    <n v="9641"/>
    <n v="19282"/>
    <x v="1"/>
    <x v="3"/>
    <x v="1"/>
  </r>
  <r>
    <s v="PK-100006"/>
    <x v="5"/>
    <s v="Sherri Griffin"/>
    <s v="johnsonjason@dunlap-martinez.net"/>
    <n v="923377364020"/>
    <x v="3"/>
    <s v="Pakistan"/>
    <x v="3"/>
    <n v="3"/>
    <n v="2933"/>
    <n v="8799"/>
    <x v="1"/>
    <x v="3"/>
    <x v="1"/>
  </r>
  <r>
    <s v="PK-100007"/>
    <x v="6"/>
    <s v="Carla Gomez"/>
    <s v="michelle64@gmail.com"/>
    <n v="923452272073"/>
    <x v="4"/>
    <s v="Pakistan"/>
    <x v="3"/>
    <n v="1"/>
    <n v="12431"/>
    <n v="12431"/>
    <x v="0"/>
    <x v="4"/>
    <x v="0"/>
  </r>
  <r>
    <s v="PK-100008"/>
    <x v="7"/>
    <s v="Charles King"/>
    <s v="danielle31@gmail.com"/>
    <n v="923334736769"/>
    <x v="0"/>
    <s v="Pakistan"/>
    <x v="4"/>
    <n v="1"/>
    <n v="6065"/>
    <n v="6065"/>
    <x v="2"/>
    <x v="3"/>
    <x v="2"/>
  </r>
  <r>
    <s v="PK-100009"/>
    <x v="8"/>
    <s v="Robert Hoffman"/>
    <s v="bobdowns@gmail.com"/>
    <n v="923292400325"/>
    <x v="4"/>
    <s v="Pakistan"/>
    <x v="1"/>
    <n v="2"/>
    <n v="2313"/>
    <n v="4626"/>
    <x v="3"/>
    <x v="0"/>
    <x v="2"/>
  </r>
  <r>
    <s v="PK-100010"/>
    <x v="9"/>
    <s v="Jerry Walters"/>
    <s v="qlewis@gmail.com"/>
    <n v="923446692755"/>
    <x v="5"/>
    <s v="Pakistan"/>
    <x v="4"/>
    <n v="5"/>
    <n v="8597"/>
    <n v="42985"/>
    <x v="4"/>
    <x v="4"/>
    <x v="3"/>
  </r>
  <r>
    <s v="PK-100011"/>
    <x v="10"/>
    <s v="John Schmidt"/>
    <s v="mitchell19@payne-parker.com"/>
    <n v="923005765917"/>
    <x v="5"/>
    <s v="Pakistan"/>
    <x v="5"/>
    <n v="5"/>
    <n v="9734"/>
    <n v="48670"/>
    <x v="0"/>
    <x v="3"/>
    <x v="2"/>
  </r>
  <r>
    <s v="PK-100012"/>
    <x v="11"/>
    <s v="Timothy Harper"/>
    <s v="julie38@wells.com"/>
    <n v="923257211714"/>
    <x v="6"/>
    <s v="Pakistan"/>
    <x v="3"/>
    <n v="1"/>
    <n v="5515"/>
    <n v="5515"/>
    <x v="5"/>
    <x v="2"/>
    <x v="1"/>
  </r>
  <r>
    <s v="PK-100013"/>
    <x v="12"/>
    <s v="Amanda Duncan"/>
    <s v="michael05@rodriguez.net"/>
    <n v="923397664768"/>
    <x v="6"/>
    <s v="Pakistan"/>
    <x v="1"/>
    <n v="2"/>
    <n v="2355"/>
    <n v="4710"/>
    <x v="0"/>
    <x v="5"/>
    <x v="2"/>
  </r>
  <r>
    <s v="PK-100014"/>
    <x v="13"/>
    <s v="Tami Nichols"/>
    <s v="susancarson@osborne-kelly.org"/>
    <n v="923096548102"/>
    <x v="0"/>
    <s v="Pakistan"/>
    <x v="1"/>
    <n v="3"/>
    <n v="2079"/>
    <n v="6237"/>
    <x v="1"/>
    <x v="1"/>
    <x v="2"/>
  </r>
  <r>
    <s v="PK-100015"/>
    <x v="14"/>
    <s v="Warren Bradley"/>
    <s v="zshah@hotmail.com"/>
    <n v="923397763573"/>
    <x v="4"/>
    <s v="Pakistan"/>
    <x v="0"/>
    <n v="4"/>
    <n v="3897"/>
    <n v="15588"/>
    <x v="4"/>
    <x v="4"/>
    <x v="3"/>
  </r>
  <r>
    <s v="PK-100016"/>
    <x v="15"/>
    <s v="Amber Green"/>
    <s v="shawn59@york.info"/>
    <n v="923277429970"/>
    <x v="7"/>
    <s v="Pakistan"/>
    <x v="3"/>
    <n v="2"/>
    <n v="8432"/>
    <n v="16864"/>
    <x v="2"/>
    <x v="6"/>
    <x v="0"/>
  </r>
  <r>
    <s v="PK-100017"/>
    <x v="16"/>
    <s v="Lori Zimmerman"/>
    <s v="turnerlori@lee-rivas.com"/>
    <n v="923225707422"/>
    <x v="2"/>
    <s v="Pakistan"/>
    <x v="5"/>
    <n v="4"/>
    <n v="2139"/>
    <n v="8556"/>
    <x v="5"/>
    <x v="5"/>
    <x v="1"/>
  </r>
  <r>
    <s v="PK-100018"/>
    <x v="17"/>
    <s v="Heather Cooper"/>
    <s v="debra86@yahoo.com"/>
    <n v="923142864654"/>
    <x v="2"/>
    <s v="Pakistan"/>
    <x v="1"/>
    <n v="1"/>
    <n v="7896"/>
    <n v="7896"/>
    <x v="2"/>
    <x v="2"/>
    <x v="1"/>
  </r>
  <r>
    <s v="PK-100019"/>
    <x v="18"/>
    <s v="Jennifer Sims"/>
    <s v="cisnerosmisty@ramsey-hensley.com"/>
    <n v="923140511347"/>
    <x v="6"/>
    <s v="Pakistan"/>
    <x v="0"/>
    <n v="5"/>
    <n v="3493"/>
    <n v="17465"/>
    <x v="1"/>
    <x v="4"/>
    <x v="3"/>
  </r>
  <r>
    <s v="PK-100020"/>
    <x v="19"/>
    <s v="Stephanie Baldwin"/>
    <s v="ojackson@davidson.com"/>
    <n v="923233214407"/>
    <x v="8"/>
    <s v="Pakistan"/>
    <x v="1"/>
    <n v="1"/>
    <n v="13067"/>
    <n v="13067"/>
    <x v="1"/>
    <x v="1"/>
    <x v="0"/>
  </r>
  <r>
    <s v="PK-100021"/>
    <x v="12"/>
    <s v="Cheryl Pope"/>
    <s v="smalljohn@smith-gonzalez.com"/>
    <n v="923201362694"/>
    <x v="2"/>
    <s v="Pakistan"/>
    <x v="1"/>
    <n v="4"/>
    <n v="8869"/>
    <n v="35476"/>
    <x v="1"/>
    <x v="4"/>
    <x v="3"/>
  </r>
  <r>
    <s v="PK-100022"/>
    <x v="20"/>
    <s v="Lauren Ayala"/>
    <s v="palmererin@pennington-fischer.com"/>
    <n v="923343263917"/>
    <x v="7"/>
    <s v="Pakistan"/>
    <x v="3"/>
    <n v="1"/>
    <n v="11272"/>
    <n v="11272"/>
    <x v="1"/>
    <x v="4"/>
    <x v="0"/>
  </r>
  <r>
    <s v="PK-100023"/>
    <x v="21"/>
    <s v="William Jensen"/>
    <s v="idonaldson@goodwin-manning.com"/>
    <n v="923116053263"/>
    <x v="3"/>
    <s v="Pakistan"/>
    <x v="4"/>
    <n v="1"/>
    <n v="6404"/>
    <n v="6404"/>
    <x v="3"/>
    <x v="6"/>
    <x v="3"/>
  </r>
  <r>
    <s v="PK-100024"/>
    <x v="22"/>
    <s v="Jeremy Rush"/>
    <s v="robinsonheather@hotmail.com"/>
    <n v="923462903430"/>
    <x v="0"/>
    <s v="Pakistan"/>
    <x v="3"/>
    <n v="4"/>
    <n v="12456"/>
    <n v="49824"/>
    <x v="0"/>
    <x v="0"/>
    <x v="0"/>
  </r>
  <r>
    <s v="PK-100025"/>
    <x v="23"/>
    <s v="Joseph Bennett"/>
    <s v="chadshepherd@gmail.com"/>
    <n v="923473643233"/>
    <x v="9"/>
    <s v="Pakistan"/>
    <x v="3"/>
    <n v="4"/>
    <n v="6576"/>
    <n v="26304"/>
    <x v="3"/>
    <x v="6"/>
    <x v="1"/>
  </r>
  <r>
    <s v="PK-100026"/>
    <x v="24"/>
    <s v="Mr. Brian Smith"/>
    <s v="evansjacob@reid.biz"/>
    <n v="923365360273"/>
    <x v="2"/>
    <s v="Pakistan"/>
    <x v="2"/>
    <n v="2"/>
    <n v="1274"/>
    <n v="2548"/>
    <x v="5"/>
    <x v="3"/>
    <x v="1"/>
  </r>
  <r>
    <s v="PK-100027"/>
    <x v="25"/>
    <s v="Jordan King"/>
    <s v="melissa81@gmail.com"/>
    <n v="923091138729"/>
    <x v="7"/>
    <s v="Pakistan"/>
    <x v="2"/>
    <n v="5"/>
    <n v="11283"/>
    <n v="56415"/>
    <x v="4"/>
    <x v="6"/>
    <x v="2"/>
  </r>
  <r>
    <s v="PK-100028"/>
    <x v="26"/>
    <s v="Thomas Galvan"/>
    <s v="johncoleman@allen.com"/>
    <n v="923041337890"/>
    <x v="7"/>
    <s v="Pakistan"/>
    <x v="3"/>
    <n v="4"/>
    <n v="7013"/>
    <n v="28052"/>
    <x v="4"/>
    <x v="2"/>
    <x v="1"/>
  </r>
  <r>
    <s v="PK-100029"/>
    <x v="27"/>
    <s v="Debra Ramsey DDS"/>
    <s v="brownhannah@hotmail.com"/>
    <n v="923174483103"/>
    <x v="2"/>
    <s v="Pakistan"/>
    <x v="1"/>
    <n v="5"/>
    <n v="11056"/>
    <n v="55280"/>
    <x v="4"/>
    <x v="7"/>
    <x v="2"/>
  </r>
  <r>
    <s v="PK-100030"/>
    <x v="28"/>
    <s v="Hannah Browning"/>
    <s v="ysolomon@yahoo.com"/>
    <n v="923062436731"/>
    <x v="0"/>
    <s v="Pakistan"/>
    <x v="4"/>
    <n v="3"/>
    <n v="4892"/>
    <n v="14676"/>
    <x v="4"/>
    <x v="4"/>
    <x v="1"/>
  </r>
  <r>
    <s v="PK-100031"/>
    <x v="29"/>
    <s v="John Kennedy"/>
    <s v="philipgarcia@gomez.biz"/>
    <n v="923350725488"/>
    <x v="9"/>
    <s v="Pakistan"/>
    <x v="1"/>
    <n v="5"/>
    <n v="14664"/>
    <n v="73320"/>
    <x v="5"/>
    <x v="0"/>
    <x v="3"/>
  </r>
  <r>
    <s v="PK-100032"/>
    <x v="30"/>
    <s v="Angela Daniel"/>
    <s v="nicholas50@ramirez.info"/>
    <n v="923312525588"/>
    <x v="9"/>
    <s v="Pakistan"/>
    <x v="3"/>
    <n v="2"/>
    <n v="14511"/>
    <n v="29022"/>
    <x v="0"/>
    <x v="2"/>
    <x v="0"/>
  </r>
  <r>
    <s v="PK-100033"/>
    <x v="31"/>
    <s v="John Drake"/>
    <s v="ricardomitchell@oliver.com"/>
    <n v="923442240661"/>
    <x v="5"/>
    <s v="Pakistan"/>
    <x v="5"/>
    <n v="2"/>
    <n v="4482"/>
    <n v="8964"/>
    <x v="0"/>
    <x v="0"/>
    <x v="0"/>
  </r>
  <r>
    <s v="PK-100034"/>
    <x v="32"/>
    <s v="Mr. Charles Johnson"/>
    <s v="leedward@gmail.com"/>
    <n v="923162380806"/>
    <x v="4"/>
    <s v="Pakistan"/>
    <x v="4"/>
    <n v="5"/>
    <n v="5596"/>
    <n v="27980"/>
    <x v="2"/>
    <x v="4"/>
    <x v="2"/>
  </r>
  <r>
    <s v="PK-100035"/>
    <x v="33"/>
    <s v="Victoria Turner"/>
    <s v="briggsmartin@thomas.com"/>
    <n v="923490987473"/>
    <x v="7"/>
    <s v="Pakistan"/>
    <x v="5"/>
    <n v="3"/>
    <n v="6052"/>
    <n v="18156"/>
    <x v="3"/>
    <x v="6"/>
    <x v="1"/>
  </r>
  <r>
    <s v="PK-100036"/>
    <x v="34"/>
    <s v="John Griffith"/>
    <s v="knightjustin@rivers.com"/>
    <n v="923093178686"/>
    <x v="8"/>
    <s v="Pakistan"/>
    <x v="1"/>
    <n v="3"/>
    <n v="9855"/>
    <n v="29565"/>
    <x v="0"/>
    <x v="1"/>
    <x v="3"/>
  </r>
  <r>
    <s v="PK-100037"/>
    <x v="35"/>
    <s v="Michael Allen DVM"/>
    <s v="robert87@watkins.info"/>
    <n v="923489645159"/>
    <x v="3"/>
    <s v="Pakistan"/>
    <x v="4"/>
    <n v="2"/>
    <n v="5531"/>
    <n v="11062"/>
    <x v="2"/>
    <x v="1"/>
    <x v="1"/>
  </r>
  <r>
    <s v="PK-100038"/>
    <x v="36"/>
    <s v="George Mendoza"/>
    <s v="dlopez@sullivan.com"/>
    <n v="923348443004"/>
    <x v="3"/>
    <s v="Pakistan"/>
    <x v="0"/>
    <n v="4"/>
    <n v="12820"/>
    <n v="51280"/>
    <x v="0"/>
    <x v="3"/>
    <x v="1"/>
  </r>
  <r>
    <s v="PK-100039"/>
    <x v="37"/>
    <s v="Vanessa Ellis"/>
    <s v="jamesdurham@hotmail.com"/>
    <n v="923287167247"/>
    <x v="3"/>
    <s v="Pakistan"/>
    <x v="5"/>
    <n v="2"/>
    <n v="10109"/>
    <n v="20218"/>
    <x v="1"/>
    <x v="7"/>
    <x v="3"/>
  </r>
  <r>
    <s v="PK-100040"/>
    <x v="38"/>
    <s v="Jessica Vargas"/>
    <s v="qgarcia@hotmail.com"/>
    <n v="923422006444"/>
    <x v="3"/>
    <s v="Pakistan"/>
    <x v="4"/>
    <n v="5"/>
    <n v="2546"/>
    <n v="12730"/>
    <x v="3"/>
    <x v="6"/>
    <x v="3"/>
  </r>
  <r>
    <s v="PK-100041"/>
    <x v="39"/>
    <s v="Latoya Garcia"/>
    <s v="morrisshannon@bauer.org"/>
    <n v="923481303902"/>
    <x v="6"/>
    <s v="Pakistan"/>
    <x v="3"/>
    <n v="3"/>
    <n v="6829"/>
    <n v="20487"/>
    <x v="4"/>
    <x v="5"/>
    <x v="3"/>
  </r>
  <r>
    <s v="PK-100042"/>
    <x v="40"/>
    <s v="Anthony Mcguire"/>
    <s v="fburton@bennett.com"/>
    <n v="923047550886"/>
    <x v="2"/>
    <s v="Pakistan"/>
    <x v="2"/>
    <n v="5"/>
    <n v="13139"/>
    <n v="65695"/>
    <x v="0"/>
    <x v="4"/>
    <x v="2"/>
  </r>
  <r>
    <s v="PK-100043"/>
    <x v="41"/>
    <s v="Gary Bruce"/>
    <s v="rachelphelps@hall-blackwell.org"/>
    <n v="923228010057"/>
    <x v="1"/>
    <s v="Pakistan"/>
    <x v="2"/>
    <n v="5"/>
    <n v="9858"/>
    <n v="49290"/>
    <x v="0"/>
    <x v="5"/>
    <x v="1"/>
  </r>
  <r>
    <s v="PK-100044"/>
    <x v="42"/>
    <s v="Timothy Hansen"/>
    <s v="kanejason@yahoo.com"/>
    <n v="923164365781"/>
    <x v="1"/>
    <s v="Pakistan"/>
    <x v="4"/>
    <n v="2"/>
    <n v="5020"/>
    <n v="10040"/>
    <x v="5"/>
    <x v="6"/>
    <x v="2"/>
  </r>
  <r>
    <s v="PK-100045"/>
    <x v="43"/>
    <s v="Logan Elliott"/>
    <s v="xchambers@hotmail.com"/>
    <n v="923084431456"/>
    <x v="7"/>
    <s v="Pakistan"/>
    <x v="4"/>
    <n v="3"/>
    <n v="6383"/>
    <n v="19149"/>
    <x v="1"/>
    <x v="2"/>
    <x v="3"/>
  </r>
  <r>
    <s v="PK-100046"/>
    <x v="44"/>
    <s v="Dennis Vega"/>
    <s v="scabrera@cox.com"/>
    <n v="923262025928"/>
    <x v="7"/>
    <s v="Pakistan"/>
    <x v="0"/>
    <n v="5"/>
    <n v="14140"/>
    <n v="70700"/>
    <x v="0"/>
    <x v="7"/>
    <x v="3"/>
  </r>
  <r>
    <s v="PK-100047"/>
    <x v="45"/>
    <s v="Gina Hernandez"/>
    <s v="kevin55@gmail.com"/>
    <n v="923466288330"/>
    <x v="6"/>
    <s v="Pakistan"/>
    <x v="3"/>
    <n v="1"/>
    <n v="6986"/>
    <n v="6986"/>
    <x v="0"/>
    <x v="6"/>
    <x v="0"/>
  </r>
  <r>
    <s v="PK-100048"/>
    <x v="46"/>
    <s v="Gary Herman"/>
    <s v="rjones@garcia.com"/>
    <n v="923299054057"/>
    <x v="3"/>
    <s v="Pakistan"/>
    <x v="5"/>
    <n v="4"/>
    <n v="9737"/>
    <n v="38948"/>
    <x v="2"/>
    <x v="3"/>
    <x v="0"/>
  </r>
  <r>
    <s v="PK-100049"/>
    <x v="47"/>
    <s v="Jessica Morales DDS"/>
    <s v="ymccall@schroeder-brown.com"/>
    <n v="923472422660"/>
    <x v="1"/>
    <s v="Pakistan"/>
    <x v="1"/>
    <n v="1"/>
    <n v="10307"/>
    <n v="10307"/>
    <x v="4"/>
    <x v="7"/>
    <x v="0"/>
  </r>
  <r>
    <s v="PK-100050"/>
    <x v="48"/>
    <s v="Lori Stone"/>
    <s v="patrick05@mclaughlin.net"/>
    <n v="923311226919"/>
    <x v="0"/>
    <s v="Pakistan"/>
    <x v="2"/>
    <n v="1"/>
    <n v="2924"/>
    <n v="2924"/>
    <x v="1"/>
    <x v="5"/>
    <x v="1"/>
  </r>
  <r>
    <s v="PK-100051"/>
    <x v="49"/>
    <s v="Karen Brown"/>
    <s v="lesliesmith@wood-lopez.net"/>
    <n v="923490366684"/>
    <x v="5"/>
    <s v="Pakistan"/>
    <x v="5"/>
    <n v="3"/>
    <n v="8813"/>
    <n v="26439"/>
    <x v="5"/>
    <x v="5"/>
    <x v="2"/>
  </r>
  <r>
    <s v="PK-100052"/>
    <x v="50"/>
    <s v="John Walker"/>
    <s v="carrieespinoza@blair.com"/>
    <n v="923345644894"/>
    <x v="1"/>
    <s v="Pakistan"/>
    <x v="4"/>
    <n v="3"/>
    <n v="3059"/>
    <n v="9177"/>
    <x v="3"/>
    <x v="0"/>
    <x v="1"/>
  </r>
  <r>
    <s v="PK-100053"/>
    <x v="51"/>
    <s v="Kristen Proctor"/>
    <s v="andrew02@hotmail.com"/>
    <n v="923245816345"/>
    <x v="4"/>
    <s v="Pakistan"/>
    <x v="3"/>
    <n v="5"/>
    <n v="2389"/>
    <n v="11945"/>
    <x v="0"/>
    <x v="1"/>
    <x v="2"/>
  </r>
  <r>
    <s v="PK-100054"/>
    <x v="52"/>
    <s v="Debra Wilkerson"/>
    <s v="robert73@yahoo.com"/>
    <n v="923212603435"/>
    <x v="6"/>
    <s v="Pakistan"/>
    <x v="3"/>
    <n v="2"/>
    <n v="9998"/>
    <n v="19996"/>
    <x v="3"/>
    <x v="0"/>
    <x v="1"/>
  </r>
  <r>
    <s v="PK-100055"/>
    <x v="44"/>
    <s v="Michelle Schultz"/>
    <s v="johnnyharris@yahoo.com"/>
    <n v="923093483330"/>
    <x v="9"/>
    <s v="Pakistan"/>
    <x v="0"/>
    <n v="3"/>
    <n v="8655"/>
    <n v="25965"/>
    <x v="3"/>
    <x v="0"/>
    <x v="3"/>
  </r>
  <r>
    <s v="PK-100056"/>
    <x v="29"/>
    <s v="Sharon Mitchell"/>
    <s v="jbrown@jarvis.biz"/>
    <n v="923189095780"/>
    <x v="0"/>
    <s v="Pakistan"/>
    <x v="5"/>
    <n v="4"/>
    <n v="14887"/>
    <n v="59548"/>
    <x v="4"/>
    <x v="7"/>
    <x v="0"/>
  </r>
  <r>
    <s v="PK-100057"/>
    <x v="53"/>
    <s v="Erin Frank"/>
    <s v="laurajones@hale-avery.com"/>
    <n v="923116775609"/>
    <x v="9"/>
    <s v="Pakistan"/>
    <x v="5"/>
    <n v="4"/>
    <n v="6025"/>
    <n v="24100"/>
    <x v="5"/>
    <x v="1"/>
    <x v="1"/>
  </r>
  <r>
    <s v="PK-100058"/>
    <x v="54"/>
    <s v="Laura Keller"/>
    <s v="susanrogers@ingram.com"/>
    <n v="923310019745"/>
    <x v="6"/>
    <s v="Pakistan"/>
    <x v="3"/>
    <n v="3"/>
    <n v="5285"/>
    <n v="15855"/>
    <x v="2"/>
    <x v="2"/>
    <x v="2"/>
  </r>
  <r>
    <s v="PK-100059"/>
    <x v="34"/>
    <s v="Ashley Powers"/>
    <s v="erin75@gmail.com"/>
    <n v="923190148920"/>
    <x v="1"/>
    <s v="Pakistan"/>
    <x v="0"/>
    <n v="5"/>
    <n v="10491"/>
    <n v="52455"/>
    <x v="1"/>
    <x v="5"/>
    <x v="1"/>
  </r>
  <r>
    <s v="PK-100060"/>
    <x v="55"/>
    <s v="Francisco King"/>
    <s v="kelseyhendrix@yahoo.com"/>
    <n v="923329027708"/>
    <x v="0"/>
    <s v="Pakistan"/>
    <x v="1"/>
    <n v="5"/>
    <n v="12578"/>
    <n v="62890"/>
    <x v="4"/>
    <x v="0"/>
    <x v="2"/>
  </r>
  <r>
    <s v="PK-100061"/>
    <x v="56"/>
    <s v="Michael Roberson"/>
    <s v="dcoleman@johnson.com"/>
    <n v="923322593603"/>
    <x v="5"/>
    <s v="Pakistan"/>
    <x v="4"/>
    <n v="3"/>
    <n v="8893"/>
    <n v="26679"/>
    <x v="1"/>
    <x v="5"/>
    <x v="2"/>
  </r>
  <r>
    <s v="PK-100062"/>
    <x v="2"/>
    <s v="Calvin Vaughn"/>
    <s v="dominic00@yahoo.com"/>
    <n v="923328493784"/>
    <x v="4"/>
    <s v="Pakistan"/>
    <x v="1"/>
    <n v="5"/>
    <n v="4209"/>
    <n v="21045"/>
    <x v="2"/>
    <x v="6"/>
    <x v="3"/>
  </r>
  <r>
    <s v="PK-100063"/>
    <x v="57"/>
    <s v="April Wright"/>
    <s v="brian92@hernandez-smith.com"/>
    <n v="923208759965"/>
    <x v="0"/>
    <s v="Pakistan"/>
    <x v="4"/>
    <n v="2"/>
    <n v="7087"/>
    <n v="14174"/>
    <x v="3"/>
    <x v="1"/>
    <x v="3"/>
  </r>
  <r>
    <s v="PK-100064"/>
    <x v="58"/>
    <s v="Amy King"/>
    <s v="monicajackson@yahoo.com"/>
    <n v="923035287855"/>
    <x v="8"/>
    <s v="Pakistan"/>
    <x v="2"/>
    <n v="4"/>
    <n v="1976"/>
    <n v="7904"/>
    <x v="1"/>
    <x v="4"/>
    <x v="2"/>
  </r>
  <r>
    <s v="PK-100065"/>
    <x v="59"/>
    <s v="Preston Nichols"/>
    <s v="tylerbaldwin@hotmail.com"/>
    <n v="923298177811"/>
    <x v="1"/>
    <s v="Pakistan"/>
    <x v="2"/>
    <n v="5"/>
    <n v="7098"/>
    <n v="35490"/>
    <x v="5"/>
    <x v="0"/>
    <x v="1"/>
  </r>
  <r>
    <s v="PK-100066"/>
    <x v="60"/>
    <s v="Danielle Hood"/>
    <s v="christopher10@yahoo.com"/>
    <n v="923424530934"/>
    <x v="9"/>
    <s v="Pakistan"/>
    <x v="3"/>
    <n v="4"/>
    <n v="13430"/>
    <n v="53720"/>
    <x v="3"/>
    <x v="2"/>
    <x v="3"/>
  </r>
  <r>
    <s v="PK-100067"/>
    <x v="61"/>
    <s v="Frances Estrada"/>
    <s v="uandrews@trujillo-watkins.com"/>
    <n v="923464722691"/>
    <x v="8"/>
    <s v="Pakistan"/>
    <x v="0"/>
    <n v="2"/>
    <n v="6367"/>
    <n v="12734"/>
    <x v="1"/>
    <x v="3"/>
    <x v="1"/>
  </r>
  <r>
    <s v="PK-100068"/>
    <x v="18"/>
    <s v="Aaron Moore"/>
    <s v="jenkinskarina@turner.com"/>
    <n v="923197812578"/>
    <x v="8"/>
    <s v="Pakistan"/>
    <x v="5"/>
    <n v="1"/>
    <n v="6175"/>
    <n v="6175"/>
    <x v="5"/>
    <x v="1"/>
    <x v="0"/>
  </r>
  <r>
    <s v="PK-100069"/>
    <x v="62"/>
    <s v="Mark Wilson"/>
    <s v="jessicalin@wilson.com"/>
    <n v="923244328407"/>
    <x v="6"/>
    <s v="Pakistan"/>
    <x v="3"/>
    <n v="4"/>
    <n v="14832"/>
    <n v="59328"/>
    <x v="0"/>
    <x v="4"/>
    <x v="1"/>
  </r>
  <r>
    <s v="PK-100070"/>
    <x v="63"/>
    <s v="April Reyes"/>
    <s v="tfrazier@yahoo.com"/>
    <n v="923460567692"/>
    <x v="2"/>
    <s v="Pakistan"/>
    <x v="4"/>
    <n v="5"/>
    <n v="1623"/>
    <n v="8115"/>
    <x v="3"/>
    <x v="7"/>
    <x v="1"/>
  </r>
  <r>
    <s v="PK-100071"/>
    <x v="54"/>
    <s v="Tara Cobb"/>
    <s v="sjones@yahoo.com"/>
    <n v="923291565749"/>
    <x v="7"/>
    <s v="Pakistan"/>
    <x v="5"/>
    <n v="1"/>
    <n v="11798"/>
    <n v="11798"/>
    <x v="3"/>
    <x v="6"/>
    <x v="1"/>
  </r>
  <r>
    <s v="PK-100072"/>
    <x v="38"/>
    <s v="Jeremy Garcia"/>
    <s v="stephaniekim@hotmail.com"/>
    <n v="923109806360"/>
    <x v="1"/>
    <s v="Pakistan"/>
    <x v="4"/>
    <n v="4"/>
    <n v="8276"/>
    <n v="33104"/>
    <x v="5"/>
    <x v="5"/>
    <x v="3"/>
  </r>
  <r>
    <s v="PK-100073"/>
    <x v="64"/>
    <s v="Craig Chambers"/>
    <s v="taylorsarah@gmail.com"/>
    <n v="923224108959"/>
    <x v="0"/>
    <s v="Pakistan"/>
    <x v="4"/>
    <n v="5"/>
    <n v="6919"/>
    <n v="34595"/>
    <x v="3"/>
    <x v="5"/>
    <x v="3"/>
  </r>
  <r>
    <s v="PK-100074"/>
    <x v="61"/>
    <s v="Scott Kelly"/>
    <s v="eking@gmail.com"/>
    <n v="923363797684"/>
    <x v="3"/>
    <s v="Pakistan"/>
    <x v="2"/>
    <n v="1"/>
    <n v="12050"/>
    <n v="12050"/>
    <x v="4"/>
    <x v="2"/>
    <x v="2"/>
  </r>
  <r>
    <s v="PK-100075"/>
    <x v="65"/>
    <s v="Joseph Spencer DDS"/>
    <s v="ismith@hotmail.com"/>
    <n v="923370055070"/>
    <x v="2"/>
    <s v="Pakistan"/>
    <x v="1"/>
    <n v="2"/>
    <n v="5590"/>
    <n v="11180"/>
    <x v="3"/>
    <x v="3"/>
    <x v="1"/>
  </r>
  <r>
    <s v="PK-100076"/>
    <x v="66"/>
    <s v="Brenda Sanchez"/>
    <s v="rebeccalutz@gmail.com"/>
    <n v="923111362072"/>
    <x v="2"/>
    <s v="Pakistan"/>
    <x v="1"/>
    <n v="1"/>
    <n v="4509"/>
    <n v="4509"/>
    <x v="4"/>
    <x v="6"/>
    <x v="3"/>
  </r>
  <r>
    <s v="PK-100077"/>
    <x v="67"/>
    <s v="Aaron Ortiz"/>
    <s v="brownvanessa@cowan.org"/>
    <n v="923387792128"/>
    <x v="5"/>
    <s v="Pakistan"/>
    <x v="3"/>
    <n v="5"/>
    <n v="6913"/>
    <n v="34565"/>
    <x v="4"/>
    <x v="4"/>
    <x v="3"/>
  </r>
  <r>
    <s v="PK-100078"/>
    <x v="68"/>
    <s v="Jessica Walker"/>
    <s v="samanthaoliver@johnson.com"/>
    <n v="923192885576"/>
    <x v="2"/>
    <s v="Pakistan"/>
    <x v="5"/>
    <n v="1"/>
    <n v="12923"/>
    <n v="12923"/>
    <x v="0"/>
    <x v="0"/>
    <x v="3"/>
  </r>
  <r>
    <s v="PK-100079"/>
    <x v="69"/>
    <s v="Julia Hendrix"/>
    <s v="wfloyd@humphrey-goodwin.com"/>
    <n v="923049511410"/>
    <x v="7"/>
    <s v="Pakistan"/>
    <x v="4"/>
    <n v="3"/>
    <n v="12982"/>
    <n v="38946"/>
    <x v="4"/>
    <x v="6"/>
    <x v="3"/>
  </r>
  <r>
    <s v="PK-100080"/>
    <x v="70"/>
    <s v="Katherine Robinson"/>
    <s v="rcook@wallace-skinner.com"/>
    <n v="923394632995"/>
    <x v="7"/>
    <s v="Pakistan"/>
    <x v="2"/>
    <n v="3"/>
    <n v="1992"/>
    <n v="5976"/>
    <x v="3"/>
    <x v="3"/>
    <x v="0"/>
  </r>
  <r>
    <s v="PK-100081"/>
    <x v="71"/>
    <s v="James Saunders"/>
    <s v="pgreen@nelson-contreras.info"/>
    <n v="923071504230"/>
    <x v="4"/>
    <s v="Pakistan"/>
    <x v="1"/>
    <n v="4"/>
    <n v="8993"/>
    <n v="35972"/>
    <x v="5"/>
    <x v="7"/>
    <x v="1"/>
  </r>
  <r>
    <s v="PK-100082"/>
    <x v="72"/>
    <s v="Corey Garner"/>
    <s v="hardyrachel@hotmail.com"/>
    <n v="923087826450"/>
    <x v="0"/>
    <s v="Pakistan"/>
    <x v="5"/>
    <n v="3"/>
    <n v="6014"/>
    <n v="18042"/>
    <x v="5"/>
    <x v="1"/>
    <x v="2"/>
  </r>
  <r>
    <s v="PK-100083"/>
    <x v="45"/>
    <s v="Steven Chandler"/>
    <s v="juanhernandez@sanchez.com"/>
    <n v="923408003020"/>
    <x v="6"/>
    <s v="Pakistan"/>
    <x v="2"/>
    <n v="5"/>
    <n v="9786"/>
    <n v="48930"/>
    <x v="1"/>
    <x v="0"/>
    <x v="0"/>
  </r>
  <r>
    <s v="PK-100084"/>
    <x v="13"/>
    <s v="Brett Hill"/>
    <s v="felicia67@bush.com"/>
    <n v="923388245799"/>
    <x v="4"/>
    <s v="Pakistan"/>
    <x v="5"/>
    <n v="2"/>
    <n v="14114"/>
    <n v="28228"/>
    <x v="4"/>
    <x v="5"/>
    <x v="3"/>
  </r>
  <r>
    <s v="PK-100085"/>
    <x v="73"/>
    <s v="Nicholas Perez"/>
    <s v="breannadiaz@hotmail.com"/>
    <n v="923142897110"/>
    <x v="4"/>
    <s v="Pakistan"/>
    <x v="5"/>
    <n v="3"/>
    <n v="1480"/>
    <n v="4440"/>
    <x v="4"/>
    <x v="2"/>
    <x v="0"/>
  </r>
  <r>
    <s v="PK-100086"/>
    <x v="74"/>
    <s v="Angel Dillon"/>
    <s v="dawnbennett@gmail.com"/>
    <n v="923330783631"/>
    <x v="3"/>
    <s v="Pakistan"/>
    <x v="1"/>
    <n v="4"/>
    <n v="9571"/>
    <n v="38284"/>
    <x v="4"/>
    <x v="3"/>
    <x v="1"/>
  </r>
  <r>
    <s v="PK-100087"/>
    <x v="75"/>
    <s v="Laura Woods"/>
    <s v="rdeleon@yahoo.com"/>
    <n v="923386620527"/>
    <x v="3"/>
    <s v="Pakistan"/>
    <x v="2"/>
    <n v="1"/>
    <n v="4230"/>
    <n v="4230"/>
    <x v="4"/>
    <x v="3"/>
    <x v="1"/>
  </r>
  <r>
    <s v="PK-100088"/>
    <x v="76"/>
    <s v="Maria Perkins"/>
    <s v="matthewschristopher@moore-arnold.com"/>
    <n v="923288323972"/>
    <x v="7"/>
    <s v="Pakistan"/>
    <x v="5"/>
    <n v="2"/>
    <n v="8149"/>
    <n v="16298"/>
    <x v="0"/>
    <x v="3"/>
    <x v="1"/>
  </r>
  <r>
    <s v="PK-100089"/>
    <x v="77"/>
    <s v="Amy Pierce"/>
    <s v="charles79@greene.com"/>
    <n v="923357989771"/>
    <x v="8"/>
    <s v="Pakistan"/>
    <x v="2"/>
    <n v="5"/>
    <n v="1722"/>
    <n v="8610"/>
    <x v="2"/>
    <x v="2"/>
    <x v="3"/>
  </r>
  <r>
    <s v="PK-100090"/>
    <x v="78"/>
    <s v="David Powell"/>
    <s v="michellegutierrez@lamb.com"/>
    <n v="923391388490"/>
    <x v="4"/>
    <s v="Pakistan"/>
    <x v="2"/>
    <n v="3"/>
    <n v="4367"/>
    <n v="13101"/>
    <x v="4"/>
    <x v="2"/>
    <x v="1"/>
  </r>
  <r>
    <s v="PK-100091"/>
    <x v="61"/>
    <s v="Kenneth Hansen"/>
    <s v="michael93@hotmail.com"/>
    <n v="923213991081"/>
    <x v="2"/>
    <s v="Pakistan"/>
    <x v="3"/>
    <n v="2"/>
    <n v="12192"/>
    <n v="24384"/>
    <x v="1"/>
    <x v="5"/>
    <x v="3"/>
  </r>
  <r>
    <s v="PK-100092"/>
    <x v="79"/>
    <s v="Anthony Finley"/>
    <s v="michellegraves@yahoo.com"/>
    <n v="923239112772"/>
    <x v="0"/>
    <s v="Pakistan"/>
    <x v="1"/>
    <n v="2"/>
    <n v="1245"/>
    <n v="2490"/>
    <x v="5"/>
    <x v="5"/>
    <x v="2"/>
  </r>
  <r>
    <s v="PK-100093"/>
    <x v="80"/>
    <s v="Jasmin Haynes"/>
    <s v="clloyd@yahoo.com"/>
    <n v="923179082248"/>
    <x v="7"/>
    <s v="Pakistan"/>
    <x v="1"/>
    <n v="1"/>
    <n v="13860"/>
    <n v="13860"/>
    <x v="4"/>
    <x v="4"/>
    <x v="1"/>
  </r>
  <r>
    <s v="PK-100094"/>
    <x v="81"/>
    <s v="Brent Clayton"/>
    <s v="greenjonathan@coleman.com"/>
    <n v="923362112196"/>
    <x v="1"/>
    <s v="Pakistan"/>
    <x v="0"/>
    <n v="1"/>
    <n v="12401"/>
    <n v="12401"/>
    <x v="1"/>
    <x v="3"/>
    <x v="1"/>
  </r>
  <r>
    <s v="PK-100095"/>
    <x v="3"/>
    <s v="Amber Reid"/>
    <s v="antonio88@smith.biz"/>
    <n v="923201823719"/>
    <x v="5"/>
    <s v="Pakistan"/>
    <x v="2"/>
    <n v="5"/>
    <n v="14062"/>
    <n v="70310"/>
    <x v="2"/>
    <x v="1"/>
    <x v="0"/>
  </r>
  <r>
    <s v="PK-100096"/>
    <x v="82"/>
    <s v="Emily Freeman"/>
    <s v="jimenezjoshua@lane-bailey.com"/>
    <n v="923490406223"/>
    <x v="4"/>
    <s v="Pakistan"/>
    <x v="3"/>
    <n v="2"/>
    <n v="4617"/>
    <n v="9234"/>
    <x v="5"/>
    <x v="0"/>
    <x v="1"/>
  </r>
  <r>
    <s v="PK-100097"/>
    <x v="83"/>
    <s v="Angela Valentine"/>
    <s v="jarvisedward@blair.net"/>
    <n v="923117798466"/>
    <x v="0"/>
    <s v="Pakistan"/>
    <x v="3"/>
    <n v="4"/>
    <n v="7628"/>
    <n v="30512"/>
    <x v="5"/>
    <x v="1"/>
    <x v="3"/>
  </r>
  <r>
    <s v="PK-100098"/>
    <x v="84"/>
    <s v="Amanda Christensen"/>
    <s v="kwilcox@yahoo.com"/>
    <n v="923423804075"/>
    <x v="1"/>
    <s v="Pakistan"/>
    <x v="5"/>
    <n v="1"/>
    <n v="8200"/>
    <n v="8200"/>
    <x v="0"/>
    <x v="4"/>
    <x v="3"/>
  </r>
  <r>
    <s v="PK-100099"/>
    <x v="85"/>
    <s v="Jason Hernandez"/>
    <s v="ecampos@yahoo.com"/>
    <n v="923206409421"/>
    <x v="6"/>
    <s v="Pakistan"/>
    <x v="2"/>
    <n v="4"/>
    <n v="13042"/>
    <n v="52168"/>
    <x v="5"/>
    <x v="3"/>
    <x v="2"/>
  </r>
  <r>
    <s v="PK-100100"/>
    <x v="59"/>
    <s v="Gary Robinson"/>
    <s v="whenderson@petty.com"/>
    <n v="923465863721"/>
    <x v="1"/>
    <s v="Pakistan"/>
    <x v="1"/>
    <n v="1"/>
    <n v="13089"/>
    <n v="13089"/>
    <x v="0"/>
    <x v="3"/>
    <x v="1"/>
  </r>
  <r>
    <s v="PK-100101"/>
    <x v="86"/>
    <s v="Crystal Powers"/>
    <s v="robertarmstrong@taylor.com"/>
    <n v="923099449382"/>
    <x v="1"/>
    <s v="Pakistan"/>
    <x v="5"/>
    <n v="3"/>
    <n v="4562"/>
    <n v="13686"/>
    <x v="0"/>
    <x v="0"/>
    <x v="0"/>
  </r>
  <r>
    <s v="PK-100102"/>
    <x v="87"/>
    <s v="Carl Howell"/>
    <s v="wagnermelissa@erickson-tran.biz"/>
    <n v="923041026311"/>
    <x v="0"/>
    <s v="Pakistan"/>
    <x v="2"/>
    <n v="4"/>
    <n v="5077"/>
    <n v="20308"/>
    <x v="1"/>
    <x v="7"/>
    <x v="2"/>
  </r>
  <r>
    <s v="PK-100103"/>
    <x v="88"/>
    <s v="Seth Rose"/>
    <s v="eugenechoi@torres.com"/>
    <n v="923260361356"/>
    <x v="0"/>
    <s v="Pakistan"/>
    <x v="4"/>
    <n v="3"/>
    <n v="10020"/>
    <n v="30060"/>
    <x v="3"/>
    <x v="4"/>
    <x v="2"/>
  </r>
  <r>
    <s v="PK-100104"/>
    <x v="89"/>
    <s v="Kevin Mcmillan"/>
    <s v="kristiedaniel@gmail.com"/>
    <n v="923276946848"/>
    <x v="0"/>
    <s v="Pakistan"/>
    <x v="1"/>
    <n v="2"/>
    <n v="14255"/>
    <n v="28510"/>
    <x v="1"/>
    <x v="5"/>
    <x v="1"/>
  </r>
  <r>
    <s v="PK-100105"/>
    <x v="39"/>
    <s v="Catherine Campbell"/>
    <s v="darrenestrada@gmail.com"/>
    <n v="923366129963"/>
    <x v="9"/>
    <s v="Pakistan"/>
    <x v="2"/>
    <n v="3"/>
    <n v="2714"/>
    <n v="8142"/>
    <x v="1"/>
    <x v="5"/>
    <x v="0"/>
  </r>
  <r>
    <s v="PK-100106"/>
    <x v="90"/>
    <s v="Eric Ramirez"/>
    <s v="qbarnes@yahoo.com"/>
    <n v="923021765503"/>
    <x v="1"/>
    <s v="Pakistan"/>
    <x v="0"/>
    <n v="5"/>
    <n v="10735"/>
    <n v="53675"/>
    <x v="0"/>
    <x v="0"/>
    <x v="3"/>
  </r>
  <r>
    <s v="PK-100107"/>
    <x v="91"/>
    <s v="Michael Lester"/>
    <s v="bowenkara@taylor.biz"/>
    <n v="923228679747"/>
    <x v="5"/>
    <s v="Pakistan"/>
    <x v="2"/>
    <n v="3"/>
    <n v="1108"/>
    <n v="3324"/>
    <x v="3"/>
    <x v="7"/>
    <x v="3"/>
  </r>
  <r>
    <s v="PK-100108"/>
    <x v="53"/>
    <s v="David Lee"/>
    <s v="michael02@delacruz-martin.net"/>
    <n v="923074639205"/>
    <x v="6"/>
    <s v="Pakistan"/>
    <x v="3"/>
    <n v="2"/>
    <n v="5862"/>
    <n v="11724"/>
    <x v="0"/>
    <x v="5"/>
    <x v="0"/>
  </r>
  <r>
    <s v="PK-100109"/>
    <x v="92"/>
    <s v="Alexander Wheeler"/>
    <s v="melissa07@hotmail.com"/>
    <n v="923086328789"/>
    <x v="7"/>
    <s v="Pakistan"/>
    <x v="2"/>
    <n v="3"/>
    <n v="14271"/>
    <n v="42813"/>
    <x v="2"/>
    <x v="3"/>
    <x v="2"/>
  </r>
  <r>
    <s v="PK-100110"/>
    <x v="71"/>
    <s v="Eileen Lee"/>
    <s v="gperez@hotmail.com"/>
    <n v="923138027657"/>
    <x v="0"/>
    <s v="Pakistan"/>
    <x v="5"/>
    <n v="5"/>
    <n v="13385"/>
    <n v="66925"/>
    <x v="0"/>
    <x v="6"/>
    <x v="2"/>
  </r>
  <r>
    <s v="PK-100111"/>
    <x v="93"/>
    <s v="Elizabeth Gonzalez"/>
    <s v="donaldsnow@ramirez.net"/>
    <n v="923425047326"/>
    <x v="5"/>
    <s v="Pakistan"/>
    <x v="2"/>
    <n v="1"/>
    <n v="2683"/>
    <n v="2683"/>
    <x v="2"/>
    <x v="4"/>
    <x v="3"/>
  </r>
  <r>
    <s v="PK-100112"/>
    <x v="94"/>
    <s v="James Farley"/>
    <s v="adrianallen@russell.com"/>
    <n v="923280844119"/>
    <x v="8"/>
    <s v="Pakistan"/>
    <x v="2"/>
    <n v="1"/>
    <n v="2521"/>
    <n v="2521"/>
    <x v="1"/>
    <x v="2"/>
    <x v="3"/>
  </r>
  <r>
    <s v="PK-100113"/>
    <x v="95"/>
    <s v="Stephen Rodriguez"/>
    <s v="andersondiana@gmail.com"/>
    <n v="923062014607"/>
    <x v="1"/>
    <s v="Pakistan"/>
    <x v="5"/>
    <n v="3"/>
    <n v="11344"/>
    <n v="34032"/>
    <x v="3"/>
    <x v="3"/>
    <x v="1"/>
  </r>
  <r>
    <s v="PK-100114"/>
    <x v="96"/>
    <s v="Christopher Thomas"/>
    <s v="bowmanbrenda@yahoo.com"/>
    <n v="923413046255"/>
    <x v="4"/>
    <s v="Pakistan"/>
    <x v="0"/>
    <n v="5"/>
    <n v="1202"/>
    <n v="6010"/>
    <x v="2"/>
    <x v="1"/>
    <x v="0"/>
  </r>
  <r>
    <s v="PK-100115"/>
    <x v="97"/>
    <s v="Robert Pace"/>
    <s v="debbierichardson@proctor-clark.biz"/>
    <n v="923066245266"/>
    <x v="7"/>
    <s v="Pakistan"/>
    <x v="5"/>
    <n v="2"/>
    <n v="8725"/>
    <n v="17450"/>
    <x v="5"/>
    <x v="4"/>
    <x v="0"/>
  </r>
  <r>
    <s v="PK-100116"/>
    <x v="53"/>
    <s v="Jade Beasley"/>
    <s v="dyergloria@yahoo.com"/>
    <n v="923300803358"/>
    <x v="7"/>
    <s v="Pakistan"/>
    <x v="4"/>
    <n v="3"/>
    <n v="13149"/>
    <n v="39447"/>
    <x v="5"/>
    <x v="0"/>
    <x v="3"/>
  </r>
  <r>
    <s v="PK-100117"/>
    <x v="98"/>
    <s v="Chelsea Joseph"/>
    <s v="erinmitchell@patel.biz"/>
    <n v="923256633439"/>
    <x v="2"/>
    <s v="Pakistan"/>
    <x v="0"/>
    <n v="1"/>
    <n v="5094"/>
    <n v="5094"/>
    <x v="5"/>
    <x v="2"/>
    <x v="3"/>
  </r>
  <r>
    <s v="PK-100118"/>
    <x v="99"/>
    <s v="Brian Roberts"/>
    <s v="daviddavidson@gmail.com"/>
    <n v="923103109653"/>
    <x v="8"/>
    <s v="Pakistan"/>
    <x v="0"/>
    <n v="2"/>
    <n v="3587"/>
    <n v="7174"/>
    <x v="1"/>
    <x v="5"/>
    <x v="1"/>
  </r>
  <r>
    <s v="PK-100119"/>
    <x v="100"/>
    <s v="Sandra Martin"/>
    <s v="matthewsrobert@gmail.com"/>
    <n v="923100658096"/>
    <x v="1"/>
    <s v="Pakistan"/>
    <x v="0"/>
    <n v="3"/>
    <n v="8514"/>
    <n v="25542"/>
    <x v="5"/>
    <x v="2"/>
    <x v="1"/>
  </r>
  <r>
    <s v="PK-100120"/>
    <x v="101"/>
    <s v="Kevin Nash"/>
    <s v="qschwartz@phillips.com"/>
    <n v="923229083843"/>
    <x v="8"/>
    <s v="Pakistan"/>
    <x v="0"/>
    <n v="3"/>
    <n v="12059"/>
    <n v="36177"/>
    <x v="5"/>
    <x v="7"/>
    <x v="3"/>
  </r>
  <r>
    <s v="PK-100121"/>
    <x v="102"/>
    <s v="Elizabeth Harrison"/>
    <s v="stevenpatrick@hanson.biz"/>
    <n v="923223068196"/>
    <x v="9"/>
    <s v="Pakistan"/>
    <x v="2"/>
    <n v="2"/>
    <n v="13133"/>
    <n v="26266"/>
    <x v="3"/>
    <x v="5"/>
    <x v="0"/>
  </r>
  <r>
    <s v="PK-100122"/>
    <x v="103"/>
    <s v="Joe Schmidt"/>
    <s v="conradjames@gmail.com"/>
    <n v="923018546198"/>
    <x v="0"/>
    <s v="Pakistan"/>
    <x v="1"/>
    <n v="4"/>
    <n v="3688"/>
    <n v="14752"/>
    <x v="5"/>
    <x v="0"/>
    <x v="3"/>
  </r>
  <r>
    <s v="PK-100123"/>
    <x v="104"/>
    <s v="Sherry Poole"/>
    <s v="mendozarachel@montgomery-armstrong.com"/>
    <n v="923193633635"/>
    <x v="3"/>
    <s v="Pakistan"/>
    <x v="1"/>
    <n v="1"/>
    <n v="14936"/>
    <n v="14936"/>
    <x v="5"/>
    <x v="7"/>
    <x v="1"/>
  </r>
  <r>
    <s v="PK-100124"/>
    <x v="105"/>
    <s v="Kara Miller"/>
    <s v="mooreapril@hotmail.com"/>
    <n v="923374760689"/>
    <x v="2"/>
    <s v="Pakistan"/>
    <x v="1"/>
    <n v="1"/>
    <n v="13270"/>
    <n v="13270"/>
    <x v="1"/>
    <x v="2"/>
    <x v="0"/>
  </r>
  <r>
    <s v="PK-100125"/>
    <x v="106"/>
    <s v="Daniel Stanley"/>
    <s v="christophermedina@simpson.com"/>
    <n v="923296328733"/>
    <x v="0"/>
    <s v="Pakistan"/>
    <x v="5"/>
    <n v="2"/>
    <n v="10175"/>
    <n v="20350"/>
    <x v="0"/>
    <x v="0"/>
    <x v="1"/>
  </r>
  <r>
    <s v="PK-100126"/>
    <x v="107"/>
    <s v="David Kelly"/>
    <s v="wangjennifer@hernandez-avila.com"/>
    <n v="923470171694"/>
    <x v="2"/>
    <s v="Pakistan"/>
    <x v="4"/>
    <n v="4"/>
    <n v="2858"/>
    <n v="11432"/>
    <x v="3"/>
    <x v="7"/>
    <x v="0"/>
  </r>
  <r>
    <s v="PK-100127"/>
    <x v="7"/>
    <s v="Frank Walker"/>
    <s v="singletonstephanie@baker.biz"/>
    <n v="923433257163"/>
    <x v="2"/>
    <s v="Pakistan"/>
    <x v="0"/>
    <n v="1"/>
    <n v="8043"/>
    <n v="8043"/>
    <x v="0"/>
    <x v="6"/>
    <x v="2"/>
  </r>
  <r>
    <s v="PK-100128"/>
    <x v="108"/>
    <s v="Stacey Gill"/>
    <s v="zcherry@harding.com"/>
    <n v="923119725171"/>
    <x v="7"/>
    <s v="Pakistan"/>
    <x v="3"/>
    <n v="5"/>
    <n v="11032"/>
    <n v="55160"/>
    <x v="0"/>
    <x v="4"/>
    <x v="3"/>
  </r>
  <r>
    <s v="PK-100129"/>
    <x v="109"/>
    <s v="Veronica Martinez"/>
    <s v="benjamindavis@hotmail.com"/>
    <n v="923380709876"/>
    <x v="2"/>
    <s v="Pakistan"/>
    <x v="2"/>
    <n v="2"/>
    <n v="3432"/>
    <n v="6864"/>
    <x v="3"/>
    <x v="5"/>
    <x v="1"/>
  </r>
  <r>
    <s v="PK-100130"/>
    <x v="110"/>
    <s v="Martha Garcia"/>
    <s v="pcooper@cervantes.info"/>
    <n v="923186776004"/>
    <x v="5"/>
    <s v="Pakistan"/>
    <x v="0"/>
    <n v="3"/>
    <n v="4863"/>
    <n v="14589"/>
    <x v="1"/>
    <x v="7"/>
    <x v="3"/>
  </r>
  <r>
    <s v="PK-100131"/>
    <x v="106"/>
    <s v="Joseph Hancock"/>
    <s v="swhite@gmail.com"/>
    <n v="923227938732"/>
    <x v="6"/>
    <s v="Pakistan"/>
    <x v="4"/>
    <n v="2"/>
    <n v="7331"/>
    <n v="14662"/>
    <x v="3"/>
    <x v="5"/>
    <x v="1"/>
  </r>
  <r>
    <s v="PK-100132"/>
    <x v="111"/>
    <s v="Luis Mcdonald"/>
    <s v="kschroeder@brown.com"/>
    <n v="923290117343"/>
    <x v="8"/>
    <s v="Pakistan"/>
    <x v="1"/>
    <n v="3"/>
    <n v="10449"/>
    <n v="31347"/>
    <x v="3"/>
    <x v="5"/>
    <x v="1"/>
  </r>
  <r>
    <s v="PK-100133"/>
    <x v="17"/>
    <s v="Thomas Archer"/>
    <s v="rwhite@hotmail.com"/>
    <n v="923358890772"/>
    <x v="6"/>
    <s v="Pakistan"/>
    <x v="4"/>
    <n v="1"/>
    <n v="10466"/>
    <n v="10466"/>
    <x v="1"/>
    <x v="4"/>
    <x v="0"/>
  </r>
  <r>
    <s v="PK-100134"/>
    <x v="110"/>
    <s v="Jennifer Smith"/>
    <s v="apratt@thompson.net"/>
    <n v="923156025198"/>
    <x v="4"/>
    <s v="Pakistan"/>
    <x v="2"/>
    <n v="5"/>
    <n v="1856"/>
    <n v="9280"/>
    <x v="1"/>
    <x v="3"/>
    <x v="0"/>
  </r>
  <r>
    <s v="PK-100135"/>
    <x v="112"/>
    <s v="Keith Morgan"/>
    <s v="dmelendez@yahoo.com"/>
    <n v="923461459278"/>
    <x v="4"/>
    <s v="Pakistan"/>
    <x v="0"/>
    <n v="3"/>
    <n v="2982"/>
    <n v="8946"/>
    <x v="3"/>
    <x v="1"/>
    <x v="0"/>
  </r>
  <r>
    <s v="PK-100136"/>
    <x v="113"/>
    <s v="Kristina Evans"/>
    <s v="ryan74@yahoo.com"/>
    <n v="923317464002"/>
    <x v="9"/>
    <s v="Pakistan"/>
    <x v="1"/>
    <n v="4"/>
    <n v="4820"/>
    <n v="19280"/>
    <x v="3"/>
    <x v="0"/>
    <x v="1"/>
  </r>
  <r>
    <s v="PK-100137"/>
    <x v="55"/>
    <s v="Adam Shelton"/>
    <s v="johndavis@simon.com"/>
    <n v="923125789266"/>
    <x v="0"/>
    <s v="Pakistan"/>
    <x v="0"/>
    <n v="2"/>
    <n v="5220"/>
    <n v="10440"/>
    <x v="5"/>
    <x v="6"/>
    <x v="2"/>
  </r>
  <r>
    <s v="PK-100138"/>
    <x v="59"/>
    <s v="Peter Serrano"/>
    <s v="carrillojames@kaufman.com"/>
    <n v="923069793039"/>
    <x v="7"/>
    <s v="Pakistan"/>
    <x v="0"/>
    <n v="1"/>
    <n v="3776"/>
    <n v="3776"/>
    <x v="2"/>
    <x v="4"/>
    <x v="3"/>
  </r>
  <r>
    <s v="PK-100139"/>
    <x v="114"/>
    <s v="Robert Ortiz"/>
    <s v="simmonskimberly@ross.com"/>
    <n v="923014046845"/>
    <x v="8"/>
    <s v="Pakistan"/>
    <x v="5"/>
    <n v="1"/>
    <n v="14256"/>
    <n v="14256"/>
    <x v="0"/>
    <x v="2"/>
    <x v="1"/>
  </r>
  <r>
    <s v="PK-100140"/>
    <x v="90"/>
    <s v="Matthew Thompson"/>
    <s v="cassandrahart@murphy.net"/>
    <n v="923351948007"/>
    <x v="2"/>
    <s v="Pakistan"/>
    <x v="0"/>
    <n v="3"/>
    <n v="10589"/>
    <n v="31767"/>
    <x v="1"/>
    <x v="2"/>
    <x v="2"/>
  </r>
  <r>
    <s v="PK-100141"/>
    <x v="115"/>
    <s v="Jacqueline Brooks"/>
    <s v="bwillis@matthews-allen.net"/>
    <n v="923429603779"/>
    <x v="9"/>
    <s v="Pakistan"/>
    <x v="2"/>
    <n v="2"/>
    <n v="3489"/>
    <n v="6978"/>
    <x v="4"/>
    <x v="5"/>
    <x v="3"/>
  </r>
  <r>
    <s v="PK-100142"/>
    <x v="116"/>
    <s v="Michelle Brennan"/>
    <s v="owensmichael@smith.com"/>
    <n v="923274668555"/>
    <x v="3"/>
    <s v="Pakistan"/>
    <x v="4"/>
    <n v="1"/>
    <n v="3075"/>
    <n v="3075"/>
    <x v="4"/>
    <x v="6"/>
    <x v="3"/>
  </r>
  <r>
    <s v="PK-100143"/>
    <x v="117"/>
    <s v="Hunter Larson"/>
    <s v="mcmahontravis@gmail.com"/>
    <n v="923492979767"/>
    <x v="1"/>
    <s v="Pakistan"/>
    <x v="1"/>
    <n v="4"/>
    <n v="6872"/>
    <n v="27488"/>
    <x v="4"/>
    <x v="1"/>
    <x v="1"/>
  </r>
  <r>
    <s v="PK-100144"/>
    <x v="118"/>
    <s v="Beth Johnson"/>
    <s v="parkerlaura@burgess.com"/>
    <n v="923456061470"/>
    <x v="7"/>
    <s v="Pakistan"/>
    <x v="1"/>
    <n v="5"/>
    <n v="8060"/>
    <n v="40300"/>
    <x v="3"/>
    <x v="4"/>
    <x v="3"/>
  </r>
  <r>
    <s v="PK-100145"/>
    <x v="119"/>
    <s v="Michael Smith"/>
    <s v="christophersmith@hotmail.com"/>
    <n v="923162272241"/>
    <x v="4"/>
    <s v="Pakistan"/>
    <x v="0"/>
    <n v="2"/>
    <n v="2665"/>
    <n v="5330"/>
    <x v="4"/>
    <x v="7"/>
    <x v="3"/>
  </r>
  <r>
    <s v="PK-100146"/>
    <x v="120"/>
    <s v="Natalie Elliott"/>
    <s v="carsonraymond@vance-yates.com"/>
    <n v="923422722017"/>
    <x v="1"/>
    <s v="Pakistan"/>
    <x v="1"/>
    <n v="2"/>
    <n v="6063"/>
    <n v="12126"/>
    <x v="4"/>
    <x v="1"/>
    <x v="0"/>
  </r>
  <r>
    <s v="PK-100147"/>
    <x v="111"/>
    <s v="Tabitha Rodriguez"/>
    <s v="johnreed@owen-mitchell.com"/>
    <n v="923135310902"/>
    <x v="3"/>
    <s v="Pakistan"/>
    <x v="4"/>
    <n v="4"/>
    <n v="4822"/>
    <n v="19288"/>
    <x v="0"/>
    <x v="1"/>
    <x v="0"/>
  </r>
  <r>
    <s v="PK-100148"/>
    <x v="121"/>
    <s v="Kevin Kelly"/>
    <s v="glenda92@welch.info"/>
    <n v="923155743099"/>
    <x v="1"/>
    <s v="Pakistan"/>
    <x v="5"/>
    <n v="5"/>
    <n v="3693"/>
    <n v="18465"/>
    <x v="5"/>
    <x v="2"/>
    <x v="0"/>
  </r>
  <r>
    <s v="PK-100149"/>
    <x v="35"/>
    <s v="Shannon Hall"/>
    <s v="anthony54@lopez.com"/>
    <n v="923137039582"/>
    <x v="0"/>
    <s v="Pakistan"/>
    <x v="5"/>
    <n v="3"/>
    <n v="1573"/>
    <n v="4719"/>
    <x v="2"/>
    <x v="0"/>
    <x v="0"/>
  </r>
  <r>
    <s v="PK-100150"/>
    <x v="122"/>
    <s v="Kayla Wilson"/>
    <s v="ucollier@hotmail.com"/>
    <n v="923232381010"/>
    <x v="6"/>
    <s v="Pakistan"/>
    <x v="2"/>
    <n v="2"/>
    <n v="1031"/>
    <n v="2062"/>
    <x v="4"/>
    <x v="6"/>
    <x v="0"/>
  </r>
  <r>
    <s v="PK-100151"/>
    <x v="123"/>
    <s v="Nicholas Gardner"/>
    <s v="dgrant@jones.com"/>
    <n v="923445393774"/>
    <x v="9"/>
    <s v="Pakistan"/>
    <x v="0"/>
    <n v="4"/>
    <n v="2389"/>
    <n v="9556"/>
    <x v="4"/>
    <x v="2"/>
    <x v="2"/>
  </r>
  <r>
    <s v="PK-100152"/>
    <x v="124"/>
    <s v="Desiree Ward"/>
    <s v="tracy58@gmail.com"/>
    <n v="923009363817"/>
    <x v="6"/>
    <s v="Pakistan"/>
    <x v="0"/>
    <n v="4"/>
    <n v="6400"/>
    <n v="25600"/>
    <x v="1"/>
    <x v="2"/>
    <x v="0"/>
  </r>
  <r>
    <s v="PK-100153"/>
    <x v="125"/>
    <s v="Christian Ellis"/>
    <s v="youngbonnie@gmail.com"/>
    <n v="923324956022"/>
    <x v="6"/>
    <s v="Pakistan"/>
    <x v="3"/>
    <n v="4"/>
    <n v="8455"/>
    <n v="33820"/>
    <x v="3"/>
    <x v="4"/>
    <x v="0"/>
  </r>
  <r>
    <s v="PK-100154"/>
    <x v="126"/>
    <s v="Stephen Johnson"/>
    <s v="robertwalker@edwards-bradley.com"/>
    <n v="923047125871"/>
    <x v="5"/>
    <s v="Pakistan"/>
    <x v="5"/>
    <n v="4"/>
    <n v="7723"/>
    <n v="30892"/>
    <x v="3"/>
    <x v="2"/>
    <x v="0"/>
  </r>
  <r>
    <s v="PK-100155"/>
    <x v="109"/>
    <s v="Kristen Thomas"/>
    <s v="emily72@yahoo.com"/>
    <n v="923258955653"/>
    <x v="1"/>
    <s v="Pakistan"/>
    <x v="3"/>
    <n v="2"/>
    <n v="14073"/>
    <n v="28146"/>
    <x v="0"/>
    <x v="7"/>
    <x v="0"/>
  </r>
  <r>
    <s v="PK-100156"/>
    <x v="17"/>
    <s v="Amber Robles"/>
    <s v="fsmith@gmail.com"/>
    <n v="923269840114"/>
    <x v="3"/>
    <s v="Pakistan"/>
    <x v="0"/>
    <n v="3"/>
    <n v="7097"/>
    <n v="21291"/>
    <x v="5"/>
    <x v="0"/>
    <x v="0"/>
  </r>
  <r>
    <s v="PK-100157"/>
    <x v="75"/>
    <s v="Nicole Jacobs"/>
    <s v="hmartinez@gmail.com"/>
    <n v="923241954788"/>
    <x v="0"/>
    <s v="Pakistan"/>
    <x v="1"/>
    <n v="4"/>
    <n v="12347"/>
    <n v="49388"/>
    <x v="5"/>
    <x v="1"/>
    <x v="1"/>
  </r>
  <r>
    <s v="PK-100158"/>
    <x v="11"/>
    <s v="Traci Grimes"/>
    <s v="christopherpetersen@johnson.com"/>
    <n v="923077812015"/>
    <x v="3"/>
    <s v="Pakistan"/>
    <x v="0"/>
    <n v="1"/>
    <n v="2504"/>
    <n v="2504"/>
    <x v="0"/>
    <x v="7"/>
    <x v="1"/>
  </r>
  <r>
    <s v="PK-100159"/>
    <x v="42"/>
    <s v="Rachel Harris"/>
    <s v="emilyhenderson@hill.org"/>
    <n v="923274688169"/>
    <x v="1"/>
    <s v="Pakistan"/>
    <x v="4"/>
    <n v="1"/>
    <n v="8028"/>
    <n v="8028"/>
    <x v="2"/>
    <x v="0"/>
    <x v="3"/>
  </r>
  <r>
    <s v="PK-100160"/>
    <x v="127"/>
    <s v="David Jones"/>
    <s v="kennethcastro@nelson.com"/>
    <n v="923470606061"/>
    <x v="0"/>
    <s v="Pakistan"/>
    <x v="0"/>
    <n v="4"/>
    <n v="14105"/>
    <n v="56420"/>
    <x v="2"/>
    <x v="1"/>
    <x v="2"/>
  </r>
  <r>
    <s v="PK-100161"/>
    <x v="89"/>
    <s v="James Parker"/>
    <s v="burtonmaria@gmail.com"/>
    <n v="923312994923"/>
    <x v="3"/>
    <s v="Pakistan"/>
    <x v="1"/>
    <n v="3"/>
    <n v="1131"/>
    <n v="3393"/>
    <x v="4"/>
    <x v="2"/>
    <x v="1"/>
  </r>
  <r>
    <s v="PK-100162"/>
    <x v="80"/>
    <s v="Robert Heath"/>
    <s v="epatterson@gmail.com"/>
    <n v="923283866909"/>
    <x v="2"/>
    <s v="Pakistan"/>
    <x v="0"/>
    <n v="5"/>
    <n v="6048"/>
    <n v="30240"/>
    <x v="5"/>
    <x v="7"/>
    <x v="3"/>
  </r>
  <r>
    <s v="PK-100163"/>
    <x v="128"/>
    <s v="Micheal Green"/>
    <s v="gillsean@yahoo.com"/>
    <n v="923392214952"/>
    <x v="2"/>
    <s v="Pakistan"/>
    <x v="5"/>
    <n v="3"/>
    <n v="8321"/>
    <n v="24963"/>
    <x v="5"/>
    <x v="0"/>
    <x v="1"/>
  </r>
  <r>
    <s v="PK-100164"/>
    <x v="129"/>
    <s v="Douglas King"/>
    <s v="robertopayne@chang.com"/>
    <n v="923335220746"/>
    <x v="3"/>
    <s v="Pakistan"/>
    <x v="5"/>
    <n v="4"/>
    <n v="12318"/>
    <n v="49272"/>
    <x v="3"/>
    <x v="3"/>
    <x v="2"/>
  </r>
  <r>
    <s v="PK-100165"/>
    <x v="130"/>
    <s v="Antonio Nguyen"/>
    <s v="torresjeffrey@gmail.com"/>
    <n v="923493443785"/>
    <x v="3"/>
    <s v="Pakistan"/>
    <x v="5"/>
    <n v="5"/>
    <n v="7076"/>
    <n v="35380"/>
    <x v="2"/>
    <x v="3"/>
    <x v="2"/>
  </r>
  <r>
    <s v="PK-100166"/>
    <x v="131"/>
    <s v="Marisa Wheeler"/>
    <s v="davidsonlinda@walters-young.biz"/>
    <n v="923433208606"/>
    <x v="4"/>
    <s v="Pakistan"/>
    <x v="2"/>
    <n v="5"/>
    <n v="9662"/>
    <n v="48310"/>
    <x v="3"/>
    <x v="2"/>
    <x v="0"/>
  </r>
  <r>
    <s v="PK-100167"/>
    <x v="132"/>
    <s v="Andrew Williams"/>
    <s v="jennifer73@arnold.com"/>
    <n v="923029626606"/>
    <x v="5"/>
    <s v="Pakistan"/>
    <x v="2"/>
    <n v="1"/>
    <n v="12063"/>
    <n v="12063"/>
    <x v="2"/>
    <x v="0"/>
    <x v="0"/>
  </r>
  <r>
    <s v="PK-100168"/>
    <x v="133"/>
    <s v="Amanda Ray"/>
    <s v="hsanders@jones.com"/>
    <n v="923066865203"/>
    <x v="7"/>
    <s v="Pakistan"/>
    <x v="1"/>
    <n v="4"/>
    <n v="14195"/>
    <n v="56780"/>
    <x v="0"/>
    <x v="2"/>
    <x v="2"/>
  </r>
  <r>
    <s v="PK-100169"/>
    <x v="134"/>
    <s v="Glenn Cox"/>
    <s v="dunngreg@boyd-macdonald.biz"/>
    <n v="923083641920"/>
    <x v="2"/>
    <s v="Pakistan"/>
    <x v="2"/>
    <n v="3"/>
    <n v="10447"/>
    <n v="31341"/>
    <x v="5"/>
    <x v="0"/>
    <x v="1"/>
  </r>
  <r>
    <s v="PK-100170"/>
    <x v="135"/>
    <s v="Kristen Mitchell"/>
    <s v="glovermike@hotmail.com"/>
    <n v="923381296395"/>
    <x v="4"/>
    <s v="Pakistan"/>
    <x v="4"/>
    <n v="1"/>
    <n v="1810"/>
    <n v="1810"/>
    <x v="2"/>
    <x v="6"/>
    <x v="3"/>
  </r>
  <r>
    <s v="PK-100171"/>
    <x v="31"/>
    <s v="Mrs. Amanda Ferguson"/>
    <s v="uashley@cooper-cochran.biz"/>
    <n v="923276161882"/>
    <x v="5"/>
    <s v="Pakistan"/>
    <x v="3"/>
    <n v="5"/>
    <n v="4763"/>
    <n v="23815"/>
    <x v="2"/>
    <x v="4"/>
    <x v="0"/>
  </r>
  <r>
    <s v="PK-100172"/>
    <x v="136"/>
    <s v="Heather Adams"/>
    <s v="johnkelley@wall.com"/>
    <n v="923407412520"/>
    <x v="9"/>
    <s v="Pakistan"/>
    <x v="5"/>
    <n v="5"/>
    <n v="1676"/>
    <n v="8380"/>
    <x v="5"/>
    <x v="6"/>
    <x v="2"/>
  </r>
  <r>
    <s v="PK-100173"/>
    <x v="137"/>
    <s v="David Golden"/>
    <s v="davisvanessa@martinez.com"/>
    <n v="923346933235"/>
    <x v="6"/>
    <s v="Pakistan"/>
    <x v="3"/>
    <n v="4"/>
    <n v="1594"/>
    <n v="6376"/>
    <x v="2"/>
    <x v="0"/>
    <x v="0"/>
  </r>
  <r>
    <s v="PK-100174"/>
    <x v="48"/>
    <s v="Diane Murray"/>
    <s v="thomas18@kirk.com"/>
    <n v="923430362473"/>
    <x v="4"/>
    <s v="Pakistan"/>
    <x v="2"/>
    <n v="3"/>
    <n v="7483"/>
    <n v="22449"/>
    <x v="2"/>
    <x v="3"/>
    <x v="2"/>
  </r>
  <r>
    <s v="PK-100175"/>
    <x v="138"/>
    <s v="Christopher Butler"/>
    <s v="paul34@hernandez-carter.com"/>
    <n v="923339074682"/>
    <x v="2"/>
    <s v="Pakistan"/>
    <x v="5"/>
    <n v="4"/>
    <n v="14452"/>
    <n v="57808"/>
    <x v="4"/>
    <x v="4"/>
    <x v="3"/>
  </r>
  <r>
    <s v="PK-100176"/>
    <x v="139"/>
    <s v="Tyler Williamson"/>
    <s v="yhoward@hines.com"/>
    <n v="923159612457"/>
    <x v="6"/>
    <s v="Pakistan"/>
    <x v="4"/>
    <n v="4"/>
    <n v="9568"/>
    <n v="38272"/>
    <x v="4"/>
    <x v="4"/>
    <x v="3"/>
  </r>
  <r>
    <s v="PK-100177"/>
    <x v="140"/>
    <s v="Yolanda Stark"/>
    <s v="hilljennifer@yahoo.com"/>
    <n v="923005823559"/>
    <x v="1"/>
    <s v="Pakistan"/>
    <x v="1"/>
    <n v="5"/>
    <n v="3835"/>
    <n v="19175"/>
    <x v="1"/>
    <x v="5"/>
    <x v="0"/>
  </r>
  <r>
    <s v="PK-100178"/>
    <x v="60"/>
    <s v="Jesse Bird"/>
    <s v="adamskinner@gmail.com"/>
    <n v="923426112295"/>
    <x v="0"/>
    <s v="Pakistan"/>
    <x v="2"/>
    <n v="5"/>
    <n v="5386"/>
    <n v="26930"/>
    <x v="5"/>
    <x v="1"/>
    <x v="2"/>
  </r>
  <r>
    <s v="PK-100179"/>
    <x v="106"/>
    <s v="Jeremy Coleman"/>
    <s v="gmoreno@hotmail.com"/>
    <n v="923060546467"/>
    <x v="3"/>
    <s v="Pakistan"/>
    <x v="4"/>
    <n v="3"/>
    <n v="6549"/>
    <n v="19647"/>
    <x v="2"/>
    <x v="5"/>
    <x v="0"/>
  </r>
  <r>
    <s v="PK-100180"/>
    <x v="141"/>
    <s v="Allison Lyons"/>
    <s v="tammie79@gmail.com"/>
    <n v="923311368382"/>
    <x v="0"/>
    <s v="Pakistan"/>
    <x v="3"/>
    <n v="2"/>
    <n v="7122"/>
    <n v="14244"/>
    <x v="1"/>
    <x v="4"/>
    <x v="1"/>
  </r>
  <r>
    <s v="PK-100181"/>
    <x v="142"/>
    <s v="Preston Perez"/>
    <s v="john13@gmail.com"/>
    <n v="923443973686"/>
    <x v="4"/>
    <s v="Pakistan"/>
    <x v="4"/>
    <n v="4"/>
    <n v="4387"/>
    <n v="17548"/>
    <x v="5"/>
    <x v="6"/>
    <x v="3"/>
  </r>
  <r>
    <s v="PK-100182"/>
    <x v="143"/>
    <s v="Kylie Smith"/>
    <s v="cynthia75@beasley-gonzalez.com"/>
    <n v="923232744300"/>
    <x v="9"/>
    <s v="Pakistan"/>
    <x v="2"/>
    <n v="1"/>
    <n v="11737"/>
    <n v="11737"/>
    <x v="0"/>
    <x v="2"/>
    <x v="2"/>
  </r>
  <r>
    <s v="PK-100183"/>
    <x v="5"/>
    <s v="Robyn Graham"/>
    <s v="michael66@simpson-foley.com"/>
    <n v="923140514567"/>
    <x v="5"/>
    <s v="Pakistan"/>
    <x v="1"/>
    <n v="3"/>
    <n v="3978"/>
    <n v="11934"/>
    <x v="1"/>
    <x v="6"/>
    <x v="0"/>
  </r>
  <r>
    <s v="PK-100184"/>
    <x v="144"/>
    <s v="Danielle Baker"/>
    <s v="lanekeith@yahoo.com"/>
    <n v="923092872696"/>
    <x v="4"/>
    <s v="Pakistan"/>
    <x v="0"/>
    <n v="3"/>
    <n v="4656"/>
    <n v="13968"/>
    <x v="2"/>
    <x v="3"/>
    <x v="0"/>
  </r>
  <r>
    <s v="PK-100185"/>
    <x v="111"/>
    <s v="Matthew Vasquez"/>
    <s v="adamsanders@gmail.com"/>
    <n v="923420153524"/>
    <x v="4"/>
    <s v="Pakistan"/>
    <x v="4"/>
    <n v="4"/>
    <n v="5703"/>
    <n v="22812"/>
    <x v="5"/>
    <x v="1"/>
    <x v="3"/>
  </r>
  <r>
    <s v="PK-100186"/>
    <x v="145"/>
    <s v="Patrick Ashley"/>
    <s v="santanaselena@castillo-caldwell.com"/>
    <n v="923163176293"/>
    <x v="5"/>
    <s v="Pakistan"/>
    <x v="4"/>
    <n v="5"/>
    <n v="2006"/>
    <n v="10030"/>
    <x v="1"/>
    <x v="3"/>
    <x v="2"/>
  </r>
  <r>
    <s v="PK-100187"/>
    <x v="146"/>
    <s v="Angela May"/>
    <s v="carlsonadrian@mercado-pacheco.com"/>
    <n v="923167760181"/>
    <x v="5"/>
    <s v="Pakistan"/>
    <x v="5"/>
    <n v="2"/>
    <n v="12459"/>
    <n v="24918"/>
    <x v="4"/>
    <x v="3"/>
    <x v="0"/>
  </r>
  <r>
    <s v="PK-100188"/>
    <x v="147"/>
    <s v="Valerie Cooper"/>
    <s v="johnclark@brown.biz"/>
    <n v="923496828183"/>
    <x v="4"/>
    <s v="Pakistan"/>
    <x v="4"/>
    <n v="3"/>
    <n v="10400"/>
    <n v="31200"/>
    <x v="3"/>
    <x v="4"/>
    <x v="3"/>
  </r>
  <r>
    <s v="PK-100189"/>
    <x v="116"/>
    <s v="Luis Porter"/>
    <s v="joseph79@black.com"/>
    <n v="923104352335"/>
    <x v="9"/>
    <s v="Pakistan"/>
    <x v="5"/>
    <n v="4"/>
    <n v="8460"/>
    <n v="33840"/>
    <x v="5"/>
    <x v="3"/>
    <x v="0"/>
  </r>
  <r>
    <s v="PK-100190"/>
    <x v="66"/>
    <s v="Nicole Chambers"/>
    <s v="monroebrandon@rhodes-frost.biz"/>
    <n v="923120409937"/>
    <x v="5"/>
    <s v="Pakistan"/>
    <x v="3"/>
    <n v="5"/>
    <n v="5144"/>
    <n v="25720"/>
    <x v="3"/>
    <x v="5"/>
    <x v="2"/>
  </r>
  <r>
    <s v="PK-100191"/>
    <x v="148"/>
    <s v="Danielle Richard"/>
    <s v="david05@flores.biz"/>
    <n v="923052887310"/>
    <x v="0"/>
    <s v="Pakistan"/>
    <x v="5"/>
    <n v="3"/>
    <n v="6567"/>
    <n v="19701"/>
    <x v="0"/>
    <x v="7"/>
    <x v="1"/>
  </r>
  <r>
    <s v="PK-100192"/>
    <x v="76"/>
    <s v="Sharon Wall"/>
    <s v="christophersmith@hotmail.com"/>
    <n v="923114002826"/>
    <x v="2"/>
    <s v="Pakistan"/>
    <x v="5"/>
    <n v="1"/>
    <n v="2277"/>
    <n v="2277"/>
    <x v="4"/>
    <x v="4"/>
    <x v="3"/>
  </r>
  <r>
    <s v="PK-100193"/>
    <x v="149"/>
    <s v="John Peterson"/>
    <s v="freeves@barker.net"/>
    <n v="923303141914"/>
    <x v="8"/>
    <s v="Pakistan"/>
    <x v="4"/>
    <n v="1"/>
    <n v="4018"/>
    <n v="4018"/>
    <x v="1"/>
    <x v="4"/>
    <x v="3"/>
  </r>
  <r>
    <s v="PK-100194"/>
    <x v="150"/>
    <s v="Courtney Lucas"/>
    <s v="tgraham@rodriguez.com"/>
    <n v="923030520235"/>
    <x v="5"/>
    <s v="Pakistan"/>
    <x v="0"/>
    <n v="4"/>
    <n v="12617"/>
    <n v="50468"/>
    <x v="5"/>
    <x v="4"/>
    <x v="1"/>
  </r>
  <r>
    <s v="PK-100195"/>
    <x v="62"/>
    <s v="Victor Lopez"/>
    <s v="caseymiles@yahoo.com"/>
    <n v="923026660564"/>
    <x v="6"/>
    <s v="Pakistan"/>
    <x v="2"/>
    <n v="4"/>
    <n v="2037"/>
    <n v="8148"/>
    <x v="3"/>
    <x v="3"/>
    <x v="0"/>
  </r>
  <r>
    <s v="PK-100196"/>
    <x v="57"/>
    <s v="James Payne"/>
    <s v="lclark@stein.net"/>
    <n v="923136663246"/>
    <x v="2"/>
    <s v="Pakistan"/>
    <x v="5"/>
    <n v="3"/>
    <n v="8071"/>
    <n v="24213"/>
    <x v="4"/>
    <x v="7"/>
    <x v="3"/>
  </r>
  <r>
    <s v="PK-100197"/>
    <x v="151"/>
    <s v="Michael Lee"/>
    <s v="kevinrobertson@roberts.net"/>
    <n v="923367735177"/>
    <x v="2"/>
    <s v="Pakistan"/>
    <x v="3"/>
    <n v="2"/>
    <n v="10894"/>
    <n v="21788"/>
    <x v="2"/>
    <x v="3"/>
    <x v="0"/>
  </r>
  <r>
    <s v="PK-100198"/>
    <x v="152"/>
    <s v="Lori Russell"/>
    <s v="emilyestrada@hotmail.com"/>
    <n v="923433192184"/>
    <x v="3"/>
    <s v="Pakistan"/>
    <x v="1"/>
    <n v="1"/>
    <n v="4996"/>
    <n v="4996"/>
    <x v="3"/>
    <x v="7"/>
    <x v="1"/>
  </r>
  <r>
    <s v="PK-100199"/>
    <x v="153"/>
    <s v="Pam Ford DDS"/>
    <s v="pottsashley@gmail.com"/>
    <n v="923405235189"/>
    <x v="6"/>
    <s v="Pakistan"/>
    <x v="1"/>
    <n v="1"/>
    <n v="9363"/>
    <n v="9363"/>
    <x v="3"/>
    <x v="3"/>
    <x v="0"/>
  </r>
  <r>
    <s v="PK-100200"/>
    <x v="67"/>
    <s v="Hector Watkins"/>
    <s v="aclark@gmail.com"/>
    <n v="923380414276"/>
    <x v="7"/>
    <s v="Pakistan"/>
    <x v="1"/>
    <n v="3"/>
    <n v="3244"/>
    <n v="9732"/>
    <x v="0"/>
    <x v="3"/>
    <x v="0"/>
  </r>
  <r>
    <s v="PK-100201"/>
    <x v="2"/>
    <s v="Kimberly Stephenson"/>
    <s v="ashley70@schmitt.com"/>
    <n v="923472599670"/>
    <x v="4"/>
    <s v="Pakistan"/>
    <x v="0"/>
    <n v="1"/>
    <n v="7632"/>
    <n v="7632"/>
    <x v="3"/>
    <x v="1"/>
    <x v="0"/>
  </r>
  <r>
    <s v="PK-100202"/>
    <x v="132"/>
    <s v="Melissa Gomez"/>
    <s v="jade13@espinoza.com"/>
    <n v="923223041947"/>
    <x v="0"/>
    <s v="Pakistan"/>
    <x v="3"/>
    <n v="3"/>
    <n v="1300"/>
    <n v="3900"/>
    <x v="4"/>
    <x v="7"/>
    <x v="3"/>
  </r>
  <r>
    <s v="PK-100203"/>
    <x v="154"/>
    <s v="Savannah Melendez"/>
    <s v="qnguyen@watts.info"/>
    <n v="923061674272"/>
    <x v="0"/>
    <s v="Pakistan"/>
    <x v="1"/>
    <n v="4"/>
    <n v="3812"/>
    <n v="15248"/>
    <x v="2"/>
    <x v="3"/>
    <x v="3"/>
  </r>
  <r>
    <s v="PK-100204"/>
    <x v="155"/>
    <s v="Morgan Olson"/>
    <s v="wbrown@luna.com"/>
    <n v="923368843772"/>
    <x v="1"/>
    <s v="Pakistan"/>
    <x v="2"/>
    <n v="1"/>
    <n v="5664"/>
    <n v="5664"/>
    <x v="5"/>
    <x v="3"/>
    <x v="0"/>
  </r>
  <r>
    <s v="PK-100205"/>
    <x v="136"/>
    <s v="John Osborne"/>
    <s v="robertsdarlene@martinez.com"/>
    <n v="923054185213"/>
    <x v="5"/>
    <s v="Pakistan"/>
    <x v="5"/>
    <n v="2"/>
    <n v="9998"/>
    <n v="19996"/>
    <x v="0"/>
    <x v="6"/>
    <x v="1"/>
  </r>
  <r>
    <s v="PK-100206"/>
    <x v="156"/>
    <s v="Tara Wilcox"/>
    <s v="bethlindsey@gmail.com"/>
    <n v="923297094040"/>
    <x v="3"/>
    <s v="Pakistan"/>
    <x v="1"/>
    <n v="4"/>
    <n v="7611"/>
    <n v="30444"/>
    <x v="2"/>
    <x v="0"/>
    <x v="0"/>
  </r>
  <r>
    <s v="PK-100207"/>
    <x v="93"/>
    <s v="Melanie Richards"/>
    <s v="lvargas@sullivan.info"/>
    <n v="923329258406"/>
    <x v="5"/>
    <s v="Pakistan"/>
    <x v="2"/>
    <n v="5"/>
    <n v="2020"/>
    <n v="10100"/>
    <x v="0"/>
    <x v="5"/>
    <x v="1"/>
  </r>
  <r>
    <s v="PK-100208"/>
    <x v="157"/>
    <s v="Elizabeth Lewis"/>
    <s v="krystal45@stewart.org"/>
    <n v="923223997830"/>
    <x v="6"/>
    <s v="Pakistan"/>
    <x v="5"/>
    <n v="1"/>
    <n v="11751"/>
    <n v="11751"/>
    <x v="1"/>
    <x v="0"/>
    <x v="2"/>
  </r>
  <r>
    <s v="PK-100209"/>
    <x v="122"/>
    <s v="Maria Osborne"/>
    <s v="timothy09@taylor.com"/>
    <n v="923431423783"/>
    <x v="1"/>
    <s v="Pakistan"/>
    <x v="0"/>
    <n v="3"/>
    <n v="1599"/>
    <n v="4797"/>
    <x v="2"/>
    <x v="4"/>
    <x v="1"/>
  </r>
  <r>
    <s v="PK-100210"/>
    <x v="96"/>
    <s v="Dustin Murphy"/>
    <s v="susangreene@gmail.com"/>
    <n v="923425500845"/>
    <x v="1"/>
    <s v="Pakistan"/>
    <x v="0"/>
    <n v="1"/>
    <n v="5252"/>
    <n v="5252"/>
    <x v="0"/>
    <x v="6"/>
    <x v="1"/>
  </r>
  <r>
    <s v="PK-100211"/>
    <x v="117"/>
    <s v="Mrs. Andrea Johnson"/>
    <s v="vshaw@hotmail.com"/>
    <n v="923487398906"/>
    <x v="0"/>
    <s v="Pakistan"/>
    <x v="4"/>
    <n v="3"/>
    <n v="3912"/>
    <n v="11736"/>
    <x v="0"/>
    <x v="7"/>
    <x v="0"/>
  </r>
  <r>
    <s v="PK-100212"/>
    <x v="19"/>
    <s v="Kristi Harris"/>
    <s v="fgill@gmail.com"/>
    <n v="923400549037"/>
    <x v="5"/>
    <s v="Pakistan"/>
    <x v="2"/>
    <n v="2"/>
    <n v="10987"/>
    <n v="21974"/>
    <x v="5"/>
    <x v="5"/>
    <x v="0"/>
  </r>
  <r>
    <s v="PK-100213"/>
    <x v="40"/>
    <s v="Joshua Roberts"/>
    <s v="johnathan98@yahoo.com"/>
    <n v="923454076993"/>
    <x v="9"/>
    <s v="Pakistan"/>
    <x v="3"/>
    <n v="3"/>
    <n v="5738"/>
    <n v="17214"/>
    <x v="2"/>
    <x v="2"/>
    <x v="3"/>
  </r>
  <r>
    <s v="PK-100214"/>
    <x v="8"/>
    <s v="Michael Flores"/>
    <s v="traci08@todd-best.com"/>
    <n v="923172257286"/>
    <x v="2"/>
    <s v="Pakistan"/>
    <x v="1"/>
    <n v="4"/>
    <n v="11625"/>
    <n v="46500"/>
    <x v="4"/>
    <x v="4"/>
    <x v="0"/>
  </r>
  <r>
    <s v="PK-100215"/>
    <x v="158"/>
    <s v="Stephanie Hart"/>
    <s v="johnsonpaul@townsend.com"/>
    <n v="923211227190"/>
    <x v="8"/>
    <s v="Pakistan"/>
    <x v="3"/>
    <n v="1"/>
    <n v="1117"/>
    <n v="1117"/>
    <x v="4"/>
    <x v="2"/>
    <x v="3"/>
  </r>
  <r>
    <s v="PK-100216"/>
    <x v="159"/>
    <s v="Amy Perez"/>
    <s v="kellianderson@medina-johnson.com"/>
    <n v="923363381094"/>
    <x v="5"/>
    <s v="Pakistan"/>
    <x v="5"/>
    <n v="2"/>
    <n v="6164"/>
    <n v="12328"/>
    <x v="4"/>
    <x v="3"/>
    <x v="2"/>
  </r>
  <r>
    <s v="PK-100217"/>
    <x v="49"/>
    <s v="Autumn Hoover"/>
    <s v="psantos@yahoo.com"/>
    <n v="923367359785"/>
    <x v="3"/>
    <s v="Pakistan"/>
    <x v="0"/>
    <n v="3"/>
    <n v="4097"/>
    <n v="12291"/>
    <x v="2"/>
    <x v="4"/>
    <x v="3"/>
  </r>
  <r>
    <s v="PK-100218"/>
    <x v="160"/>
    <s v="Janet Nelson"/>
    <s v="gcurry@yahoo.com"/>
    <n v="923317034569"/>
    <x v="9"/>
    <s v="Pakistan"/>
    <x v="4"/>
    <n v="5"/>
    <n v="10328"/>
    <n v="51640"/>
    <x v="1"/>
    <x v="1"/>
    <x v="0"/>
  </r>
  <r>
    <s v="PK-100219"/>
    <x v="161"/>
    <s v="Timothy Shah"/>
    <s v="veronicaewing@monroe-mitchell.com"/>
    <n v="923005041352"/>
    <x v="3"/>
    <s v="Pakistan"/>
    <x v="1"/>
    <n v="1"/>
    <n v="5869"/>
    <n v="5869"/>
    <x v="4"/>
    <x v="4"/>
    <x v="3"/>
  </r>
  <r>
    <s v="PK-100220"/>
    <x v="162"/>
    <s v="Alexander Smith"/>
    <s v="qlarsen@ross-grimes.net"/>
    <n v="923227975569"/>
    <x v="3"/>
    <s v="Pakistan"/>
    <x v="4"/>
    <n v="4"/>
    <n v="5237"/>
    <n v="20948"/>
    <x v="3"/>
    <x v="3"/>
    <x v="3"/>
  </r>
  <r>
    <s v="PK-100221"/>
    <x v="163"/>
    <s v="Krystal Day"/>
    <s v="april68@yahoo.com"/>
    <n v="923369226942"/>
    <x v="7"/>
    <s v="Pakistan"/>
    <x v="0"/>
    <n v="5"/>
    <n v="1705"/>
    <n v="8525"/>
    <x v="5"/>
    <x v="4"/>
    <x v="0"/>
  </r>
  <r>
    <s v="PK-100222"/>
    <x v="164"/>
    <s v="Laura Leon"/>
    <s v="lcarter@hotmail.com"/>
    <n v="923072601360"/>
    <x v="9"/>
    <s v="Pakistan"/>
    <x v="5"/>
    <n v="4"/>
    <n v="6074"/>
    <n v="24296"/>
    <x v="1"/>
    <x v="7"/>
    <x v="1"/>
  </r>
  <r>
    <s v="PK-100223"/>
    <x v="165"/>
    <s v="Christopher Velasquez"/>
    <s v="janice71@yahoo.com"/>
    <n v="923416811786"/>
    <x v="1"/>
    <s v="Pakistan"/>
    <x v="1"/>
    <n v="2"/>
    <n v="4532"/>
    <n v="9064"/>
    <x v="4"/>
    <x v="2"/>
    <x v="3"/>
  </r>
  <r>
    <s v="PK-100224"/>
    <x v="140"/>
    <s v="Jessica Miller"/>
    <s v="gardnerann@hotmail.com"/>
    <n v="923048018915"/>
    <x v="4"/>
    <s v="Pakistan"/>
    <x v="3"/>
    <n v="4"/>
    <n v="12445"/>
    <n v="49780"/>
    <x v="5"/>
    <x v="7"/>
    <x v="2"/>
  </r>
  <r>
    <s v="PK-100225"/>
    <x v="166"/>
    <s v="Kara Allen"/>
    <s v="maciashenry@sullivan-williamson.com"/>
    <n v="923203062442"/>
    <x v="4"/>
    <s v="Pakistan"/>
    <x v="2"/>
    <n v="1"/>
    <n v="7542"/>
    <n v="7542"/>
    <x v="3"/>
    <x v="3"/>
    <x v="3"/>
  </r>
  <r>
    <s v="PK-100226"/>
    <x v="167"/>
    <s v="Terry Griffin"/>
    <s v="smiller@fields.com"/>
    <n v="923158607743"/>
    <x v="9"/>
    <s v="Pakistan"/>
    <x v="4"/>
    <n v="5"/>
    <n v="11065"/>
    <n v="55325"/>
    <x v="5"/>
    <x v="6"/>
    <x v="1"/>
  </r>
  <r>
    <s v="PK-100227"/>
    <x v="168"/>
    <s v="Mary Miller"/>
    <s v="garciajodi@cox.org"/>
    <n v="923379258346"/>
    <x v="8"/>
    <s v="Pakistan"/>
    <x v="1"/>
    <n v="5"/>
    <n v="1189"/>
    <n v="5945"/>
    <x v="0"/>
    <x v="6"/>
    <x v="1"/>
  </r>
  <r>
    <s v="PK-100228"/>
    <x v="169"/>
    <s v="Mia Arnold"/>
    <s v="xzamora@russell.com"/>
    <n v="923440848280"/>
    <x v="4"/>
    <s v="Pakistan"/>
    <x v="1"/>
    <n v="4"/>
    <n v="9803"/>
    <n v="39212"/>
    <x v="4"/>
    <x v="1"/>
    <x v="0"/>
  </r>
  <r>
    <s v="PK-100229"/>
    <x v="170"/>
    <s v="Lisa Moore"/>
    <s v="youngpatrick@foster.com"/>
    <n v="923234826934"/>
    <x v="8"/>
    <s v="Pakistan"/>
    <x v="5"/>
    <n v="4"/>
    <n v="2862"/>
    <n v="11448"/>
    <x v="2"/>
    <x v="0"/>
    <x v="1"/>
  </r>
  <r>
    <s v="PK-100230"/>
    <x v="171"/>
    <s v="Mr. Troy Smith"/>
    <s v="uspencer@gmail.com"/>
    <n v="923328551792"/>
    <x v="4"/>
    <s v="Pakistan"/>
    <x v="5"/>
    <n v="1"/>
    <n v="12800"/>
    <n v="12800"/>
    <x v="2"/>
    <x v="7"/>
    <x v="0"/>
  </r>
  <r>
    <s v="PK-100231"/>
    <x v="37"/>
    <s v="Elizabeth Delacruz"/>
    <s v="taylorrichardson@gmail.com"/>
    <n v="923012694020"/>
    <x v="3"/>
    <s v="Pakistan"/>
    <x v="4"/>
    <n v="4"/>
    <n v="10065"/>
    <n v="40260"/>
    <x v="1"/>
    <x v="1"/>
    <x v="3"/>
  </r>
  <r>
    <s v="PK-100232"/>
    <x v="151"/>
    <s v="Chad Mendez"/>
    <s v="dgarza@stewart-lopez.biz"/>
    <n v="923454261393"/>
    <x v="5"/>
    <s v="Pakistan"/>
    <x v="4"/>
    <n v="5"/>
    <n v="10877"/>
    <n v="54385"/>
    <x v="1"/>
    <x v="3"/>
    <x v="3"/>
  </r>
  <r>
    <s v="PK-100233"/>
    <x v="172"/>
    <s v="Kristy Sanchez"/>
    <s v="stevensnancy@johnston.info"/>
    <n v="923105815212"/>
    <x v="0"/>
    <s v="Pakistan"/>
    <x v="2"/>
    <n v="3"/>
    <n v="11398"/>
    <n v="34194"/>
    <x v="3"/>
    <x v="7"/>
    <x v="0"/>
  </r>
  <r>
    <s v="PK-100234"/>
    <x v="173"/>
    <s v="Lisa Cooper"/>
    <s v="anna11@garcia-lawrence.info"/>
    <n v="923227456740"/>
    <x v="9"/>
    <s v="Pakistan"/>
    <x v="5"/>
    <n v="3"/>
    <n v="4868"/>
    <n v="14604"/>
    <x v="0"/>
    <x v="3"/>
    <x v="2"/>
  </r>
  <r>
    <s v="PK-100235"/>
    <x v="149"/>
    <s v="Lauren Scott"/>
    <s v="michelle79@gmail.com"/>
    <n v="923282995571"/>
    <x v="3"/>
    <s v="Pakistan"/>
    <x v="1"/>
    <n v="4"/>
    <n v="11975"/>
    <n v="47900"/>
    <x v="1"/>
    <x v="0"/>
    <x v="3"/>
  </r>
  <r>
    <s v="PK-100236"/>
    <x v="89"/>
    <s v="Shane Weber"/>
    <s v="christianmiranda@cruz.com"/>
    <n v="923136830509"/>
    <x v="5"/>
    <s v="Pakistan"/>
    <x v="0"/>
    <n v="1"/>
    <n v="14966"/>
    <n v="14966"/>
    <x v="2"/>
    <x v="1"/>
    <x v="2"/>
  </r>
  <r>
    <s v="PK-100237"/>
    <x v="174"/>
    <s v="Matthew Parker"/>
    <s v="jodymason@lopez.com"/>
    <n v="923034398199"/>
    <x v="9"/>
    <s v="Pakistan"/>
    <x v="0"/>
    <n v="2"/>
    <n v="1121"/>
    <n v="2242"/>
    <x v="4"/>
    <x v="1"/>
    <x v="3"/>
  </r>
  <r>
    <s v="PK-100238"/>
    <x v="175"/>
    <s v="Mary Graham"/>
    <s v="sara17@yahoo.com"/>
    <n v="923157928416"/>
    <x v="9"/>
    <s v="Pakistan"/>
    <x v="2"/>
    <n v="2"/>
    <n v="7499"/>
    <n v="14998"/>
    <x v="5"/>
    <x v="1"/>
    <x v="2"/>
  </r>
  <r>
    <s v="PK-100239"/>
    <x v="176"/>
    <s v="Mary Wilkins"/>
    <s v="jeanette60@hotmail.com"/>
    <n v="923430642557"/>
    <x v="6"/>
    <s v="Pakistan"/>
    <x v="2"/>
    <n v="5"/>
    <n v="7184"/>
    <n v="35920"/>
    <x v="5"/>
    <x v="6"/>
    <x v="0"/>
  </r>
  <r>
    <s v="PK-100240"/>
    <x v="81"/>
    <s v="Peter Harmon"/>
    <s v="andersonjessica@hotmail.com"/>
    <n v="923051108194"/>
    <x v="2"/>
    <s v="Pakistan"/>
    <x v="5"/>
    <n v="3"/>
    <n v="6114"/>
    <n v="18342"/>
    <x v="4"/>
    <x v="1"/>
    <x v="0"/>
  </r>
  <r>
    <s v="PK-100241"/>
    <x v="177"/>
    <s v="Adrienne Richardson"/>
    <s v="deborahlopez@yahoo.com"/>
    <n v="923196749814"/>
    <x v="7"/>
    <s v="Pakistan"/>
    <x v="0"/>
    <n v="1"/>
    <n v="1161"/>
    <n v="1161"/>
    <x v="1"/>
    <x v="3"/>
    <x v="0"/>
  </r>
  <r>
    <s v="PK-100242"/>
    <x v="178"/>
    <s v="Michelle Smith"/>
    <s v="rmeyer@barron-stone.com"/>
    <n v="923193815220"/>
    <x v="2"/>
    <s v="Pakistan"/>
    <x v="5"/>
    <n v="1"/>
    <n v="5420"/>
    <n v="5420"/>
    <x v="0"/>
    <x v="5"/>
    <x v="2"/>
  </r>
  <r>
    <s v="PK-100243"/>
    <x v="167"/>
    <s v="Rebecca Medina"/>
    <s v="kevin31@gmail.com"/>
    <n v="923267669932"/>
    <x v="8"/>
    <s v="Pakistan"/>
    <x v="5"/>
    <n v="5"/>
    <n v="3626"/>
    <n v="18130"/>
    <x v="1"/>
    <x v="4"/>
    <x v="3"/>
  </r>
  <r>
    <s v="PK-100244"/>
    <x v="179"/>
    <s v="Ronnie King"/>
    <s v="peterslindsey@yahoo.com"/>
    <n v="923457509450"/>
    <x v="4"/>
    <s v="Pakistan"/>
    <x v="5"/>
    <n v="5"/>
    <n v="9030"/>
    <n v="45150"/>
    <x v="2"/>
    <x v="0"/>
    <x v="2"/>
  </r>
  <r>
    <s v="PK-100245"/>
    <x v="180"/>
    <s v="Brandon Park"/>
    <s v="jeffreymitchell@gmail.com"/>
    <n v="923063357569"/>
    <x v="4"/>
    <s v="Pakistan"/>
    <x v="0"/>
    <n v="3"/>
    <n v="1883"/>
    <n v="5649"/>
    <x v="5"/>
    <x v="0"/>
    <x v="1"/>
  </r>
  <r>
    <s v="PK-100246"/>
    <x v="181"/>
    <s v="Nicole Perez"/>
    <s v="cfranklin@yahoo.com"/>
    <n v="923223629465"/>
    <x v="8"/>
    <s v="Pakistan"/>
    <x v="2"/>
    <n v="3"/>
    <n v="4549"/>
    <n v="13647"/>
    <x v="4"/>
    <x v="5"/>
    <x v="3"/>
  </r>
  <r>
    <s v="PK-100247"/>
    <x v="182"/>
    <s v="Cheryl Rogers"/>
    <s v="ograves@yahoo.com"/>
    <n v="923317893688"/>
    <x v="0"/>
    <s v="Pakistan"/>
    <x v="4"/>
    <n v="1"/>
    <n v="7008"/>
    <n v="7008"/>
    <x v="5"/>
    <x v="7"/>
    <x v="2"/>
  </r>
  <r>
    <s v="PK-100248"/>
    <x v="183"/>
    <s v="Eric Hull"/>
    <s v="williamsjoseph@hotmail.com"/>
    <n v="923485475506"/>
    <x v="7"/>
    <s v="Pakistan"/>
    <x v="4"/>
    <n v="4"/>
    <n v="1243"/>
    <n v="4972"/>
    <x v="3"/>
    <x v="4"/>
    <x v="2"/>
  </r>
  <r>
    <s v="PK-100249"/>
    <x v="144"/>
    <s v="Jeffrey Shaw"/>
    <s v="kathrynbrooks@hotmail.com"/>
    <n v="923109509222"/>
    <x v="1"/>
    <s v="Pakistan"/>
    <x v="5"/>
    <n v="4"/>
    <n v="4321"/>
    <n v="17284"/>
    <x v="1"/>
    <x v="6"/>
    <x v="2"/>
  </r>
  <r>
    <s v="PK-100250"/>
    <x v="31"/>
    <s v="Joseph Thompson"/>
    <s v="christinemorales@gmail.com"/>
    <n v="923226813190"/>
    <x v="9"/>
    <s v="Pakistan"/>
    <x v="1"/>
    <n v="2"/>
    <n v="12450"/>
    <n v="24900"/>
    <x v="5"/>
    <x v="5"/>
    <x v="3"/>
  </r>
  <r>
    <s v="PK-100251"/>
    <x v="138"/>
    <s v="Christopher Hayes"/>
    <s v="katherinewalker@lowery-ferguson.biz"/>
    <n v="923475011428"/>
    <x v="4"/>
    <s v="Pakistan"/>
    <x v="2"/>
    <n v="1"/>
    <n v="4176"/>
    <n v="4176"/>
    <x v="5"/>
    <x v="6"/>
    <x v="0"/>
  </r>
  <r>
    <s v="PK-100252"/>
    <x v="184"/>
    <s v="Bridget Brooks"/>
    <s v="tjones@gmail.com"/>
    <n v="923243781506"/>
    <x v="9"/>
    <s v="Pakistan"/>
    <x v="5"/>
    <n v="3"/>
    <n v="3202"/>
    <n v="9606"/>
    <x v="4"/>
    <x v="5"/>
    <x v="0"/>
  </r>
  <r>
    <s v="PK-100253"/>
    <x v="68"/>
    <s v="Jacob Montoya"/>
    <s v="vevans@burnett-robinson.com"/>
    <n v="923166013746"/>
    <x v="2"/>
    <s v="Pakistan"/>
    <x v="4"/>
    <n v="4"/>
    <n v="3395"/>
    <n v="13580"/>
    <x v="4"/>
    <x v="4"/>
    <x v="0"/>
  </r>
  <r>
    <s v="PK-100254"/>
    <x v="185"/>
    <s v="Roy Ross"/>
    <s v="moralesjonathan@hotmail.com"/>
    <n v="923466577021"/>
    <x v="1"/>
    <s v="Pakistan"/>
    <x v="1"/>
    <n v="4"/>
    <n v="9290"/>
    <n v="37160"/>
    <x v="2"/>
    <x v="4"/>
    <x v="0"/>
  </r>
  <r>
    <s v="PK-100255"/>
    <x v="142"/>
    <s v="Brett Pineda"/>
    <s v="karen20@yahoo.com"/>
    <n v="923192305411"/>
    <x v="6"/>
    <s v="Pakistan"/>
    <x v="0"/>
    <n v="4"/>
    <n v="8461"/>
    <n v="33844"/>
    <x v="5"/>
    <x v="6"/>
    <x v="3"/>
  </r>
  <r>
    <s v="PK-100256"/>
    <x v="38"/>
    <s v="Dennis Torres"/>
    <s v="tracy94@gmail.com"/>
    <n v="923174882399"/>
    <x v="5"/>
    <s v="Pakistan"/>
    <x v="2"/>
    <n v="3"/>
    <n v="13634"/>
    <n v="40902"/>
    <x v="2"/>
    <x v="1"/>
    <x v="1"/>
  </r>
  <r>
    <s v="PK-100257"/>
    <x v="68"/>
    <s v="Randy Parker"/>
    <s v="janetbenson@hotmail.com"/>
    <n v="923081513882"/>
    <x v="6"/>
    <s v="Pakistan"/>
    <x v="3"/>
    <n v="5"/>
    <n v="14630"/>
    <n v="73150"/>
    <x v="4"/>
    <x v="0"/>
    <x v="3"/>
  </r>
  <r>
    <s v="PK-100258"/>
    <x v="85"/>
    <s v="Mr. Tyler Fernandez DDS"/>
    <s v="lindapowell@yahoo.com"/>
    <n v="923081466248"/>
    <x v="6"/>
    <s v="Pakistan"/>
    <x v="0"/>
    <n v="5"/>
    <n v="8002"/>
    <n v="40010"/>
    <x v="2"/>
    <x v="7"/>
    <x v="2"/>
  </r>
  <r>
    <s v="PK-100259"/>
    <x v="186"/>
    <s v="Emily Gibson"/>
    <s v="okrause@perez-jones.biz"/>
    <n v="923473431439"/>
    <x v="0"/>
    <s v="Pakistan"/>
    <x v="1"/>
    <n v="2"/>
    <n v="2416"/>
    <n v="4832"/>
    <x v="4"/>
    <x v="0"/>
    <x v="2"/>
  </r>
  <r>
    <s v="PK-100260"/>
    <x v="94"/>
    <s v="Andrew Bowen"/>
    <s v="umarshall@todd.com"/>
    <n v="923268702097"/>
    <x v="0"/>
    <s v="Pakistan"/>
    <x v="1"/>
    <n v="4"/>
    <n v="10930"/>
    <n v="43720"/>
    <x v="2"/>
    <x v="2"/>
    <x v="3"/>
  </r>
  <r>
    <s v="PK-100261"/>
    <x v="187"/>
    <s v="Tracy Ramsey"/>
    <s v="tannerdarren@brown.org"/>
    <n v="923450179590"/>
    <x v="8"/>
    <s v="Pakistan"/>
    <x v="3"/>
    <n v="3"/>
    <n v="1048"/>
    <n v="3144"/>
    <x v="2"/>
    <x v="5"/>
    <x v="1"/>
  </r>
  <r>
    <s v="PK-100262"/>
    <x v="188"/>
    <s v="Jennifer Wade"/>
    <s v="troberts@gmail.com"/>
    <n v="923458716488"/>
    <x v="5"/>
    <s v="Pakistan"/>
    <x v="1"/>
    <n v="2"/>
    <n v="14312"/>
    <n v="28624"/>
    <x v="3"/>
    <x v="1"/>
    <x v="3"/>
  </r>
  <r>
    <s v="PK-100263"/>
    <x v="189"/>
    <s v="Patrick Barber"/>
    <s v="angelawells@espinoza-taylor.org"/>
    <n v="923122669775"/>
    <x v="0"/>
    <s v="Pakistan"/>
    <x v="2"/>
    <n v="4"/>
    <n v="14457"/>
    <n v="57828"/>
    <x v="5"/>
    <x v="6"/>
    <x v="2"/>
  </r>
  <r>
    <s v="PK-100264"/>
    <x v="190"/>
    <s v="Jessica Brooks"/>
    <s v="thomaswelch@hotmail.com"/>
    <n v="923021419543"/>
    <x v="7"/>
    <s v="Pakistan"/>
    <x v="5"/>
    <n v="3"/>
    <n v="7508"/>
    <n v="22524"/>
    <x v="5"/>
    <x v="0"/>
    <x v="1"/>
  </r>
  <r>
    <s v="PK-100265"/>
    <x v="191"/>
    <s v="John Clark"/>
    <s v="vmartin@hotmail.com"/>
    <n v="923268958405"/>
    <x v="0"/>
    <s v="Pakistan"/>
    <x v="4"/>
    <n v="2"/>
    <n v="6509"/>
    <n v="13018"/>
    <x v="2"/>
    <x v="1"/>
    <x v="1"/>
  </r>
  <r>
    <s v="PK-100266"/>
    <x v="192"/>
    <s v="Tammy Baker"/>
    <s v="andrewroberts@hotmail.com"/>
    <n v="923318293304"/>
    <x v="4"/>
    <s v="Pakistan"/>
    <x v="4"/>
    <n v="1"/>
    <n v="6036"/>
    <n v="6036"/>
    <x v="0"/>
    <x v="4"/>
    <x v="1"/>
  </r>
  <r>
    <s v="PK-100267"/>
    <x v="184"/>
    <s v="Samuel Mckenzie"/>
    <s v="astephens@maxwell-allen.com"/>
    <n v="923325648981"/>
    <x v="0"/>
    <s v="Pakistan"/>
    <x v="4"/>
    <n v="5"/>
    <n v="7834"/>
    <n v="39170"/>
    <x v="1"/>
    <x v="5"/>
    <x v="0"/>
  </r>
  <r>
    <s v="PK-100268"/>
    <x v="127"/>
    <s v="Jacob Baxter"/>
    <s v="krowe@yahoo.com"/>
    <n v="923059805133"/>
    <x v="5"/>
    <s v="Pakistan"/>
    <x v="4"/>
    <n v="5"/>
    <n v="5115"/>
    <n v="25575"/>
    <x v="3"/>
    <x v="2"/>
    <x v="2"/>
  </r>
  <r>
    <s v="PK-100269"/>
    <x v="193"/>
    <s v="Luke Howell"/>
    <s v="gfinley@yahoo.com"/>
    <n v="923316613392"/>
    <x v="7"/>
    <s v="Pakistan"/>
    <x v="3"/>
    <n v="2"/>
    <n v="7455"/>
    <n v="14910"/>
    <x v="4"/>
    <x v="0"/>
    <x v="0"/>
  </r>
  <r>
    <s v="PK-100270"/>
    <x v="155"/>
    <s v="Teresa Jones"/>
    <s v="danny72@gmail.com"/>
    <n v="923195093955"/>
    <x v="8"/>
    <s v="Pakistan"/>
    <x v="5"/>
    <n v="2"/>
    <n v="13699"/>
    <n v="27398"/>
    <x v="4"/>
    <x v="7"/>
    <x v="1"/>
  </r>
  <r>
    <s v="PK-100271"/>
    <x v="194"/>
    <s v="Kristi Paul DVM"/>
    <s v="wcoleman@hotmail.com"/>
    <n v="923295572468"/>
    <x v="2"/>
    <s v="Pakistan"/>
    <x v="3"/>
    <n v="5"/>
    <n v="14249"/>
    <n v="71245"/>
    <x v="1"/>
    <x v="1"/>
    <x v="2"/>
  </r>
  <r>
    <s v="PK-100272"/>
    <x v="195"/>
    <s v="Anna Suarez"/>
    <s v="jamesthomas@powers.com"/>
    <n v="923473665908"/>
    <x v="8"/>
    <s v="Pakistan"/>
    <x v="1"/>
    <n v="4"/>
    <n v="7044"/>
    <n v="28176"/>
    <x v="2"/>
    <x v="5"/>
    <x v="2"/>
  </r>
  <r>
    <s v="PK-100273"/>
    <x v="159"/>
    <s v="John Pierce"/>
    <s v="samanthapierce@harper.com"/>
    <n v="923356250795"/>
    <x v="7"/>
    <s v="Pakistan"/>
    <x v="2"/>
    <n v="1"/>
    <n v="8527"/>
    <n v="8527"/>
    <x v="2"/>
    <x v="2"/>
    <x v="2"/>
  </r>
  <r>
    <s v="PK-100274"/>
    <x v="55"/>
    <s v="Peter Drake"/>
    <s v="xfreeman@tucker.com"/>
    <n v="923478402125"/>
    <x v="6"/>
    <s v="Pakistan"/>
    <x v="1"/>
    <n v="1"/>
    <n v="3555"/>
    <n v="3555"/>
    <x v="5"/>
    <x v="1"/>
    <x v="2"/>
  </r>
  <r>
    <s v="PK-100275"/>
    <x v="196"/>
    <s v="Gregory Knight"/>
    <s v="frazierchristopher@yahoo.com"/>
    <n v="923237285924"/>
    <x v="6"/>
    <s v="Pakistan"/>
    <x v="0"/>
    <n v="3"/>
    <n v="14948"/>
    <n v="44844"/>
    <x v="2"/>
    <x v="1"/>
    <x v="3"/>
  </r>
  <r>
    <s v="PK-100276"/>
    <x v="92"/>
    <s v="Melissa Warner"/>
    <s v="jdawson@hotmail.com"/>
    <n v="923058383699"/>
    <x v="2"/>
    <s v="Pakistan"/>
    <x v="3"/>
    <n v="4"/>
    <n v="9236"/>
    <n v="36944"/>
    <x v="2"/>
    <x v="1"/>
    <x v="0"/>
  </r>
  <r>
    <s v="PK-100277"/>
    <x v="97"/>
    <s v="Andrew Carrillo"/>
    <s v="igraves@curtis.com"/>
    <n v="923157481973"/>
    <x v="8"/>
    <s v="Pakistan"/>
    <x v="1"/>
    <n v="4"/>
    <n v="8733"/>
    <n v="34932"/>
    <x v="5"/>
    <x v="1"/>
    <x v="0"/>
  </r>
  <r>
    <s v="PK-100278"/>
    <x v="197"/>
    <s v="Nancy Miles"/>
    <s v="ehendricks@watts-carter.com"/>
    <n v="923250785593"/>
    <x v="6"/>
    <s v="Pakistan"/>
    <x v="4"/>
    <n v="2"/>
    <n v="14959"/>
    <n v="29918"/>
    <x v="1"/>
    <x v="5"/>
    <x v="3"/>
  </r>
  <r>
    <s v="PK-100279"/>
    <x v="198"/>
    <s v="Stephen Marquez"/>
    <s v="tina15@hotmail.com"/>
    <n v="923314884297"/>
    <x v="7"/>
    <s v="Pakistan"/>
    <x v="4"/>
    <n v="5"/>
    <n v="12410"/>
    <n v="62050"/>
    <x v="4"/>
    <x v="2"/>
    <x v="1"/>
  </r>
  <r>
    <s v="PK-100280"/>
    <x v="175"/>
    <s v="Hector Baker"/>
    <s v="lisa83@bentley.info"/>
    <n v="923279631794"/>
    <x v="9"/>
    <s v="Pakistan"/>
    <x v="4"/>
    <n v="5"/>
    <n v="1593"/>
    <n v="7965"/>
    <x v="3"/>
    <x v="5"/>
    <x v="0"/>
  </r>
  <r>
    <s v="PK-100281"/>
    <x v="2"/>
    <s v="Valerie Booth"/>
    <s v="taylordana@gmail.com"/>
    <n v="923148219812"/>
    <x v="4"/>
    <s v="Pakistan"/>
    <x v="3"/>
    <n v="4"/>
    <n v="8112"/>
    <n v="32448"/>
    <x v="1"/>
    <x v="3"/>
    <x v="3"/>
  </r>
  <r>
    <s v="PK-100282"/>
    <x v="113"/>
    <s v="Anne Wilson"/>
    <s v="xjohnson@gmail.com"/>
    <n v="923333520092"/>
    <x v="2"/>
    <s v="Pakistan"/>
    <x v="4"/>
    <n v="3"/>
    <n v="6273"/>
    <n v="18819"/>
    <x v="5"/>
    <x v="7"/>
    <x v="1"/>
  </r>
  <r>
    <s v="PK-100283"/>
    <x v="155"/>
    <s v="Ricky Frank"/>
    <s v="amandagarcia@hotmail.com"/>
    <n v="923202623916"/>
    <x v="1"/>
    <s v="Pakistan"/>
    <x v="3"/>
    <n v="2"/>
    <n v="4839"/>
    <n v="9678"/>
    <x v="4"/>
    <x v="0"/>
    <x v="3"/>
  </r>
  <r>
    <s v="PK-100284"/>
    <x v="199"/>
    <s v="Andrea Little"/>
    <s v="snydermaureen@hotmail.com"/>
    <n v="923020755339"/>
    <x v="2"/>
    <s v="Pakistan"/>
    <x v="5"/>
    <n v="4"/>
    <n v="4906"/>
    <n v="19624"/>
    <x v="2"/>
    <x v="7"/>
    <x v="3"/>
  </r>
  <r>
    <s v="PK-100285"/>
    <x v="60"/>
    <s v="Brandon Carlson"/>
    <s v="mgonzalez@fernandez.info"/>
    <n v="923397503508"/>
    <x v="3"/>
    <s v="Pakistan"/>
    <x v="5"/>
    <n v="3"/>
    <n v="4945"/>
    <n v="14835"/>
    <x v="4"/>
    <x v="4"/>
    <x v="3"/>
  </r>
  <r>
    <s v="PK-100286"/>
    <x v="200"/>
    <s v="James Parsons"/>
    <s v="barnesangela@gmail.com"/>
    <n v="923428406465"/>
    <x v="5"/>
    <s v="Pakistan"/>
    <x v="1"/>
    <n v="5"/>
    <n v="6643"/>
    <n v="33215"/>
    <x v="1"/>
    <x v="5"/>
    <x v="2"/>
  </r>
  <r>
    <s v="PK-100287"/>
    <x v="171"/>
    <s v="Larry Bond"/>
    <s v="fpatel@hotmail.com"/>
    <n v="923335432703"/>
    <x v="1"/>
    <s v="Pakistan"/>
    <x v="2"/>
    <n v="2"/>
    <n v="4109"/>
    <n v="8218"/>
    <x v="2"/>
    <x v="3"/>
    <x v="1"/>
  </r>
  <r>
    <s v="PK-100288"/>
    <x v="201"/>
    <s v="Kelly Scott"/>
    <s v="acarson@hunter.com"/>
    <n v="923468808507"/>
    <x v="1"/>
    <s v="Pakistan"/>
    <x v="3"/>
    <n v="2"/>
    <n v="14967"/>
    <n v="29934"/>
    <x v="1"/>
    <x v="4"/>
    <x v="2"/>
  </r>
  <r>
    <s v="PK-100289"/>
    <x v="202"/>
    <s v="Cindy Perez"/>
    <s v="victoria80@gmail.com"/>
    <n v="923463022483"/>
    <x v="6"/>
    <s v="Pakistan"/>
    <x v="2"/>
    <n v="1"/>
    <n v="9099"/>
    <n v="9099"/>
    <x v="4"/>
    <x v="6"/>
    <x v="0"/>
  </r>
  <r>
    <s v="PK-100290"/>
    <x v="203"/>
    <s v="Anthony Kim"/>
    <s v="kherman@gmail.com"/>
    <n v="923496387783"/>
    <x v="3"/>
    <s v="Pakistan"/>
    <x v="4"/>
    <n v="3"/>
    <n v="7547"/>
    <n v="22641"/>
    <x v="4"/>
    <x v="3"/>
    <x v="1"/>
  </r>
  <r>
    <s v="PK-100291"/>
    <x v="204"/>
    <s v="Jaime Hogan"/>
    <s v="brose@herring-reid.com"/>
    <n v="923426327625"/>
    <x v="0"/>
    <s v="Pakistan"/>
    <x v="3"/>
    <n v="3"/>
    <n v="5594"/>
    <n v="16782"/>
    <x v="5"/>
    <x v="2"/>
    <x v="0"/>
  </r>
  <r>
    <s v="PK-100292"/>
    <x v="205"/>
    <s v="Patricia Phillips"/>
    <s v="lwashington@hotmail.com"/>
    <n v="923235605265"/>
    <x v="8"/>
    <s v="Pakistan"/>
    <x v="2"/>
    <n v="3"/>
    <n v="6231"/>
    <n v="18693"/>
    <x v="0"/>
    <x v="4"/>
    <x v="2"/>
  </r>
  <r>
    <s v="PK-100293"/>
    <x v="206"/>
    <s v="Jeffrey Gutierrez"/>
    <s v="michaellynch@morris-paul.com"/>
    <n v="923423382050"/>
    <x v="3"/>
    <s v="Pakistan"/>
    <x v="0"/>
    <n v="3"/>
    <n v="6311"/>
    <n v="18933"/>
    <x v="0"/>
    <x v="5"/>
    <x v="1"/>
  </r>
  <r>
    <s v="PK-100294"/>
    <x v="207"/>
    <s v="Allison Harrison"/>
    <s v="hannah09@johnson.biz"/>
    <n v="923260874900"/>
    <x v="4"/>
    <s v="Pakistan"/>
    <x v="5"/>
    <n v="2"/>
    <n v="4776"/>
    <n v="9552"/>
    <x v="1"/>
    <x v="4"/>
    <x v="0"/>
  </r>
  <r>
    <s v="PK-100295"/>
    <x v="126"/>
    <s v="Brittany Tyler"/>
    <s v="ejenkins@hotmail.com"/>
    <n v="923026474317"/>
    <x v="1"/>
    <s v="Pakistan"/>
    <x v="0"/>
    <n v="1"/>
    <n v="1374"/>
    <n v="1374"/>
    <x v="4"/>
    <x v="6"/>
    <x v="1"/>
  </r>
  <r>
    <s v="PK-100296"/>
    <x v="204"/>
    <s v="Frank Morgan"/>
    <s v="littlemegan@yahoo.com"/>
    <n v="923478355067"/>
    <x v="7"/>
    <s v="Pakistan"/>
    <x v="5"/>
    <n v="5"/>
    <n v="5401"/>
    <n v="27005"/>
    <x v="5"/>
    <x v="1"/>
    <x v="2"/>
  </r>
  <r>
    <s v="PK-100297"/>
    <x v="132"/>
    <s v="Joshua Romero"/>
    <s v="davissandra@hotmail.com"/>
    <n v="923002040625"/>
    <x v="8"/>
    <s v="Pakistan"/>
    <x v="1"/>
    <n v="1"/>
    <n v="14580"/>
    <n v="14580"/>
    <x v="5"/>
    <x v="0"/>
    <x v="2"/>
  </r>
  <r>
    <s v="PK-100298"/>
    <x v="120"/>
    <s v="Natasha Griffin"/>
    <s v="cyoung@gmail.com"/>
    <n v="923391884226"/>
    <x v="4"/>
    <s v="Pakistan"/>
    <x v="1"/>
    <n v="1"/>
    <n v="1787"/>
    <n v="1787"/>
    <x v="3"/>
    <x v="1"/>
    <x v="1"/>
  </r>
  <r>
    <s v="PK-100299"/>
    <x v="143"/>
    <s v="Jonathan Davis"/>
    <s v="patrickevans@elliott.com"/>
    <n v="923256235936"/>
    <x v="4"/>
    <s v="Pakistan"/>
    <x v="2"/>
    <n v="3"/>
    <n v="8763"/>
    <n v="26289"/>
    <x v="5"/>
    <x v="4"/>
    <x v="1"/>
  </r>
  <r>
    <s v="PK-100300"/>
    <x v="195"/>
    <s v="Toni Mclean"/>
    <s v="robertsonrebecca@yahoo.com"/>
    <n v="923307168896"/>
    <x v="1"/>
    <s v="Pakistan"/>
    <x v="0"/>
    <n v="2"/>
    <n v="6579"/>
    <n v="13158"/>
    <x v="5"/>
    <x v="3"/>
    <x v="0"/>
  </r>
  <r>
    <s v="PK-100301"/>
    <x v="208"/>
    <s v="Miss Jessica Obrien"/>
    <s v="kayla56@yahoo.com"/>
    <n v="923184037893"/>
    <x v="4"/>
    <s v="Pakistan"/>
    <x v="4"/>
    <n v="1"/>
    <n v="6667"/>
    <n v="6667"/>
    <x v="1"/>
    <x v="6"/>
    <x v="2"/>
  </r>
  <r>
    <s v="PK-100302"/>
    <x v="0"/>
    <s v="Jerry Perez"/>
    <s v="kennethcameron@yahoo.com"/>
    <n v="923153140353"/>
    <x v="3"/>
    <s v="Pakistan"/>
    <x v="5"/>
    <n v="3"/>
    <n v="13801"/>
    <n v="41403"/>
    <x v="0"/>
    <x v="0"/>
    <x v="0"/>
  </r>
  <r>
    <s v="PK-100303"/>
    <x v="209"/>
    <s v="Jenna Foster"/>
    <s v="johnnywalker@bass-peterson.net"/>
    <n v="923167263409"/>
    <x v="9"/>
    <s v="Pakistan"/>
    <x v="3"/>
    <n v="3"/>
    <n v="14306"/>
    <n v="42918"/>
    <x v="2"/>
    <x v="4"/>
    <x v="0"/>
  </r>
  <r>
    <s v="PK-100304"/>
    <x v="7"/>
    <s v="Julie Fletcher"/>
    <s v="jamesholt@gmail.com"/>
    <n v="923277535009"/>
    <x v="5"/>
    <s v="Pakistan"/>
    <x v="3"/>
    <n v="1"/>
    <n v="1582"/>
    <n v="1582"/>
    <x v="0"/>
    <x v="6"/>
    <x v="3"/>
  </r>
  <r>
    <s v="PK-100305"/>
    <x v="210"/>
    <s v="Anthony Murphy"/>
    <s v="yrussell@hoffman.com"/>
    <n v="923307981098"/>
    <x v="8"/>
    <s v="Pakistan"/>
    <x v="2"/>
    <n v="5"/>
    <n v="12134"/>
    <n v="60670"/>
    <x v="3"/>
    <x v="5"/>
    <x v="3"/>
  </r>
  <r>
    <s v="PK-100306"/>
    <x v="116"/>
    <s v="Angela Reyes"/>
    <s v="tkelly@hotmail.com"/>
    <n v="923035438422"/>
    <x v="2"/>
    <s v="Pakistan"/>
    <x v="1"/>
    <n v="3"/>
    <n v="2918"/>
    <n v="8754"/>
    <x v="5"/>
    <x v="5"/>
    <x v="3"/>
  </r>
  <r>
    <s v="PK-100307"/>
    <x v="175"/>
    <s v="Adam Shannon"/>
    <s v="mvaldez@hotmail.com"/>
    <n v="923118002509"/>
    <x v="8"/>
    <s v="Pakistan"/>
    <x v="1"/>
    <n v="3"/>
    <n v="8143"/>
    <n v="24429"/>
    <x v="5"/>
    <x v="7"/>
    <x v="1"/>
  </r>
  <r>
    <s v="PK-100308"/>
    <x v="160"/>
    <s v="Tammie Fox"/>
    <s v="jonesjames@williams.biz"/>
    <n v="923160562984"/>
    <x v="4"/>
    <s v="Pakistan"/>
    <x v="2"/>
    <n v="3"/>
    <n v="10837"/>
    <n v="32511"/>
    <x v="3"/>
    <x v="2"/>
    <x v="1"/>
  </r>
  <r>
    <s v="PK-100309"/>
    <x v="19"/>
    <s v="Victoria Ruiz"/>
    <s v="shane15@yahoo.com"/>
    <n v="923248666497"/>
    <x v="4"/>
    <s v="Pakistan"/>
    <x v="2"/>
    <n v="5"/>
    <n v="4816"/>
    <n v="24080"/>
    <x v="1"/>
    <x v="7"/>
    <x v="1"/>
  </r>
  <r>
    <s v="PK-100310"/>
    <x v="211"/>
    <s v="Tammy Wise"/>
    <s v="cwalker@arnold.info"/>
    <n v="923046891229"/>
    <x v="2"/>
    <s v="Pakistan"/>
    <x v="2"/>
    <n v="2"/>
    <n v="9524"/>
    <n v="19048"/>
    <x v="1"/>
    <x v="2"/>
    <x v="1"/>
  </r>
  <r>
    <s v="PK-100311"/>
    <x v="194"/>
    <s v="Monique Chambers"/>
    <s v="jacksonstephanie@gmail.com"/>
    <n v="923291963900"/>
    <x v="1"/>
    <s v="Pakistan"/>
    <x v="4"/>
    <n v="5"/>
    <n v="8607"/>
    <n v="43035"/>
    <x v="0"/>
    <x v="5"/>
    <x v="3"/>
  </r>
  <r>
    <s v="PK-100312"/>
    <x v="212"/>
    <s v="Felicia Thompson"/>
    <s v="trantroy@hotmail.com"/>
    <n v="923043077009"/>
    <x v="5"/>
    <s v="Pakistan"/>
    <x v="0"/>
    <n v="2"/>
    <n v="7788"/>
    <n v="15576"/>
    <x v="0"/>
    <x v="1"/>
    <x v="3"/>
  </r>
  <r>
    <s v="PK-100313"/>
    <x v="157"/>
    <s v="Amy Strong"/>
    <s v="abird@nguyen-silva.info"/>
    <n v="923237335058"/>
    <x v="0"/>
    <s v="Pakistan"/>
    <x v="1"/>
    <n v="3"/>
    <n v="11927"/>
    <n v="35781"/>
    <x v="0"/>
    <x v="3"/>
    <x v="0"/>
  </r>
  <r>
    <s v="PK-100314"/>
    <x v="124"/>
    <s v="Sandra Mendez"/>
    <s v="traceywilliams@hotmail.com"/>
    <n v="923469044492"/>
    <x v="5"/>
    <s v="Pakistan"/>
    <x v="2"/>
    <n v="4"/>
    <n v="7243"/>
    <n v="28972"/>
    <x v="5"/>
    <x v="4"/>
    <x v="1"/>
  </r>
  <r>
    <s v="PK-100315"/>
    <x v="213"/>
    <s v="Monique Bean"/>
    <s v="bryan30@yahoo.com"/>
    <n v="923261801166"/>
    <x v="3"/>
    <s v="Pakistan"/>
    <x v="4"/>
    <n v="4"/>
    <n v="10186"/>
    <n v="40744"/>
    <x v="2"/>
    <x v="3"/>
    <x v="2"/>
  </r>
  <r>
    <s v="PK-100316"/>
    <x v="6"/>
    <s v="David Noble"/>
    <s v="hunterlopez@schneider.net"/>
    <n v="923055845409"/>
    <x v="5"/>
    <s v="Pakistan"/>
    <x v="0"/>
    <n v="4"/>
    <n v="2569"/>
    <n v="10276"/>
    <x v="0"/>
    <x v="4"/>
    <x v="2"/>
  </r>
  <r>
    <s v="PK-100317"/>
    <x v="214"/>
    <s v="Connie Cook"/>
    <s v="haleykeller@yahoo.com"/>
    <n v="923079709477"/>
    <x v="1"/>
    <s v="Pakistan"/>
    <x v="2"/>
    <n v="2"/>
    <n v="11932"/>
    <n v="23864"/>
    <x v="1"/>
    <x v="7"/>
    <x v="1"/>
  </r>
  <r>
    <s v="PK-100318"/>
    <x v="200"/>
    <s v="Christopher Erickson"/>
    <s v="alexanderryan@gmail.com"/>
    <n v="923303204659"/>
    <x v="0"/>
    <s v="Pakistan"/>
    <x v="4"/>
    <n v="4"/>
    <n v="12072"/>
    <n v="48288"/>
    <x v="1"/>
    <x v="4"/>
    <x v="0"/>
  </r>
  <r>
    <s v="PK-100319"/>
    <x v="136"/>
    <s v="Randy Bryan"/>
    <s v="qgreen@murphy-mcmillan.com"/>
    <n v="923357571177"/>
    <x v="9"/>
    <s v="Pakistan"/>
    <x v="2"/>
    <n v="3"/>
    <n v="11557"/>
    <n v="34671"/>
    <x v="2"/>
    <x v="6"/>
    <x v="0"/>
  </r>
  <r>
    <s v="PK-100320"/>
    <x v="109"/>
    <s v="Joseph Williams"/>
    <s v="corey56@smith-armstrong.biz"/>
    <n v="923231619688"/>
    <x v="4"/>
    <s v="Pakistan"/>
    <x v="5"/>
    <n v="4"/>
    <n v="10096"/>
    <n v="40384"/>
    <x v="0"/>
    <x v="4"/>
    <x v="3"/>
  </r>
  <r>
    <s v="PK-100321"/>
    <x v="215"/>
    <s v="Alexander Mendoza"/>
    <s v="yfrederick@walker.com"/>
    <n v="923336126289"/>
    <x v="3"/>
    <s v="Pakistan"/>
    <x v="5"/>
    <n v="2"/>
    <n v="5598"/>
    <n v="11196"/>
    <x v="1"/>
    <x v="4"/>
    <x v="0"/>
  </r>
  <r>
    <s v="PK-100322"/>
    <x v="200"/>
    <s v="Corey Lynch"/>
    <s v="williamoconnor@vargas.com"/>
    <n v="923240758299"/>
    <x v="1"/>
    <s v="Pakistan"/>
    <x v="1"/>
    <n v="3"/>
    <n v="4930"/>
    <n v="14790"/>
    <x v="4"/>
    <x v="7"/>
    <x v="0"/>
  </r>
  <r>
    <s v="PK-100323"/>
    <x v="216"/>
    <s v="Kenneth Miller"/>
    <s v="wcruz@brown-white.com"/>
    <n v="923116488226"/>
    <x v="6"/>
    <s v="Pakistan"/>
    <x v="2"/>
    <n v="4"/>
    <n v="9462"/>
    <n v="37848"/>
    <x v="3"/>
    <x v="6"/>
    <x v="1"/>
  </r>
  <r>
    <s v="PK-100324"/>
    <x v="217"/>
    <s v="Susan Watson"/>
    <s v="xmeyer@rodriguez.com"/>
    <n v="923322973116"/>
    <x v="1"/>
    <s v="Pakistan"/>
    <x v="0"/>
    <n v="3"/>
    <n v="3810"/>
    <n v="11430"/>
    <x v="1"/>
    <x v="0"/>
    <x v="2"/>
  </r>
  <r>
    <s v="PK-100325"/>
    <x v="162"/>
    <s v="Abigail Stewart"/>
    <s v="michaelmoses@gmail.com"/>
    <n v="923370843896"/>
    <x v="4"/>
    <s v="Pakistan"/>
    <x v="1"/>
    <n v="2"/>
    <n v="4814"/>
    <n v="9628"/>
    <x v="0"/>
    <x v="7"/>
    <x v="0"/>
  </r>
  <r>
    <s v="PK-100326"/>
    <x v="218"/>
    <s v="Sandra Smith"/>
    <s v="tbarr@bradley.biz"/>
    <n v="923217710204"/>
    <x v="2"/>
    <s v="Pakistan"/>
    <x v="2"/>
    <n v="1"/>
    <n v="14782"/>
    <n v="14782"/>
    <x v="1"/>
    <x v="0"/>
    <x v="2"/>
  </r>
  <r>
    <s v="PK-100327"/>
    <x v="219"/>
    <s v="Katie Gonzalez"/>
    <s v="santosdiane@williams-warren.org"/>
    <n v="923092654681"/>
    <x v="0"/>
    <s v="Pakistan"/>
    <x v="1"/>
    <n v="5"/>
    <n v="10871"/>
    <n v="54355"/>
    <x v="1"/>
    <x v="5"/>
    <x v="0"/>
  </r>
  <r>
    <s v="PK-100328"/>
    <x v="146"/>
    <s v="Juan Martinez"/>
    <s v="zthompson@moore.com"/>
    <n v="923356270608"/>
    <x v="4"/>
    <s v="Pakistan"/>
    <x v="3"/>
    <n v="3"/>
    <n v="1298"/>
    <n v="3894"/>
    <x v="0"/>
    <x v="2"/>
    <x v="0"/>
  </r>
  <r>
    <s v="PK-100329"/>
    <x v="220"/>
    <s v="Melissa Zuniga"/>
    <s v="sanderssamantha@boyle-wright.com"/>
    <n v="923208310259"/>
    <x v="2"/>
    <s v="Pakistan"/>
    <x v="5"/>
    <n v="3"/>
    <n v="2666"/>
    <n v="7998"/>
    <x v="3"/>
    <x v="4"/>
    <x v="2"/>
  </r>
  <r>
    <s v="PK-100330"/>
    <x v="21"/>
    <s v="John Mooney"/>
    <s v="denise12@hotmail.com"/>
    <n v="923457439708"/>
    <x v="7"/>
    <s v="Pakistan"/>
    <x v="0"/>
    <n v="5"/>
    <n v="6654"/>
    <n v="33270"/>
    <x v="1"/>
    <x v="6"/>
    <x v="3"/>
  </r>
  <r>
    <s v="PK-100331"/>
    <x v="206"/>
    <s v="Benjamin Wagner"/>
    <s v="nathan52@yahoo.com"/>
    <n v="923028062044"/>
    <x v="2"/>
    <s v="Pakistan"/>
    <x v="3"/>
    <n v="4"/>
    <n v="1489"/>
    <n v="5956"/>
    <x v="0"/>
    <x v="3"/>
    <x v="1"/>
  </r>
  <r>
    <s v="PK-100332"/>
    <x v="32"/>
    <s v="Nicholas Reed"/>
    <s v="williamsjamie@hotmail.com"/>
    <n v="923401245841"/>
    <x v="2"/>
    <s v="Pakistan"/>
    <x v="3"/>
    <n v="1"/>
    <n v="1703"/>
    <n v="1703"/>
    <x v="3"/>
    <x v="7"/>
    <x v="2"/>
  </r>
  <r>
    <s v="PK-100333"/>
    <x v="39"/>
    <s v="Amy Dickerson"/>
    <s v="reeseshannon@yahoo.com"/>
    <n v="923091233459"/>
    <x v="8"/>
    <s v="Pakistan"/>
    <x v="4"/>
    <n v="2"/>
    <n v="4694"/>
    <n v="9388"/>
    <x v="2"/>
    <x v="1"/>
    <x v="2"/>
  </r>
  <r>
    <s v="PK-100334"/>
    <x v="221"/>
    <s v="Michele Payne"/>
    <s v="rhonda55@yahoo.com"/>
    <n v="923025111757"/>
    <x v="8"/>
    <s v="Pakistan"/>
    <x v="5"/>
    <n v="2"/>
    <n v="2435"/>
    <n v="4870"/>
    <x v="2"/>
    <x v="4"/>
    <x v="2"/>
  </r>
  <r>
    <s v="PK-100335"/>
    <x v="222"/>
    <s v="Daniel Harrison"/>
    <s v="cmarshall@collins-schneider.com"/>
    <n v="923340925918"/>
    <x v="6"/>
    <s v="Pakistan"/>
    <x v="0"/>
    <n v="2"/>
    <n v="1494"/>
    <n v="2988"/>
    <x v="3"/>
    <x v="6"/>
    <x v="0"/>
  </r>
  <r>
    <s v="PK-100336"/>
    <x v="223"/>
    <s v="Jamie Alexander"/>
    <s v="rebecca80@hunt.com"/>
    <n v="923256807891"/>
    <x v="2"/>
    <s v="Pakistan"/>
    <x v="5"/>
    <n v="1"/>
    <n v="3360"/>
    <n v="3360"/>
    <x v="3"/>
    <x v="6"/>
    <x v="2"/>
  </r>
  <r>
    <s v="PK-100337"/>
    <x v="71"/>
    <s v="Cheryl Riddle"/>
    <s v="prestonwhitaker@vincent.com"/>
    <n v="923105139895"/>
    <x v="0"/>
    <s v="Pakistan"/>
    <x v="1"/>
    <n v="2"/>
    <n v="1674"/>
    <n v="3348"/>
    <x v="2"/>
    <x v="6"/>
    <x v="1"/>
  </r>
  <r>
    <s v="PK-100338"/>
    <x v="87"/>
    <s v="Jessica Bradford"/>
    <s v="matthew23@hotmail.com"/>
    <n v="923406925816"/>
    <x v="1"/>
    <s v="Pakistan"/>
    <x v="3"/>
    <n v="1"/>
    <n v="14288"/>
    <n v="14288"/>
    <x v="3"/>
    <x v="0"/>
    <x v="3"/>
  </r>
  <r>
    <s v="PK-100339"/>
    <x v="216"/>
    <s v="Christina Williams"/>
    <s v="calvinrussell@tran.net"/>
    <n v="923233758785"/>
    <x v="8"/>
    <s v="Pakistan"/>
    <x v="1"/>
    <n v="5"/>
    <n v="2618"/>
    <n v="13090"/>
    <x v="4"/>
    <x v="2"/>
    <x v="3"/>
  </r>
  <r>
    <s v="PK-100340"/>
    <x v="224"/>
    <s v="Pamela Ballard"/>
    <s v="longeric@hotmail.com"/>
    <n v="923295713618"/>
    <x v="0"/>
    <s v="Pakistan"/>
    <x v="0"/>
    <n v="4"/>
    <n v="9465"/>
    <n v="37860"/>
    <x v="4"/>
    <x v="6"/>
    <x v="3"/>
  </r>
  <r>
    <s v="PK-100341"/>
    <x v="225"/>
    <s v="April Bradley"/>
    <s v="cory72@gmail.com"/>
    <n v="923370549491"/>
    <x v="7"/>
    <s v="Pakistan"/>
    <x v="0"/>
    <n v="1"/>
    <n v="3691"/>
    <n v="3691"/>
    <x v="1"/>
    <x v="2"/>
    <x v="2"/>
  </r>
  <r>
    <s v="PK-100342"/>
    <x v="168"/>
    <s v="Sally Bennett"/>
    <s v="nashgregory@hotmail.com"/>
    <n v="923412890132"/>
    <x v="7"/>
    <s v="Pakistan"/>
    <x v="1"/>
    <n v="1"/>
    <n v="12277"/>
    <n v="12277"/>
    <x v="3"/>
    <x v="3"/>
    <x v="1"/>
  </r>
  <r>
    <s v="PK-100343"/>
    <x v="182"/>
    <s v="Wanda Riddle"/>
    <s v="browncynthia@yahoo.com"/>
    <n v="923436194274"/>
    <x v="3"/>
    <s v="Pakistan"/>
    <x v="3"/>
    <n v="4"/>
    <n v="13354"/>
    <n v="53416"/>
    <x v="1"/>
    <x v="2"/>
    <x v="2"/>
  </r>
  <r>
    <s v="PK-100344"/>
    <x v="226"/>
    <s v="Heidi Mejia"/>
    <s v="mschwartz@yahoo.com"/>
    <n v="923329072113"/>
    <x v="5"/>
    <s v="Pakistan"/>
    <x v="2"/>
    <n v="1"/>
    <n v="3091"/>
    <n v="3091"/>
    <x v="4"/>
    <x v="1"/>
    <x v="1"/>
  </r>
  <r>
    <s v="PK-100345"/>
    <x v="227"/>
    <s v="Sean Paul"/>
    <s v="evan64@bartlett.com"/>
    <n v="923074152735"/>
    <x v="3"/>
    <s v="Pakistan"/>
    <x v="4"/>
    <n v="1"/>
    <n v="5673"/>
    <n v="5673"/>
    <x v="4"/>
    <x v="7"/>
    <x v="0"/>
  </r>
  <r>
    <s v="PK-100346"/>
    <x v="30"/>
    <s v="Gary Burnett"/>
    <s v="kochmark@hotmail.com"/>
    <n v="923219766617"/>
    <x v="9"/>
    <s v="Pakistan"/>
    <x v="3"/>
    <n v="3"/>
    <n v="9030"/>
    <n v="27090"/>
    <x v="1"/>
    <x v="2"/>
    <x v="0"/>
  </r>
  <r>
    <s v="PK-100347"/>
    <x v="228"/>
    <s v="Mark Lewis"/>
    <s v="brittanyjoseph@white-merritt.org"/>
    <n v="923036956400"/>
    <x v="5"/>
    <s v="Pakistan"/>
    <x v="0"/>
    <n v="5"/>
    <n v="8399"/>
    <n v="41995"/>
    <x v="3"/>
    <x v="2"/>
    <x v="0"/>
  </r>
  <r>
    <s v="PK-100348"/>
    <x v="229"/>
    <s v="Emily Henderson"/>
    <s v="laurenwalton@yahoo.com"/>
    <n v="923371757470"/>
    <x v="1"/>
    <s v="Pakistan"/>
    <x v="5"/>
    <n v="3"/>
    <n v="3232"/>
    <n v="9696"/>
    <x v="2"/>
    <x v="6"/>
    <x v="3"/>
  </r>
  <r>
    <s v="PK-100349"/>
    <x v="33"/>
    <s v="Mr. Thomas Fitzgerald"/>
    <s v="owalker@yahoo.com"/>
    <n v="923461483436"/>
    <x v="2"/>
    <s v="Pakistan"/>
    <x v="0"/>
    <n v="5"/>
    <n v="8813"/>
    <n v="44065"/>
    <x v="5"/>
    <x v="5"/>
    <x v="1"/>
  </r>
  <r>
    <s v="PK-100350"/>
    <x v="9"/>
    <s v="Jeffrey Willis"/>
    <s v="riceeric@yahoo.com"/>
    <n v="923322983100"/>
    <x v="1"/>
    <s v="Pakistan"/>
    <x v="0"/>
    <n v="1"/>
    <n v="13786"/>
    <n v="13786"/>
    <x v="0"/>
    <x v="7"/>
    <x v="0"/>
  </r>
  <r>
    <s v="PK-100351"/>
    <x v="163"/>
    <s v="Jeffrey Hubbard"/>
    <s v="kiddtimothy@hotmail.com"/>
    <n v="923435922325"/>
    <x v="0"/>
    <s v="Pakistan"/>
    <x v="1"/>
    <n v="4"/>
    <n v="6383"/>
    <n v="25532"/>
    <x v="5"/>
    <x v="5"/>
    <x v="2"/>
  </r>
  <r>
    <s v="PK-100352"/>
    <x v="153"/>
    <s v="Brian Mills"/>
    <s v="darren46@kidd.com"/>
    <n v="923087248217"/>
    <x v="8"/>
    <s v="Pakistan"/>
    <x v="3"/>
    <n v="5"/>
    <n v="6309"/>
    <n v="31545"/>
    <x v="0"/>
    <x v="5"/>
    <x v="1"/>
  </r>
  <r>
    <s v="PK-100353"/>
    <x v="139"/>
    <s v="Mr. Ryan Bruce"/>
    <s v="trevormontoya@yahoo.com"/>
    <n v="923194635195"/>
    <x v="0"/>
    <s v="Pakistan"/>
    <x v="1"/>
    <n v="5"/>
    <n v="7179"/>
    <n v="35895"/>
    <x v="4"/>
    <x v="1"/>
    <x v="1"/>
  </r>
  <r>
    <s v="PK-100354"/>
    <x v="93"/>
    <s v="Carmen Ward"/>
    <s v="johnsweeney@rodriguez.biz"/>
    <n v="923206694427"/>
    <x v="0"/>
    <s v="Pakistan"/>
    <x v="5"/>
    <n v="2"/>
    <n v="11091"/>
    <n v="22182"/>
    <x v="0"/>
    <x v="4"/>
    <x v="1"/>
  </r>
  <r>
    <s v="PK-100355"/>
    <x v="99"/>
    <s v="Randy Miller"/>
    <s v="danielkarla@hotmail.com"/>
    <n v="923041156952"/>
    <x v="5"/>
    <s v="Pakistan"/>
    <x v="4"/>
    <n v="2"/>
    <n v="6595"/>
    <n v="13190"/>
    <x v="2"/>
    <x v="3"/>
    <x v="1"/>
  </r>
  <r>
    <s v="PK-100356"/>
    <x v="157"/>
    <s v="Makayla Davis"/>
    <s v="rparker@gmail.com"/>
    <n v="923065626690"/>
    <x v="1"/>
    <s v="Pakistan"/>
    <x v="0"/>
    <n v="1"/>
    <n v="8517"/>
    <n v="8517"/>
    <x v="1"/>
    <x v="0"/>
    <x v="0"/>
  </r>
  <r>
    <s v="PK-100357"/>
    <x v="230"/>
    <s v="Matthew Soto"/>
    <s v="bonniemcdonald@yahoo.com"/>
    <n v="923021898749"/>
    <x v="0"/>
    <s v="Pakistan"/>
    <x v="5"/>
    <n v="1"/>
    <n v="8448"/>
    <n v="8448"/>
    <x v="2"/>
    <x v="0"/>
    <x v="3"/>
  </r>
  <r>
    <s v="PK-100358"/>
    <x v="22"/>
    <s v="Andrea Lane"/>
    <s v="colelisa@gmail.com"/>
    <n v="923075798576"/>
    <x v="1"/>
    <s v="Pakistan"/>
    <x v="4"/>
    <n v="2"/>
    <n v="9563"/>
    <n v="19126"/>
    <x v="0"/>
    <x v="2"/>
    <x v="2"/>
  </r>
  <r>
    <s v="PK-100359"/>
    <x v="231"/>
    <s v="Leslie Crawford"/>
    <s v="jonathanduffy@nelson-rojas.com"/>
    <n v="923267175150"/>
    <x v="8"/>
    <s v="Pakistan"/>
    <x v="0"/>
    <n v="2"/>
    <n v="3787"/>
    <n v="7574"/>
    <x v="2"/>
    <x v="0"/>
    <x v="3"/>
  </r>
  <r>
    <s v="PK-100360"/>
    <x v="232"/>
    <s v="Cassidy Hicks"/>
    <s v="mwilson@nichols.com"/>
    <n v="923347502676"/>
    <x v="7"/>
    <s v="Pakistan"/>
    <x v="1"/>
    <n v="5"/>
    <n v="9847"/>
    <n v="49235"/>
    <x v="0"/>
    <x v="6"/>
    <x v="0"/>
  </r>
  <r>
    <s v="PK-100361"/>
    <x v="233"/>
    <s v="Aimee King"/>
    <s v="qsmith@hotmail.com"/>
    <n v="923156442088"/>
    <x v="0"/>
    <s v="Pakistan"/>
    <x v="0"/>
    <n v="1"/>
    <n v="8672"/>
    <n v="8672"/>
    <x v="0"/>
    <x v="0"/>
    <x v="2"/>
  </r>
  <r>
    <s v="PK-100362"/>
    <x v="109"/>
    <s v="Dr. Norma Lyons"/>
    <s v="kristinagregory@mooney-wells.com"/>
    <n v="923273479656"/>
    <x v="2"/>
    <s v="Pakistan"/>
    <x v="0"/>
    <n v="4"/>
    <n v="12330"/>
    <n v="49320"/>
    <x v="0"/>
    <x v="7"/>
    <x v="0"/>
  </r>
  <r>
    <s v="PK-100363"/>
    <x v="18"/>
    <s v="Adam Munoz"/>
    <s v="lisataylor@hudson-lara.com"/>
    <n v="923120884387"/>
    <x v="5"/>
    <s v="Pakistan"/>
    <x v="5"/>
    <n v="2"/>
    <n v="10895"/>
    <n v="21790"/>
    <x v="0"/>
    <x v="0"/>
    <x v="1"/>
  </r>
  <r>
    <s v="PK-100364"/>
    <x v="234"/>
    <s v="Keith Mills"/>
    <s v="james16@carlson.com"/>
    <n v="923054273632"/>
    <x v="3"/>
    <s v="Pakistan"/>
    <x v="5"/>
    <n v="3"/>
    <n v="13874"/>
    <n v="41622"/>
    <x v="0"/>
    <x v="2"/>
    <x v="0"/>
  </r>
  <r>
    <s v="PK-100365"/>
    <x v="218"/>
    <s v="Michael Edwards"/>
    <s v="cgoodwin@gmail.com"/>
    <n v="923283496262"/>
    <x v="8"/>
    <s v="Pakistan"/>
    <x v="2"/>
    <n v="2"/>
    <n v="7961"/>
    <n v="15922"/>
    <x v="2"/>
    <x v="3"/>
    <x v="3"/>
  </r>
  <r>
    <s v="PK-100366"/>
    <x v="178"/>
    <s v="Lynn Bradshaw"/>
    <s v="robert23@gmail.com"/>
    <n v="923242227484"/>
    <x v="7"/>
    <s v="Pakistan"/>
    <x v="2"/>
    <n v="4"/>
    <n v="4554"/>
    <n v="18216"/>
    <x v="4"/>
    <x v="0"/>
    <x v="3"/>
  </r>
  <r>
    <s v="PK-100367"/>
    <x v="235"/>
    <s v="Melanie Thompson"/>
    <s v="jessica92@yahoo.com"/>
    <n v="923274069834"/>
    <x v="3"/>
    <s v="Pakistan"/>
    <x v="0"/>
    <n v="5"/>
    <n v="10732"/>
    <n v="53660"/>
    <x v="5"/>
    <x v="7"/>
    <x v="1"/>
  </r>
  <r>
    <s v="PK-100368"/>
    <x v="69"/>
    <s v="Ryan Castillo"/>
    <s v="kayla77@davenport.com"/>
    <n v="923444944477"/>
    <x v="6"/>
    <s v="Pakistan"/>
    <x v="0"/>
    <n v="1"/>
    <n v="9872"/>
    <n v="9872"/>
    <x v="2"/>
    <x v="1"/>
    <x v="0"/>
  </r>
  <r>
    <s v="PK-100369"/>
    <x v="12"/>
    <s v="Kim Arias"/>
    <s v="matthewwu@hotmail.com"/>
    <n v="923489077343"/>
    <x v="4"/>
    <s v="Pakistan"/>
    <x v="4"/>
    <n v="4"/>
    <n v="8763"/>
    <n v="35052"/>
    <x v="5"/>
    <x v="3"/>
    <x v="3"/>
  </r>
  <r>
    <s v="PK-100370"/>
    <x v="11"/>
    <s v="Kara Gordon"/>
    <s v="chapmanadam@carter.com"/>
    <n v="923301788838"/>
    <x v="8"/>
    <s v="Pakistan"/>
    <x v="5"/>
    <n v="4"/>
    <n v="10491"/>
    <n v="41964"/>
    <x v="2"/>
    <x v="0"/>
    <x v="3"/>
  </r>
  <r>
    <s v="PK-100371"/>
    <x v="236"/>
    <s v="Lisa Brown"/>
    <s v="michael93@yahoo.com"/>
    <n v="923235370441"/>
    <x v="2"/>
    <s v="Pakistan"/>
    <x v="5"/>
    <n v="2"/>
    <n v="7346"/>
    <n v="14692"/>
    <x v="4"/>
    <x v="6"/>
    <x v="2"/>
  </r>
  <r>
    <s v="PK-100372"/>
    <x v="175"/>
    <s v="Christina Mcdonald"/>
    <s v="william09@landry-moran.org"/>
    <n v="923413368992"/>
    <x v="5"/>
    <s v="Pakistan"/>
    <x v="3"/>
    <n v="2"/>
    <n v="4821"/>
    <n v="9642"/>
    <x v="5"/>
    <x v="2"/>
    <x v="0"/>
  </r>
  <r>
    <s v="PK-100373"/>
    <x v="234"/>
    <s v="Joseph Brewer"/>
    <s v="agordon@gmail.com"/>
    <n v="923133398491"/>
    <x v="9"/>
    <s v="Pakistan"/>
    <x v="4"/>
    <n v="4"/>
    <n v="1660"/>
    <n v="6640"/>
    <x v="1"/>
    <x v="3"/>
    <x v="0"/>
  </r>
  <r>
    <s v="PK-100374"/>
    <x v="86"/>
    <s v="Alex Davis"/>
    <s v="ashley40@gmail.com"/>
    <n v="923363176468"/>
    <x v="8"/>
    <s v="Pakistan"/>
    <x v="1"/>
    <n v="4"/>
    <n v="7223"/>
    <n v="28892"/>
    <x v="3"/>
    <x v="7"/>
    <x v="0"/>
  </r>
  <r>
    <s v="PK-100375"/>
    <x v="237"/>
    <s v="Gary Franco"/>
    <s v="enorton@nelson.com"/>
    <n v="923048759428"/>
    <x v="4"/>
    <s v="Pakistan"/>
    <x v="1"/>
    <n v="3"/>
    <n v="5992"/>
    <n v="17976"/>
    <x v="4"/>
    <x v="3"/>
    <x v="1"/>
  </r>
  <r>
    <s v="PK-100376"/>
    <x v="238"/>
    <s v="Nicholas Quinn"/>
    <s v="larsenrichard@gonzalez-smith.com"/>
    <n v="923440471879"/>
    <x v="1"/>
    <s v="Pakistan"/>
    <x v="1"/>
    <n v="4"/>
    <n v="6053"/>
    <n v="24212"/>
    <x v="0"/>
    <x v="4"/>
    <x v="3"/>
  </r>
  <r>
    <s v="PK-100377"/>
    <x v="133"/>
    <s v="Daniel Kaiser"/>
    <s v="jjohnson@hotmail.com"/>
    <n v="923492753650"/>
    <x v="5"/>
    <s v="Pakistan"/>
    <x v="2"/>
    <n v="1"/>
    <n v="2746"/>
    <n v="2746"/>
    <x v="5"/>
    <x v="0"/>
    <x v="1"/>
  </r>
  <r>
    <s v="PK-100378"/>
    <x v="124"/>
    <s v="April Leon"/>
    <s v="susanwhite@yahoo.com"/>
    <n v="923057564865"/>
    <x v="0"/>
    <s v="Pakistan"/>
    <x v="2"/>
    <n v="1"/>
    <n v="2525"/>
    <n v="2525"/>
    <x v="1"/>
    <x v="3"/>
    <x v="0"/>
  </r>
  <r>
    <s v="PK-100379"/>
    <x v="239"/>
    <s v="Cathy Mccarty"/>
    <s v="nlane@hotmail.com"/>
    <n v="923376141774"/>
    <x v="7"/>
    <s v="Pakistan"/>
    <x v="2"/>
    <n v="3"/>
    <n v="1649"/>
    <n v="4947"/>
    <x v="2"/>
    <x v="0"/>
    <x v="2"/>
  </r>
  <r>
    <s v="PK-100380"/>
    <x v="213"/>
    <s v="Tracy Warner"/>
    <s v="johnharvey@henderson-lewis.com"/>
    <n v="923451187944"/>
    <x v="7"/>
    <s v="Pakistan"/>
    <x v="5"/>
    <n v="1"/>
    <n v="8496"/>
    <n v="8496"/>
    <x v="3"/>
    <x v="1"/>
    <x v="0"/>
  </r>
  <r>
    <s v="PK-100381"/>
    <x v="204"/>
    <s v="Victoria Moore"/>
    <s v="hughestimothy@herrera.com"/>
    <n v="923236169272"/>
    <x v="7"/>
    <s v="Pakistan"/>
    <x v="2"/>
    <n v="5"/>
    <n v="3873"/>
    <n v="19365"/>
    <x v="0"/>
    <x v="4"/>
    <x v="3"/>
  </r>
  <r>
    <s v="PK-100382"/>
    <x v="240"/>
    <s v="Sarah Dunn"/>
    <s v="heather08@gmail.com"/>
    <n v="923123794697"/>
    <x v="8"/>
    <s v="Pakistan"/>
    <x v="2"/>
    <n v="5"/>
    <n v="7631"/>
    <n v="38155"/>
    <x v="4"/>
    <x v="6"/>
    <x v="3"/>
  </r>
  <r>
    <s v="PK-100383"/>
    <x v="54"/>
    <s v="Michael Griffin"/>
    <s v="hallzachary@gmail.com"/>
    <n v="923084337106"/>
    <x v="9"/>
    <s v="Pakistan"/>
    <x v="0"/>
    <n v="1"/>
    <n v="13607"/>
    <n v="13607"/>
    <x v="2"/>
    <x v="6"/>
    <x v="1"/>
  </r>
  <r>
    <s v="PK-100384"/>
    <x v="126"/>
    <s v="Nancy Miles"/>
    <s v="hsmith@gmail.com"/>
    <n v="923242672438"/>
    <x v="9"/>
    <s v="Pakistan"/>
    <x v="2"/>
    <n v="1"/>
    <n v="9412"/>
    <n v="9412"/>
    <x v="1"/>
    <x v="5"/>
    <x v="1"/>
  </r>
  <r>
    <s v="PK-100385"/>
    <x v="157"/>
    <s v="Misty Potts"/>
    <s v="brianjones@hotmail.com"/>
    <n v="923337824314"/>
    <x v="9"/>
    <s v="Pakistan"/>
    <x v="1"/>
    <n v="1"/>
    <n v="12992"/>
    <n v="12992"/>
    <x v="4"/>
    <x v="0"/>
    <x v="3"/>
  </r>
  <r>
    <s v="PK-100386"/>
    <x v="241"/>
    <s v="Tommy Thomas"/>
    <s v="cameron70@williams-miller.com"/>
    <n v="923009130769"/>
    <x v="2"/>
    <s v="Pakistan"/>
    <x v="4"/>
    <n v="3"/>
    <n v="13618"/>
    <n v="40854"/>
    <x v="1"/>
    <x v="6"/>
    <x v="2"/>
  </r>
  <r>
    <s v="PK-100387"/>
    <x v="26"/>
    <s v="Michael Richards"/>
    <s v="nicoletaylor@lowe.biz"/>
    <n v="923080018754"/>
    <x v="9"/>
    <s v="Pakistan"/>
    <x v="4"/>
    <n v="3"/>
    <n v="9902"/>
    <n v="29706"/>
    <x v="4"/>
    <x v="2"/>
    <x v="0"/>
  </r>
  <r>
    <s v="PK-100388"/>
    <x v="242"/>
    <s v="Paul Nelson"/>
    <s v="ogardner@miller.net"/>
    <n v="923465459977"/>
    <x v="1"/>
    <s v="Pakistan"/>
    <x v="5"/>
    <n v="5"/>
    <n v="12775"/>
    <n v="63875"/>
    <x v="5"/>
    <x v="1"/>
    <x v="2"/>
  </r>
  <r>
    <s v="PK-100389"/>
    <x v="220"/>
    <s v="Kara Cummings"/>
    <s v="mlowery@bradshaw-davila.info"/>
    <n v="923465460020"/>
    <x v="6"/>
    <s v="Pakistan"/>
    <x v="2"/>
    <n v="2"/>
    <n v="14569"/>
    <n v="29138"/>
    <x v="4"/>
    <x v="3"/>
    <x v="2"/>
  </r>
  <r>
    <s v="PK-100390"/>
    <x v="41"/>
    <s v="Kristin Huynh"/>
    <s v="joshuawilson@gmail.com"/>
    <n v="923063835696"/>
    <x v="7"/>
    <s v="Pakistan"/>
    <x v="0"/>
    <n v="2"/>
    <n v="8757"/>
    <n v="17514"/>
    <x v="2"/>
    <x v="3"/>
    <x v="0"/>
  </r>
  <r>
    <s v="PK-100391"/>
    <x v="243"/>
    <s v="Amanda Douglas"/>
    <s v="perezkim@yahoo.com"/>
    <n v="923169670465"/>
    <x v="3"/>
    <s v="Pakistan"/>
    <x v="5"/>
    <n v="2"/>
    <n v="10470"/>
    <n v="20940"/>
    <x v="4"/>
    <x v="4"/>
    <x v="3"/>
  </r>
  <r>
    <s v="PK-100392"/>
    <x v="70"/>
    <s v="Donald Alvarado"/>
    <s v="rosesabrina@hotmail.com"/>
    <n v="923332487892"/>
    <x v="1"/>
    <s v="Pakistan"/>
    <x v="5"/>
    <n v="2"/>
    <n v="4291"/>
    <n v="8582"/>
    <x v="1"/>
    <x v="5"/>
    <x v="3"/>
  </r>
  <r>
    <s v="PK-100393"/>
    <x v="111"/>
    <s v="Michael Powell"/>
    <s v="tyler17@henson.com"/>
    <n v="923207817740"/>
    <x v="8"/>
    <s v="Pakistan"/>
    <x v="3"/>
    <n v="4"/>
    <n v="10633"/>
    <n v="42532"/>
    <x v="3"/>
    <x v="3"/>
    <x v="3"/>
  </r>
  <r>
    <s v="PK-100394"/>
    <x v="96"/>
    <s v="Brett Watson"/>
    <s v="pholland@yahoo.com"/>
    <n v="923147170246"/>
    <x v="9"/>
    <s v="Pakistan"/>
    <x v="0"/>
    <n v="5"/>
    <n v="4241"/>
    <n v="21205"/>
    <x v="1"/>
    <x v="1"/>
    <x v="1"/>
  </r>
  <r>
    <s v="PK-100395"/>
    <x v="175"/>
    <s v="Savannah Dorsey"/>
    <s v="luis79@gmail.com"/>
    <n v="923379459976"/>
    <x v="6"/>
    <s v="Pakistan"/>
    <x v="3"/>
    <n v="2"/>
    <n v="2241"/>
    <n v="4482"/>
    <x v="1"/>
    <x v="1"/>
    <x v="0"/>
  </r>
  <r>
    <s v="PK-100396"/>
    <x v="216"/>
    <s v="Tracy Parker"/>
    <s v="rtaylor@gmail.com"/>
    <n v="923401478933"/>
    <x v="0"/>
    <s v="Pakistan"/>
    <x v="0"/>
    <n v="5"/>
    <n v="3494"/>
    <n v="17470"/>
    <x v="2"/>
    <x v="1"/>
    <x v="1"/>
  </r>
  <r>
    <s v="PK-100397"/>
    <x v="16"/>
    <s v="Manuel Murray"/>
    <s v="smithantonio@gmail.com"/>
    <n v="923359312666"/>
    <x v="1"/>
    <s v="Pakistan"/>
    <x v="4"/>
    <n v="3"/>
    <n v="8390"/>
    <n v="25170"/>
    <x v="1"/>
    <x v="6"/>
    <x v="0"/>
  </r>
  <r>
    <s v="PK-100398"/>
    <x v="110"/>
    <s v="Brittany Wise"/>
    <s v="nflowers@yahoo.com"/>
    <n v="923026907856"/>
    <x v="7"/>
    <s v="Pakistan"/>
    <x v="4"/>
    <n v="3"/>
    <n v="6615"/>
    <n v="19845"/>
    <x v="2"/>
    <x v="4"/>
    <x v="3"/>
  </r>
  <r>
    <s v="PK-100399"/>
    <x v="239"/>
    <s v="Raymond Allen"/>
    <s v="fyoung@gmail.com"/>
    <n v="923480159267"/>
    <x v="5"/>
    <s v="Pakistan"/>
    <x v="2"/>
    <n v="5"/>
    <n v="1212"/>
    <n v="6060"/>
    <x v="5"/>
    <x v="6"/>
    <x v="2"/>
  </r>
  <r>
    <s v="PK-100400"/>
    <x v="244"/>
    <s v="Patrick Johnson"/>
    <s v="john21@evans.biz"/>
    <n v="923388295480"/>
    <x v="1"/>
    <s v="Pakistan"/>
    <x v="1"/>
    <n v="1"/>
    <n v="14878"/>
    <n v="14878"/>
    <x v="5"/>
    <x v="6"/>
    <x v="0"/>
  </r>
  <r>
    <s v="PK-100401"/>
    <x v="245"/>
    <s v="Dustin Cruz"/>
    <s v="williamshort@gmail.com"/>
    <n v="923487761347"/>
    <x v="9"/>
    <s v="Pakistan"/>
    <x v="0"/>
    <n v="4"/>
    <n v="13339"/>
    <n v="53356"/>
    <x v="1"/>
    <x v="1"/>
    <x v="3"/>
  </r>
  <r>
    <s v="PK-100402"/>
    <x v="16"/>
    <s v="Amy Cross"/>
    <s v="susanwebb@smith-butler.info"/>
    <n v="923443849910"/>
    <x v="0"/>
    <s v="Pakistan"/>
    <x v="0"/>
    <n v="2"/>
    <n v="7509"/>
    <n v="15018"/>
    <x v="1"/>
    <x v="1"/>
    <x v="3"/>
  </r>
  <r>
    <s v="PK-100403"/>
    <x v="246"/>
    <s v="Lauren Ramirez DDS"/>
    <s v="martinlaurie@king-bautista.com"/>
    <n v="923280039580"/>
    <x v="3"/>
    <s v="Pakistan"/>
    <x v="2"/>
    <n v="5"/>
    <n v="12808"/>
    <n v="64040"/>
    <x v="2"/>
    <x v="0"/>
    <x v="1"/>
  </r>
  <r>
    <s v="PK-100404"/>
    <x v="247"/>
    <s v="Theresa Ball"/>
    <s v="tammy80@thompson.biz"/>
    <n v="923119866169"/>
    <x v="5"/>
    <s v="Pakistan"/>
    <x v="0"/>
    <n v="1"/>
    <n v="9975"/>
    <n v="9975"/>
    <x v="5"/>
    <x v="5"/>
    <x v="1"/>
  </r>
  <r>
    <s v="PK-100405"/>
    <x v="110"/>
    <s v="Donald Cunningham"/>
    <s v="irodriguez@gmail.com"/>
    <n v="923498793089"/>
    <x v="6"/>
    <s v="Pakistan"/>
    <x v="1"/>
    <n v="5"/>
    <n v="9358"/>
    <n v="46790"/>
    <x v="2"/>
    <x v="5"/>
    <x v="3"/>
  </r>
  <r>
    <s v="PK-100406"/>
    <x v="248"/>
    <s v="Isaac Phillips"/>
    <s v="chapmanjames@yahoo.com"/>
    <n v="923217529092"/>
    <x v="7"/>
    <s v="Pakistan"/>
    <x v="3"/>
    <n v="2"/>
    <n v="14734"/>
    <n v="29468"/>
    <x v="3"/>
    <x v="2"/>
    <x v="2"/>
  </r>
  <r>
    <s v="PK-100407"/>
    <x v="80"/>
    <s v="Laura Deleon"/>
    <s v="reynoldsheather@galvan.com"/>
    <n v="923296619141"/>
    <x v="5"/>
    <s v="Pakistan"/>
    <x v="4"/>
    <n v="3"/>
    <n v="4457"/>
    <n v="13371"/>
    <x v="2"/>
    <x v="1"/>
    <x v="1"/>
  </r>
  <r>
    <s v="PK-100408"/>
    <x v="249"/>
    <s v="John George"/>
    <s v="johnsonalec@robinson.com"/>
    <n v="923191009023"/>
    <x v="1"/>
    <s v="Pakistan"/>
    <x v="1"/>
    <n v="3"/>
    <n v="2926"/>
    <n v="8778"/>
    <x v="5"/>
    <x v="0"/>
    <x v="0"/>
  </r>
  <r>
    <s v="PK-100409"/>
    <x v="156"/>
    <s v="Lindsey Singleton"/>
    <s v="malikwilliams@levy.com"/>
    <n v="923413577378"/>
    <x v="9"/>
    <s v="Pakistan"/>
    <x v="4"/>
    <n v="1"/>
    <n v="4189"/>
    <n v="4189"/>
    <x v="4"/>
    <x v="2"/>
    <x v="3"/>
  </r>
  <r>
    <s v="PK-100410"/>
    <x v="236"/>
    <s v="Ashley Beltran"/>
    <s v="mmitchell@hotmail.com"/>
    <n v="923029298314"/>
    <x v="9"/>
    <s v="Pakistan"/>
    <x v="0"/>
    <n v="4"/>
    <n v="12555"/>
    <n v="50220"/>
    <x v="3"/>
    <x v="6"/>
    <x v="2"/>
  </r>
  <r>
    <s v="PK-100411"/>
    <x v="53"/>
    <s v="Mark Taylor"/>
    <s v="umaldonado@hotmail.com"/>
    <n v="923029832425"/>
    <x v="6"/>
    <s v="Pakistan"/>
    <x v="0"/>
    <n v="3"/>
    <n v="3800"/>
    <n v="11400"/>
    <x v="0"/>
    <x v="2"/>
    <x v="1"/>
  </r>
  <r>
    <s v="PK-100412"/>
    <x v="42"/>
    <s v="Sara Moore"/>
    <s v="qwashington@yahoo.com"/>
    <n v="923143209760"/>
    <x v="9"/>
    <s v="Pakistan"/>
    <x v="0"/>
    <n v="1"/>
    <n v="5488"/>
    <n v="5488"/>
    <x v="2"/>
    <x v="0"/>
    <x v="2"/>
  </r>
  <r>
    <s v="PK-100413"/>
    <x v="250"/>
    <s v="Michelle Clayton"/>
    <s v="marc60@yahoo.com"/>
    <n v="923375553104"/>
    <x v="4"/>
    <s v="Pakistan"/>
    <x v="2"/>
    <n v="1"/>
    <n v="9803"/>
    <n v="9803"/>
    <x v="5"/>
    <x v="2"/>
    <x v="3"/>
  </r>
  <r>
    <s v="PK-100414"/>
    <x v="128"/>
    <s v="Erin Wiley"/>
    <s v="elizabeth09@hotmail.com"/>
    <n v="923338916321"/>
    <x v="0"/>
    <s v="Pakistan"/>
    <x v="3"/>
    <n v="5"/>
    <n v="10744"/>
    <n v="53720"/>
    <x v="0"/>
    <x v="4"/>
    <x v="2"/>
  </r>
  <r>
    <s v="PK-100415"/>
    <x v="36"/>
    <s v="Brian Garrett"/>
    <s v="matthewcarlson@gmail.com"/>
    <n v="923481503287"/>
    <x v="3"/>
    <s v="Pakistan"/>
    <x v="2"/>
    <n v="1"/>
    <n v="6677"/>
    <n v="6677"/>
    <x v="4"/>
    <x v="3"/>
    <x v="0"/>
  </r>
  <r>
    <s v="PK-100416"/>
    <x v="108"/>
    <s v="Deanna Thomas"/>
    <s v="kjensen@ward.net"/>
    <n v="923457530182"/>
    <x v="7"/>
    <s v="Pakistan"/>
    <x v="5"/>
    <n v="1"/>
    <n v="7113"/>
    <n v="7113"/>
    <x v="4"/>
    <x v="4"/>
    <x v="2"/>
  </r>
  <r>
    <s v="PK-100417"/>
    <x v="131"/>
    <s v="Toni Anderson"/>
    <s v="john99@gmail.com"/>
    <n v="923229909713"/>
    <x v="4"/>
    <s v="Pakistan"/>
    <x v="1"/>
    <n v="3"/>
    <n v="3871"/>
    <n v="11613"/>
    <x v="2"/>
    <x v="0"/>
    <x v="0"/>
  </r>
  <r>
    <s v="PK-100418"/>
    <x v="93"/>
    <s v="Mary Wiley"/>
    <s v="kristen92@hotmail.com"/>
    <n v="923393670536"/>
    <x v="1"/>
    <s v="Pakistan"/>
    <x v="3"/>
    <n v="1"/>
    <n v="8989"/>
    <n v="8989"/>
    <x v="1"/>
    <x v="2"/>
    <x v="2"/>
  </r>
  <r>
    <s v="PK-100419"/>
    <x v="251"/>
    <s v="Lauren Fitzpatrick"/>
    <s v="ymorton@yahoo.com"/>
    <n v="923380127218"/>
    <x v="6"/>
    <s v="Pakistan"/>
    <x v="3"/>
    <n v="1"/>
    <n v="14445"/>
    <n v="14445"/>
    <x v="3"/>
    <x v="5"/>
    <x v="1"/>
  </r>
  <r>
    <s v="PK-100420"/>
    <x v="113"/>
    <s v="Marc Flores"/>
    <s v="robert55@yahoo.com"/>
    <n v="923035476295"/>
    <x v="2"/>
    <s v="Pakistan"/>
    <x v="5"/>
    <n v="1"/>
    <n v="14889"/>
    <n v="14889"/>
    <x v="4"/>
    <x v="6"/>
    <x v="3"/>
  </r>
  <r>
    <s v="PK-100421"/>
    <x v="120"/>
    <s v="Justin Moore"/>
    <s v="christopheralexander@thomas.info"/>
    <n v="923334412369"/>
    <x v="8"/>
    <s v="Pakistan"/>
    <x v="1"/>
    <n v="1"/>
    <n v="5920"/>
    <n v="5920"/>
    <x v="5"/>
    <x v="3"/>
    <x v="0"/>
  </r>
  <r>
    <s v="PK-100422"/>
    <x v="245"/>
    <s v="Samantha Mccormick"/>
    <s v="katelyn97@yahoo.com"/>
    <n v="923378997220"/>
    <x v="0"/>
    <s v="Pakistan"/>
    <x v="4"/>
    <n v="5"/>
    <n v="10864"/>
    <n v="54320"/>
    <x v="3"/>
    <x v="1"/>
    <x v="2"/>
  </r>
  <r>
    <s v="PK-100423"/>
    <x v="252"/>
    <s v="Stephanie Wagner"/>
    <s v="christina36@hotmail.com"/>
    <n v="923397458118"/>
    <x v="0"/>
    <s v="Pakistan"/>
    <x v="1"/>
    <n v="3"/>
    <n v="14522"/>
    <n v="43566"/>
    <x v="4"/>
    <x v="5"/>
    <x v="1"/>
  </r>
  <r>
    <s v="PK-100424"/>
    <x v="212"/>
    <s v="Melanie Gardner"/>
    <s v="kim42@cooper.com"/>
    <n v="923456333577"/>
    <x v="0"/>
    <s v="Pakistan"/>
    <x v="2"/>
    <n v="5"/>
    <n v="3979"/>
    <n v="19895"/>
    <x v="0"/>
    <x v="2"/>
    <x v="2"/>
  </r>
  <r>
    <s v="PK-100425"/>
    <x v="129"/>
    <s v="Marissa Wilson"/>
    <s v="diane70@hotmail.com"/>
    <n v="923042459744"/>
    <x v="5"/>
    <s v="Pakistan"/>
    <x v="5"/>
    <n v="1"/>
    <n v="10008"/>
    <n v="10008"/>
    <x v="4"/>
    <x v="0"/>
    <x v="0"/>
  </r>
  <r>
    <s v="PK-100426"/>
    <x v="250"/>
    <s v="Sean Johnson"/>
    <s v="wmiller@edwards.com"/>
    <n v="923149967021"/>
    <x v="0"/>
    <s v="Pakistan"/>
    <x v="2"/>
    <n v="4"/>
    <n v="6501"/>
    <n v="26004"/>
    <x v="0"/>
    <x v="0"/>
    <x v="2"/>
  </r>
  <r>
    <s v="PK-100427"/>
    <x v="33"/>
    <s v="Catherine Lee"/>
    <s v="loweryan@molina.org"/>
    <n v="923421449563"/>
    <x v="9"/>
    <s v="Pakistan"/>
    <x v="1"/>
    <n v="4"/>
    <n v="2912"/>
    <n v="11648"/>
    <x v="5"/>
    <x v="3"/>
    <x v="0"/>
  </r>
  <r>
    <s v="PK-100428"/>
    <x v="253"/>
    <s v="Wesley Graham"/>
    <s v="richardbanks@yahoo.com"/>
    <n v="923426123066"/>
    <x v="2"/>
    <s v="Pakistan"/>
    <x v="1"/>
    <n v="1"/>
    <n v="14589"/>
    <n v="14589"/>
    <x v="4"/>
    <x v="4"/>
    <x v="2"/>
  </r>
  <r>
    <s v="PK-100429"/>
    <x v="124"/>
    <s v="David Vaughn"/>
    <s v="pmeza@simmons.com"/>
    <n v="923445364989"/>
    <x v="4"/>
    <s v="Pakistan"/>
    <x v="4"/>
    <n v="2"/>
    <n v="7625"/>
    <n v="15250"/>
    <x v="3"/>
    <x v="4"/>
    <x v="1"/>
  </r>
  <r>
    <s v="PK-100430"/>
    <x v="199"/>
    <s v="Jacqueline Buchanan"/>
    <s v="carolynmontgomery@hotmail.com"/>
    <n v="923138388943"/>
    <x v="3"/>
    <s v="Pakistan"/>
    <x v="3"/>
    <n v="5"/>
    <n v="2353"/>
    <n v="11765"/>
    <x v="4"/>
    <x v="3"/>
    <x v="1"/>
  </r>
  <r>
    <s v="PK-100431"/>
    <x v="164"/>
    <s v="Vicki Perry"/>
    <s v="scottvazquez@yahoo.com"/>
    <n v="923258666001"/>
    <x v="7"/>
    <s v="Pakistan"/>
    <x v="0"/>
    <n v="3"/>
    <n v="13833"/>
    <n v="41499"/>
    <x v="1"/>
    <x v="0"/>
    <x v="2"/>
  </r>
  <r>
    <s v="PK-100432"/>
    <x v="92"/>
    <s v="Alison Lindsey"/>
    <s v="hahnlonnie@jones.info"/>
    <n v="923016139643"/>
    <x v="1"/>
    <s v="Pakistan"/>
    <x v="4"/>
    <n v="1"/>
    <n v="6770"/>
    <n v="6770"/>
    <x v="5"/>
    <x v="4"/>
    <x v="3"/>
  </r>
  <r>
    <s v="PK-100433"/>
    <x v="137"/>
    <s v="Michele Johnson"/>
    <s v="victoria00@gmail.com"/>
    <n v="923046887177"/>
    <x v="6"/>
    <s v="Pakistan"/>
    <x v="3"/>
    <n v="4"/>
    <n v="14523"/>
    <n v="58092"/>
    <x v="4"/>
    <x v="2"/>
    <x v="1"/>
  </r>
  <r>
    <s v="PK-100434"/>
    <x v="130"/>
    <s v="Christina Bailey"/>
    <s v="dtaylor@gmail.com"/>
    <n v="923489196035"/>
    <x v="7"/>
    <s v="Pakistan"/>
    <x v="0"/>
    <n v="2"/>
    <n v="14032"/>
    <n v="28064"/>
    <x v="1"/>
    <x v="5"/>
    <x v="1"/>
  </r>
  <r>
    <s v="PK-100435"/>
    <x v="174"/>
    <s v="Michael Mcdonald"/>
    <s v="angela66@hotmail.com"/>
    <n v="923053232971"/>
    <x v="2"/>
    <s v="Pakistan"/>
    <x v="0"/>
    <n v="2"/>
    <n v="9107"/>
    <n v="18214"/>
    <x v="2"/>
    <x v="4"/>
    <x v="0"/>
  </r>
  <r>
    <s v="PK-100436"/>
    <x v="254"/>
    <s v="Darrell Reynolds"/>
    <s v="rodneynelson@gmail.com"/>
    <n v="923437218734"/>
    <x v="3"/>
    <s v="Pakistan"/>
    <x v="3"/>
    <n v="4"/>
    <n v="12482"/>
    <n v="49928"/>
    <x v="0"/>
    <x v="4"/>
    <x v="3"/>
  </r>
  <r>
    <s v="PK-100437"/>
    <x v="63"/>
    <s v="Deborah Wood"/>
    <s v="huertasharon@yahoo.com"/>
    <n v="923223102900"/>
    <x v="7"/>
    <s v="Pakistan"/>
    <x v="2"/>
    <n v="3"/>
    <n v="1488"/>
    <n v="4464"/>
    <x v="4"/>
    <x v="4"/>
    <x v="1"/>
  </r>
  <r>
    <s v="PK-100438"/>
    <x v="255"/>
    <s v="John Green"/>
    <s v="stephenlopez@hotmail.com"/>
    <n v="923398510843"/>
    <x v="8"/>
    <s v="Pakistan"/>
    <x v="2"/>
    <n v="5"/>
    <n v="1089"/>
    <n v="5445"/>
    <x v="1"/>
    <x v="2"/>
    <x v="0"/>
  </r>
  <r>
    <s v="PK-100439"/>
    <x v="19"/>
    <s v="Jared Jenkins"/>
    <s v="vprice@olsen.com"/>
    <n v="923426407261"/>
    <x v="4"/>
    <s v="Pakistan"/>
    <x v="4"/>
    <n v="5"/>
    <n v="6933"/>
    <n v="34665"/>
    <x v="1"/>
    <x v="2"/>
    <x v="2"/>
  </r>
  <r>
    <s v="PK-100440"/>
    <x v="148"/>
    <s v="Christine Wilson"/>
    <s v="samanthajacobson@yahoo.com"/>
    <n v="923350460548"/>
    <x v="2"/>
    <s v="Pakistan"/>
    <x v="5"/>
    <n v="5"/>
    <n v="4037"/>
    <n v="20185"/>
    <x v="4"/>
    <x v="2"/>
    <x v="0"/>
  </r>
  <r>
    <s v="PK-100441"/>
    <x v="78"/>
    <s v="Chelsea Baker"/>
    <s v="christopherlewis@cohen-oliver.com"/>
    <n v="923055512254"/>
    <x v="0"/>
    <s v="Pakistan"/>
    <x v="1"/>
    <n v="4"/>
    <n v="10598"/>
    <n v="42392"/>
    <x v="2"/>
    <x v="2"/>
    <x v="1"/>
  </r>
  <r>
    <s v="PK-100442"/>
    <x v="233"/>
    <s v="David Mckenzie"/>
    <s v="aguilarvanessa@king-miranda.com"/>
    <n v="923489272263"/>
    <x v="5"/>
    <s v="Pakistan"/>
    <x v="4"/>
    <n v="5"/>
    <n v="8351"/>
    <n v="41755"/>
    <x v="2"/>
    <x v="0"/>
    <x v="3"/>
  </r>
  <r>
    <s v="PK-100443"/>
    <x v="256"/>
    <s v="Amber Holland"/>
    <s v="murrayjoshua@williams.com"/>
    <n v="923020826899"/>
    <x v="5"/>
    <s v="Pakistan"/>
    <x v="5"/>
    <n v="2"/>
    <n v="12089"/>
    <n v="24178"/>
    <x v="3"/>
    <x v="0"/>
    <x v="1"/>
  </r>
  <r>
    <s v="PK-100444"/>
    <x v="257"/>
    <s v="Lauren Graham"/>
    <s v="erin52@hotmail.com"/>
    <n v="923379024786"/>
    <x v="4"/>
    <s v="Pakistan"/>
    <x v="2"/>
    <n v="5"/>
    <n v="9249"/>
    <n v="46245"/>
    <x v="4"/>
    <x v="2"/>
    <x v="0"/>
  </r>
  <r>
    <s v="PK-100445"/>
    <x v="258"/>
    <s v="Madeline Rice"/>
    <s v="johnhiggins@yahoo.com"/>
    <n v="923146778868"/>
    <x v="4"/>
    <s v="Pakistan"/>
    <x v="4"/>
    <n v="2"/>
    <n v="8372"/>
    <n v="16744"/>
    <x v="5"/>
    <x v="3"/>
    <x v="0"/>
  </r>
  <r>
    <s v="PK-100446"/>
    <x v="110"/>
    <s v="Nancy Greene"/>
    <s v="courtney28@yahoo.com"/>
    <n v="923320184069"/>
    <x v="4"/>
    <s v="Pakistan"/>
    <x v="5"/>
    <n v="1"/>
    <n v="14461"/>
    <n v="14461"/>
    <x v="5"/>
    <x v="7"/>
    <x v="1"/>
  </r>
  <r>
    <s v="PK-100447"/>
    <x v="259"/>
    <s v="Kathy Mcdaniel"/>
    <s v="cheyennepittman@yahoo.com"/>
    <n v="923414955950"/>
    <x v="5"/>
    <s v="Pakistan"/>
    <x v="5"/>
    <n v="3"/>
    <n v="8842"/>
    <n v="26526"/>
    <x v="0"/>
    <x v="3"/>
    <x v="2"/>
  </r>
  <r>
    <s v="PK-100448"/>
    <x v="85"/>
    <s v="Charles Wright"/>
    <s v="lori13@gmail.com"/>
    <n v="923331083923"/>
    <x v="0"/>
    <s v="Pakistan"/>
    <x v="1"/>
    <n v="3"/>
    <n v="12215"/>
    <n v="36645"/>
    <x v="1"/>
    <x v="4"/>
    <x v="3"/>
  </r>
  <r>
    <s v="PK-100449"/>
    <x v="39"/>
    <s v="Amy Stuart"/>
    <s v="angela47@gmail.com"/>
    <n v="923387336711"/>
    <x v="3"/>
    <s v="Pakistan"/>
    <x v="1"/>
    <n v="1"/>
    <n v="6846"/>
    <n v="6846"/>
    <x v="1"/>
    <x v="2"/>
    <x v="3"/>
  </r>
  <r>
    <s v="PK-100450"/>
    <x v="12"/>
    <s v="Alexander Cruz"/>
    <s v="gmartinez@christian.org"/>
    <n v="923173655929"/>
    <x v="4"/>
    <s v="Pakistan"/>
    <x v="1"/>
    <n v="5"/>
    <n v="1162"/>
    <n v="5810"/>
    <x v="0"/>
    <x v="0"/>
    <x v="0"/>
  </r>
  <r>
    <s v="PK-100451"/>
    <x v="260"/>
    <s v="John Davis"/>
    <s v="jonathanrichard@brown.org"/>
    <n v="923257903994"/>
    <x v="5"/>
    <s v="Pakistan"/>
    <x v="3"/>
    <n v="1"/>
    <n v="1919"/>
    <n v="1919"/>
    <x v="3"/>
    <x v="7"/>
    <x v="2"/>
  </r>
  <r>
    <s v="PK-100452"/>
    <x v="178"/>
    <s v="Michael Paul"/>
    <s v="msullivan@yahoo.com"/>
    <n v="923351530654"/>
    <x v="2"/>
    <s v="Pakistan"/>
    <x v="0"/>
    <n v="4"/>
    <n v="10217"/>
    <n v="40868"/>
    <x v="2"/>
    <x v="5"/>
    <x v="1"/>
  </r>
  <r>
    <s v="PK-100453"/>
    <x v="261"/>
    <s v="James Barrett"/>
    <s v="moondevin@bennett-sanchez.info"/>
    <n v="923412069449"/>
    <x v="1"/>
    <s v="Pakistan"/>
    <x v="1"/>
    <n v="3"/>
    <n v="9484"/>
    <n v="28452"/>
    <x v="3"/>
    <x v="3"/>
    <x v="0"/>
  </r>
  <r>
    <s v="PK-100454"/>
    <x v="104"/>
    <s v="Krista Meyer"/>
    <s v="sanchezlindsay@gmail.com"/>
    <n v="923315665781"/>
    <x v="2"/>
    <s v="Pakistan"/>
    <x v="5"/>
    <n v="2"/>
    <n v="2620"/>
    <n v="5240"/>
    <x v="2"/>
    <x v="0"/>
    <x v="0"/>
  </r>
  <r>
    <s v="PK-100455"/>
    <x v="15"/>
    <s v="Stephanie Campbell"/>
    <s v="anncooper@watson-cowan.info"/>
    <n v="923220191043"/>
    <x v="7"/>
    <s v="Pakistan"/>
    <x v="2"/>
    <n v="3"/>
    <n v="7538"/>
    <n v="22614"/>
    <x v="1"/>
    <x v="7"/>
    <x v="0"/>
  </r>
  <r>
    <s v="PK-100456"/>
    <x v="216"/>
    <s v="Leslie Brown"/>
    <s v="joshuacole@mathews.org"/>
    <n v="923180692972"/>
    <x v="1"/>
    <s v="Pakistan"/>
    <x v="0"/>
    <n v="2"/>
    <n v="1058"/>
    <n v="2116"/>
    <x v="5"/>
    <x v="5"/>
    <x v="1"/>
  </r>
  <r>
    <s v="PK-100457"/>
    <x v="26"/>
    <s v="Chloe Gilbert"/>
    <s v="croy@black.com"/>
    <n v="923393663381"/>
    <x v="7"/>
    <s v="Pakistan"/>
    <x v="0"/>
    <n v="1"/>
    <n v="8128"/>
    <n v="8128"/>
    <x v="1"/>
    <x v="3"/>
    <x v="2"/>
  </r>
  <r>
    <s v="PK-100458"/>
    <x v="24"/>
    <s v="Mark Miller"/>
    <s v="heather45@bell.com"/>
    <n v="923035565106"/>
    <x v="7"/>
    <s v="Pakistan"/>
    <x v="2"/>
    <n v="3"/>
    <n v="6418"/>
    <n v="19254"/>
    <x v="4"/>
    <x v="7"/>
    <x v="1"/>
  </r>
  <r>
    <s v="PK-100459"/>
    <x v="262"/>
    <s v="Mark Warner"/>
    <s v="devin96@gmail.com"/>
    <n v="923451397608"/>
    <x v="6"/>
    <s v="Pakistan"/>
    <x v="0"/>
    <n v="2"/>
    <n v="4711"/>
    <n v="9422"/>
    <x v="2"/>
    <x v="6"/>
    <x v="0"/>
  </r>
  <r>
    <s v="PK-100460"/>
    <x v="115"/>
    <s v="Kristen Ball"/>
    <s v="albertadams@escobar-frank.com"/>
    <n v="923166424029"/>
    <x v="3"/>
    <s v="Pakistan"/>
    <x v="1"/>
    <n v="2"/>
    <n v="5414"/>
    <n v="10828"/>
    <x v="2"/>
    <x v="6"/>
    <x v="1"/>
  </r>
  <r>
    <s v="PK-100461"/>
    <x v="26"/>
    <s v="Shawn Johnson"/>
    <s v="keith84@smith.biz"/>
    <n v="923315645043"/>
    <x v="2"/>
    <s v="Pakistan"/>
    <x v="5"/>
    <n v="1"/>
    <n v="10414"/>
    <n v="10414"/>
    <x v="3"/>
    <x v="1"/>
    <x v="1"/>
  </r>
  <r>
    <s v="PK-100462"/>
    <x v="112"/>
    <s v="Jack Baker"/>
    <s v="dwood@hoffman.com"/>
    <n v="923430706848"/>
    <x v="2"/>
    <s v="Pakistan"/>
    <x v="1"/>
    <n v="2"/>
    <n v="7746"/>
    <n v="15492"/>
    <x v="1"/>
    <x v="6"/>
    <x v="0"/>
  </r>
  <r>
    <s v="PK-100463"/>
    <x v="107"/>
    <s v="Steve Rodriguez"/>
    <s v="pearsonmiguel@hunter.com"/>
    <n v="923391961793"/>
    <x v="4"/>
    <s v="Pakistan"/>
    <x v="0"/>
    <n v="2"/>
    <n v="3100"/>
    <n v="6200"/>
    <x v="5"/>
    <x v="7"/>
    <x v="0"/>
  </r>
  <r>
    <s v="PK-100464"/>
    <x v="240"/>
    <s v="Anthony Cordova"/>
    <s v="vpollard@hotmail.com"/>
    <n v="923017363609"/>
    <x v="2"/>
    <s v="Pakistan"/>
    <x v="1"/>
    <n v="2"/>
    <n v="12324"/>
    <n v="24648"/>
    <x v="3"/>
    <x v="7"/>
    <x v="3"/>
  </r>
  <r>
    <s v="PK-100465"/>
    <x v="263"/>
    <s v="Tracie Hancock"/>
    <s v="gonzalessusan@graves-nielsen.com"/>
    <n v="923272419670"/>
    <x v="0"/>
    <s v="Pakistan"/>
    <x v="5"/>
    <n v="2"/>
    <n v="12766"/>
    <n v="25532"/>
    <x v="1"/>
    <x v="3"/>
    <x v="0"/>
  </r>
  <r>
    <s v="PK-100466"/>
    <x v="179"/>
    <s v="Megan Bennett"/>
    <s v="james19@gmail.com"/>
    <n v="923090949901"/>
    <x v="6"/>
    <s v="Pakistan"/>
    <x v="0"/>
    <n v="5"/>
    <n v="9515"/>
    <n v="47575"/>
    <x v="1"/>
    <x v="1"/>
    <x v="2"/>
  </r>
  <r>
    <s v="PK-100467"/>
    <x v="133"/>
    <s v="Jamie Patterson"/>
    <s v="paultaylor@perez-moses.com"/>
    <n v="923343873310"/>
    <x v="4"/>
    <s v="Pakistan"/>
    <x v="2"/>
    <n v="2"/>
    <n v="3432"/>
    <n v="6864"/>
    <x v="4"/>
    <x v="4"/>
    <x v="0"/>
  </r>
  <r>
    <s v="PK-100468"/>
    <x v="190"/>
    <s v="April Jones"/>
    <s v="mary13@yahoo.com"/>
    <n v="923135976115"/>
    <x v="0"/>
    <s v="Pakistan"/>
    <x v="2"/>
    <n v="3"/>
    <n v="11535"/>
    <n v="34605"/>
    <x v="0"/>
    <x v="2"/>
    <x v="1"/>
  </r>
  <r>
    <s v="PK-100469"/>
    <x v="48"/>
    <s v="Steven White"/>
    <s v="joshua42@hotmail.com"/>
    <n v="923157680095"/>
    <x v="9"/>
    <s v="Pakistan"/>
    <x v="4"/>
    <n v="2"/>
    <n v="11832"/>
    <n v="23664"/>
    <x v="2"/>
    <x v="7"/>
    <x v="2"/>
  </r>
  <r>
    <s v="PK-100470"/>
    <x v="247"/>
    <s v="Samuel Jones"/>
    <s v="ymiller@schwartz.biz"/>
    <n v="923282820674"/>
    <x v="0"/>
    <s v="Pakistan"/>
    <x v="2"/>
    <n v="1"/>
    <n v="2705"/>
    <n v="2705"/>
    <x v="0"/>
    <x v="2"/>
    <x v="0"/>
  </r>
  <r>
    <s v="PK-100471"/>
    <x v="264"/>
    <s v="Mr. Juan Walsh"/>
    <s v="mayjohn@yahoo.com"/>
    <n v="923009589735"/>
    <x v="2"/>
    <s v="Pakistan"/>
    <x v="2"/>
    <n v="5"/>
    <n v="11729"/>
    <n v="58645"/>
    <x v="0"/>
    <x v="2"/>
    <x v="2"/>
  </r>
  <r>
    <s v="PK-100472"/>
    <x v="48"/>
    <s v="Douglas Phillips"/>
    <s v="thompsonmark@hotmail.com"/>
    <n v="923460470640"/>
    <x v="1"/>
    <s v="Pakistan"/>
    <x v="4"/>
    <n v="5"/>
    <n v="4238"/>
    <n v="21190"/>
    <x v="2"/>
    <x v="2"/>
    <x v="0"/>
  </r>
  <r>
    <s v="PK-100473"/>
    <x v="185"/>
    <s v="Vincent Lewis"/>
    <s v="zdougherty@yahoo.com"/>
    <n v="923379391809"/>
    <x v="4"/>
    <s v="Pakistan"/>
    <x v="4"/>
    <n v="5"/>
    <n v="12190"/>
    <n v="60950"/>
    <x v="3"/>
    <x v="6"/>
    <x v="2"/>
  </r>
  <r>
    <s v="PK-100474"/>
    <x v="250"/>
    <s v="Michelle Owens"/>
    <s v="ohamilton@gmail.com"/>
    <n v="923410954770"/>
    <x v="9"/>
    <s v="Pakistan"/>
    <x v="4"/>
    <n v="1"/>
    <n v="2732"/>
    <n v="2732"/>
    <x v="3"/>
    <x v="0"/>
    <x v="1"/>
  </r>
  <r>
    <s v="PK-100475"/>
    <x v="265"/>
    <s v="Latoya Robinson"/>
    <s v="christensenalexander@moon-bradshaw.com"/>
    <n v="923402559866"/>
    <x v="7"/>
    <s v="Pakistan"/>
    <x v="0"/>
    <n v="4"/>
    <n v="2202"/>
    <n v="8808"/>
    <x v="4"/>
    <x v="1"/>
    <x v="0"/>
  </r>
  <r>
    <s v="PK-100476"/>
    <x v="45"/>
    <s v="Brian Griffith"/>
    <s v="juliesummers@diaz.com"/>
    <n v="923316987586"/>
    <x v="4"/>
    <s v="Pakistan"/>
    <x v="5"/>
    <n v="4"/>
    <n v="8033"/>
    <n v="32132"/>
    <x v="5"/>
    <x v="6"/>
    <x v="0"/>
  </r>
  <r>
    <s v="PK-100477"/>
    <x v="51"/>
    <s v="Lori Estrada"/>
    <s v="bruce74@gmail.com"/>
    <n v="923197496826"/>
    <x v="7"/>
    <s v="Pakistan"/>
    <x v="5"/>
    <n v="4"/>
    <n v="14678"/>
    <n v="58712"/>
    <x v="0"/>
    <x v="3"/>
    <x v="1"/>
  </r>
  <r>
    <s v="PK-100478"/>
    <x v="2"/>
    <s v="Tammy Davis"/>
    <s v="tsims@hall-johnson.com"/>
    <n v="923383587210"/>
    <x v="7"/>
    <s v="Pakistan"/>
    <x v="3"/>
    <n v="4"/>
    <n v="6963"/>
    <n v="27852"/>
    <x v="5"/>
    <x v="0"/>
    <x v="3"/>
  </r>
  <r>
    <s v="PK-100479"/>
    <x v="266"/>
    <s v="Angel Young"/>
    <s v="richardhaas@hotmail.com"/>
    <n v="923241186381"/>
    <x v="6"/>
    <s v="Pakistan"/>
    <x v="0"/>
    <n v="1"/>
    <n v="7461"/>
    <n v="7461"/>
    <x v="3"/>
    <x v="1"/>
    <x v="3"/>
  </r>
  <r>
    <s v="PK-100480"/>
    <x v="66"/>
    <s v="Patricia Walton MD"/>
    <s v="sydneyrojas@gmail.com"/>
    <n v="923414029660"/>
    <x v="8"/>
    <s v="Pakistan"/>
    <x v="5"/>
    <n v="3"/>
    <n v="2211"/>
    <n v="6633"/>
    <x v="0"/>
    <x v="4"/>
    <x v="1"/>
  </r>
  <r>
    <s v="PK-100481"/>
    <x v="206"/>
    <s v="Jason Fisher"/>
    <s v="danielwoodard@gmail.com"/>
    <n v="923070394716"/>
    <x v="5"/>
    <s v="Pakistan"/>
    <x v="1"/>
    <n v="2"/>
    <n v="9345"/>
    <n v="18690"/>
    <x v="2"/>
    <x v="5"/>
    <x v="2"/>
  </r>
  <r>
    <s v="PK-100482"/>
    <x v="237"/>
    <s v="Brian Thomas"/>
    <s v="sanchezchristopher@hotmail.com"/>
    <n v="923067763511"/>
    <x v="4"/>
    <s v="Pakistan"/>
    <x v="5"/>
    <n v="1"/>
    <n v="8792"/>
    <n v="8792"/>
    <x v="0"/>
    <x v="1"/>
    <x v="3"/>
  </r>
  <r>
    <s v="PK-100483"/>
    <x v="112"/>
    <s v="Johnathan King"/>
    <s v="kbishop@yahoo.com"/>
    <n v="923267721540"/>
    <x v="3"/>
    <s v="Pakistan"/>
    <x v="1"/>
    <n v="3"/>
    <n v="13202"/>
    <n v="39606"/>
    <x v="1"/>
    <x v="4"/>
    <x v="3"/>
  </r>
  <r>
    <s v="PK-100484"/>
    <x v="267"/>
    <s v="David Boyd"/>
    <s v="vwebb@stuart.org"/>
    <n v="923092016762"/>
    <x v="8"/>
    <s v="Pakistan"/>
    <x v="3"/>
    <n v="2"/>
    <n v="7375"/>
    <n v="14750"/>
    <x v="0"/>
    <x v="5"/>
    <x v="1"/>
  </r>
  <r>
    <s v="PK-100485"/>
    <x v="190"/>
    <s v="Alicia Acosta"/>
    <s v="jallen@gmail.com"/>
    <n v="923299722210"/>
    <x v="1"/>
    <s v="Pakistan"/>
    <x v="4"/>
    <n v="4"/>
    <n v="6873"/>
    <n v="27492"/>
    <x v="3"/>
    <x v="1"/>
    <x v="3"/>
  </r>
  <r>
    <s v="PK-100486"/>
    <x v="17"/>
    <s v="Anthony Mitchell DDS"/>
    <s v="taylorelizabeth@gmail.com"/>
    <n v="923375159537"/>
    <x v="1"/>
    <s v="Pakistan"/>
    <x v="3"/>
    <n v="1"/>
    <n v="4514"/>
    <n v="4514"/>
    <x v="3"/>
    <x v="6"/>
    <x v="1"/>
  </r>
  <r>
    <s v="PK-100487"/>
    <x v="268"/>
    <s v="Melissa Yoder"/>
    <s v="mendezaaron@yahoo.com"/>
    <n v="923427480420"/>
    <x v="1"/>
    <s v="Pakistan"/>
    <x v="3"/>
    <n v="5"/>
    <n v="4930"/>
    <n v="24650"/>
    <x v="0"/>
    <x v="3"/>
    <x v="1"/>
  </r>
  <r>
    <s v="PK-100488"/>
    <x v="124"/>
    <s v="Michael Campbell"/>
    <s v="peteravery@johnston.com"/>
    <n v="923052796123"/>
    <x v="2"/>
    <s v="Pakistan"/>
    <x v="3"/>
    <n v="3"/>
    <n v="5774"/>
    <n v="17322"/>
    <x v="5"/>
    <x v="4"/>
    <x v="2"/>
  </r>
  <r>
    <s v="PK-100489"/>
    <x v="261"/>
    <s v="Paul Jordan"/>
    <s v="marcthompson@gmail.com"/>
    <n v="923067868185"/>
    <x v="4"/>
    <s v="Pakistan"/>
    <x v="0"/>
    <n v="3"/>
    <n v="12868"/>
    <n v="38604"/>
    <x v="1"/>
    <x v="6"/>
    <x v="0"/>
  </r>
  <r>
    <s v="PK-100490"/>
    <x v="113"/>
    <s v="Laura Hudson"/>
    <s v="mcgrathjacqueline@evans.com"/>
    <n v="923141449294"/>
    <x v="1"/>
    <s v="Pakistan"/>
    <x v="2"/>
    <n v="5"/>
    <n v="2543"/>
    <n v="12715"/>
    <x v="5"/>
    <x v="4"/>
    <x v="1"/>
  </r>
  <r>
    <s v="PK-100491"/>
    <x v="57"/>
    <s v="Daniel Lewis"/>
    <s v="hhernandez@cooper-thompson.com"/>
    <n v="923438584704"/>
    <x v="0"/>
    <s v="Pakistan"/>
    <x v="2"/>
    <n v="1"/>
    <n v="13268"/>
    <n v="13268"/>
    <x v="3"/>
    <x v="7"/>
    <x v="2"/>
  </r>
  <r>
    <s v="PK-100492"/>
    <x v="27"/>
    <s v="Kevin Baker"/>
    <s v="zmckee@schmitt.info"/>
    <n v="923397574667"/>
    <x v="5"/>
    <s v="Pakistan"/>
    <x v="5"/>
    <n v="4"/>
    <n v="11277"/>
    <n v="45108"/>
    <x v="4"/>
    <x v="5"/>
    <x v="3"/>
  </r>
  <r>
    <s v="PK-100493"/>
    <x v="252"/>
    <s v="Lydia Bryan"/>
    <s v="manuel59@hotmail.com"/>
    <n v="923274084356"/>
    <x v="5"/>
    <s v="Pakistan"/>
    <x v="1"/>
    <n v="2"/>
    <n v="2677"/>
    <n v="5354"/>
    <x v="2"/>
    <x v="7"/>
    <x v="0"/>
  </r>
  <r>
    <s v="PK-100494"/>
    <x v="269"/>
    <s v="Randy Foster"/>
    <s v="gordonnicole@faulkner-bennett.org"/>
    <n v="923481778623"/>
    <x v="9"/>
    <s v="Pakistan"/>
    <x v="2"/>
    <n v="4"/>
    <n v="2167"/>
    <n v="8668"/>
    <x v="5"/>
    <x v="1"/>
    <x v="2"/>
  </r>
  <r>
    <s v="PK-100495"/>
    <x v="55"/>
    <s v="Ricardo Vazquez"/>
    <s v="walkerjacqueline@whitaker.com"/>
    <n v="923290342181"/>
    <x v="2"/>
    <s v="Pakistan"/>
    <x v="0"/>
    <n v="5"/>
    <n v="10691"/>
    <n v="53455"/>
    <x v="4"/>
    <x v="1"/>
    <x v="2"/>
  </r>
  <r>
    <s v="PK-100496"/>
    <x v="231"/>
    <s v="Rebecca Wright"/>
    <s v="amy61@gregory.com"/>
    <n v="923057026423"/>
    <x v="2"/>
    <s v="Pakistan"/>
    <x v="2"/>
    <n v="2"/>
    <n v="8778"/>
    <n v="17556"/>
    <x v="0"/>
    <x v="7"/>
    <x v="0"/>
  </r>
  <r>
    <s v="PK-100497"/>
    <x v="270"/>
    <s v="Edwin Griffin"/>
    <s v="hernandezjuan@hotmail.com"/>
    <n v="923107984745"/>
    <x v="8"/>
    <s v="Pakistan"/>
    <x v="2"/>
    <n v="3"/>
    <n v="4855"/>
    <n v="14565"/>
    <x v="5"/>
    <x v="6"/>
    <x v="3"/>
  </r>
  <r>
    <s v="PK-100498"/>
    <x v="86"/>
    <s v="Danny Lee"/>
    <s v="mcguireangela@vega.com"/>
    <n v="923310859751"/>
    <x v="6"/>
    <s v="Pakistan"/>
    <x v="3"/>
    <n v="5"/>
    <n v="6021"/>
    <n v="30105"/>
    <x v="4"/>
    <x v="5"/>
    <x v="3"/>
  </r>
  <r>
    <s v="PK-100499"/>
    <x v="269"/>
    <s v="Andrew Powers"/>
    <s v="dhanson@yahoo.com"/>
    <n v="923259440108"/>
    <x v="0"/>
    <s v="Pakistan"/>
    <x v="4"/>
    <n v="5"/>
    <n v="2557"/>
    <n v="12785"/>
    <x v="2"/>
    <x v="3"/>
    <x v="1"/>
  </r>
  <r>
    <s v="PK-100500"/>
    <x v="206"/>
    <s v="Valerie James"/>
    <s v="petersselena@yahoo.com"/>
    <n v="923465022722"/>
    <x v="0"/>
    <s v="Pakistan"/>
    <x v="1"/>
    <n v="3"/>
    <n v="4926"/>
    <n v="14778"/>
    <x v="0"/>
    <x v="0"/>
    <x v="3"/>
  </r>
  <r>
    <s v="PK-100501"/>
    <x v="184"/>
    <s v="Monica Moore"/>
    <s v="suttonstephen@yahoo.com"/>
    <n v="923081389075"/>
    <x v="0"/>
    <s v="Pakistan"/>
    <x v="0"/>
    <n v="5"/>
    <n v="10868"/>
    <n v="54340"/>
    <x v="1"/>
    <x v="4"/>
    <x v="0"/>
  </r>
  <r>
    <s v="PK-100502"/>
    <x v="271"/>
    <s v="Crystal Duke"/>
    <s v="jonesanthony@gmail.com"/>
    <n v="923228435289"/>
    <x v="3"/>
    <s v="Pakistan"/>
    <x v="3"/>
    <n v="5"/>
    <n v="4913"/>
    <n v="24565"/>
    <x v="5"/>
    <x v="6"/>
    <x v="3"/>
  </r>
  <r>
    <s v="PK-100503"/>
    <x v="82"/>
    <s v="Christopher Reyes"/>
    <s v="qfitzpatrick@ramos.com"/>
    <n v="923357105629"/>
    <x v="4"/>
    <s v="Pakistan"/>
    <x v="0"/>
    <n v="2"/>
    <n v="9335"/>
    <n v="18670"/>
    <x v="4"/>
    <x v="3"/>
    <x v="0"/>
  </r>
  <r>
    <s v="PK-100504"/>
    <x v="134"/>
    <s v="Robert Brown"/>
    <s v="jacobmonroe@reese.biz"/>
    <n v="923213053339"/>
    <x v="6"/>
    <s v="Pakistan"/>
    <x v="3"/>
    <n v="2"/>
    <n v="6248"/>
    <n v="12496"/>
    <x v="3"/>
    <x v="0"/>
    <x v="0"/>
  </r>
  <r>
    <s v="PK-100505"/>
    <x v="69"/>
    <s v="Marissa Hunter"/>
    <s v="connieallen@chapman-holland.com"/>
    <n v="923409929465"/>
    <x v="0"/>
    <s v="Pakistan"/>
    <x v="3"/>
    <n v="3"/>
    <n v="14998"/>
    <n v="44994"/>
    <x v="0"/>
    <x v="4"/>
    <x v="0"/>
  </r>
  <r>
    <s v="PK-100506"/>
    <x v="252"/>
    <s v="John Williams"/>
    <s v="zparrish@gmail.com"/>
    <n v="923442744415"/>
    <x v="6"/>
    <s v="Pakistan"/>
    <x v="3"/>
    <n v="3"/>
    <n v="1068"/>
    <n v="3204"/>
    <x v="1"/>
    <x v="6"/>
    <x v="3"/>
  </r>
  <r>
    <s v="PK-100507"/>
    <x v="204"/>
    <s v="Brian Jones"/>
    <s v="bbutler@hotmail.com"/>
    <n v="923006814428"/>
    <x v="4"/>
    <s v="Pakistan"/>
    <x v="2"/>
    <n v="5"/>
    <n v="11255"/>
    <n v="56275"/>
    <x v="1"/>
    <x v="5"/>
    <x v="1"/>
  </r>
  <r>
    <s v="PK-100508"/>
    <x v="204"/>
    <s v="Kim King"/>
    <s v="matthewdaniels@fox.net"/>
    <n v="923488979978"/>
    <x v="7"/>
    <s v="Pakistan"/>
    <x v="5"/>
    <n v="2"/>
    <n v="6992"/>
    <n v="13984"/>
    <x v="2"/>
    <x v="3"/>
    <x v="1"/>
  </r>
  <r>
    <s v="PK-100509"/>
    <x v="36"/>
    <s v="Karen Benton"/>
    <s v="brandonjones@lopez-smith.com"/>
    <n v="923443770674"/>
    <x v="9"/>
    <s v="Pakistan"/>
    <x v="4"/>
    <n v="2"/>
    <n v="9574"/>
    <n v="19148"/>
    <x v="2"/>
    <x v="3"/>
    <x v="2"/>
  </r>
  <r>
    <s v="PK-100510"/>
    <x v="235"/>
    <s v="Clayton Williams"/>
    <s v="paula12@mcintosh-weiss.com"/>
    <n v="923134501893"/>
    <x v="6"/>
    <s v="Pakistan"/>
    <x v="0"/>
    <n v="5"/>
    <n v="6165"/>
    <n v="30825"/>
    <x v="3"/>
    <x v="5"/>
    <x v="1"/>
  </r>
  <r>
    <s v="PK-100511"/>
    <x v="272"/>
    <s v="Christian Schmidt"/>
    <s v="pamelaalvarez@yahoo.com"/>
    <n v="923449966057"/>
    <x v="2"/>
    <s v="Pakistan"/>
    <x v="5"/>
    <n v="3"/>
    <n v="8986"/>
    <n v="26958"/>
    <x v="5"/>
    <x v="0"/>
    <x v="3"/>
  </r>
  <r>
    <s v="PK-100512"/>
    <x v="273"/>
    <s v="Emily Smith"/>
    <s v="kpowers@frey.com"/>
    <n v="923179598167"/>
    <x v="7"/>
    <s v="Pakistan"/>
    <x v="3"/>
    <n v="2"/>
    <n v="12424"/>
    <n v="24848"/>
    <x v="4"/>
    <x v="7"/>
    <x v="1"/>
  </r>
  <r>
    <s v="PK-100513"/>
    <x v="101"/>
    <s v="Shawn Strickland"/>
    <s v="craigbean@hotmail.com"/>
    <n v="923485968005"/>
    <x v="9"/>
    <s v="Pakistan"/>
    <x v="5"/>
    <n v="4"/>
    <n v="1145"/>
    <n v="4580"/>
    <x v="1"/>
    <x v="4"/>
    <x v="2"/>
  </r>
  <r>
    <s v="PK-100514"/>
    <x v="274"/>
    <s v="Janet Keller"/>
    <s v="shannonroberto@hotmail.com"/>
    <n v="923488051856"/>
    <x v="4"/>
    <s v="Pakistan"/>
    <x v="5"/>
    <n v="1"/>
    <n v="7103"/>
    <n v="7103"/>
    <x v="3"/>
    <x v="2"/>
    <x v="3"/>
  </r>
  <r>
    <s v="PK-100515"/>
    <x v="39"/>
    <s v="Susan Kirby"/>
    <s v="cmitchell@yahoo.com"/>
    <n v="923142552173"/>
    <x v="6"/>
    <s v="Pakistan"/>
    <x v="5"/>
    <n v="2"/>
    <n v="3419"/>
    <n v="6838"/>
    <x v="5"/>
    <x v="3"/>
    <x v="3"/>
  </r>
  <r>
    <s v="PK-100516"/>
    <x v="130"/>
    <s v="Amanda Reese"/>
    <s v="sramirez@yahoo.com"/>
    <n v="923348613297"/>
    <x v="9"/>
    <s v="Pakistan"/>
    <x v="1"/>
    <n v="5"/>
    <n v="10088"/>
    <n v="50440"/>
    <x v="4"/>
    <x v="1"/>
    <x v="0"/>
  </r>
  <r>
    <s v="PK-100517"/>
    <x v="36"/>
    <s v="Matthew Howell"/>
    <s v="droman@mann.com"/>
    <n v="923172464603"/>
    <x v="8"/>
    <s v="Pakistan"/>
    <x v="0"/>
    <n v="5"/>
    <n v="7876"/>
    <n v="39380"/>
    <x v="3"/>
    <x v="2"/>
    <x v="3"/>
  </r>
  <r>
    <s v="PK-100518"/>
    <x v="275"/>
    <s v="Shawn Holloway"/>
    <s v="cynthiamartinez@gmail.com"/>
    <n v="923452871876"/>
    <x v="2"/>
    <s v="Pakistan"/>
    <x v="0"/>
    <n v="2"/>
    <n v="3252"/>
    <n v="6504"/>
    <x v="3"/>
    <x v="0"/>
    <x v="0"/>
  </r>
  <r>
    <s v="PK-100519"/>
    <x v="276"/>
    <s v="Sandra Smith"/>
    <s v="cherylfrank@ross.com"/>
    <n v="923309662384"/>
    <x v="7"/>
    <s v="Pakistan"/>
    <x v="4"/>
    <n v="3"/>
    <n v="11531"/>
    <n v="34593"/>
    <x v="5"/>
    <x v="7"/>
    <x v="3"/>
  </r>
  <r>
    <s v="PK-100520"/>
    <x v="195"/>
    <s v="Ryan Wilson"/>
    <s v="steven69@rivera.com"/>
    <n v="923208040226"/>
    <x v="6"/>
    <s v="Pakistan"/>
    <x v="5"/>
    <n v="1"/>
    <n v="2556"/>
    <n v="2556"/>
    <x v="4"/>
    <x v="4"/>
    <x v="1"/>
  </r>
  <r>
    <s v="PK-100521"/>
    <x v="277"/>
    <s v="Christy Mcfarland"/>
    <s v="devon82@gmail.com"/>
    <n v="923396534334"/>
    <x v="3"/>
    <s v="Pakistan"/>
    <x v="4"/>
    <n v="1"/>
    <n v="12601"/>
    <n v="12601"/>
    <x v="5"/>
    <x v="1"/>
    <x v="0"/>
  </r>
  <r>
    <s v="PK-100522"/>
    <x v="194"/>
    <s v="Donald Gutierrez"/>
    <s v="daviswilliam@gmail.com"/>
    <n v="923372940163"/>
    <x v="3"/>
    <s v="Pakistan"/>
    <x v="4"/>
    <n v="2"/>
    <n v="14658"/>
    <n v="29316"/>
    <x v="1"/>
    <x v="2"/>
    <x v="2"/>
  </r>
  <r>
    <s v="PK-100523"/>
    <x v="156"/>
    <s v="David Harris"/>
    <s v="vperry@smith.com"/>
    <n v="923486352737"/>
    <x v="0"/>
    <s v="Pakistan"/>
    <x v="4"/>
    <n v="5"/>
    <n v="6656"/>
    <n v="33280"/>
    <x v="3"/>
    <x v="4"/>
    <x v="1"/>
  </r>
  <r>
    <s v="PK-100524"/>
    <x v="278"/>
    <s v="Michael Conley"/>
    <s v="hhill@gmail.com"/>
    <n v="923125520792"/>
    <x v="4"/>
    <s v="Pakistan"/>
    <x v="5"/>
    <n v="1"/>
    <n v="10989"/>
    <n v="10989"/>
    <x v="5"/>
    <x v="2"/>
    <x v="1"/>
  </r>
  <r>
    <s v="PK-100525"/>
    <x v="261"/>
    <s v="Christian Johnson"/>
    <s v="crawfordbrian@hotmail.com"/>
    <n v="923116005436"/>
    <x v="5"/>
    <s v="Pakistan"/>
    <x v="0"/>
    <n v="4"/>
    <n v="3394"/>
    <n v="13576"/>
    <x v="0"/>
    <x v="5"/>
    <x v="1"/>
  </r>
  <r>
    <s v="PK-100526"/>
    <x v="183"/>
    <s v="Ruth Marshall"/>
    <s v="christian91@hotmail.com"/>
    <n v="923400049143"/>
    <x v="3"/>
    <s v="Pakistan"/>
    <x v="4"/>
    <n v="2"/>
    <n v="12075"/>
    <n v="24150"/>
    <x v="4"/>
    <x v="2"/>
    <x v="0"/>
  </r>
  <r>
    <s v="PK-100527"/>
    <x v="45"/>
    <s v="Briana Sanchez"/>
    <s v="peterwarren@gmail.com"/>
    <n v="923260905009"/>
    <x v="4"/>
    <s v="Pakistan"/>
    <x v="0"/>
    <n v="3"/>
    <n v="9838"/>
    <n v="29514"/>
    <x v="5"/>
    <x v="3"/>
    <x v="1"/>
  </r>
  <r>
    <s v="PK-100528"/>
    <x v="35"/>
    <s v="Linda Davis"/>
    <s v="henrywillie@stone.com"/>
    <n v="923254825602"/>
    <x v="5"/>
    <s v="Pakistan"/>
    <x v="1"/>
    <n v="2"/>
    <n v="1176"/>
    <n v="2352"/>
    <x v="5"/>
    <x v="3"/>
    <x v="2"/>
  </r>
  <r>
    <s v="PK-100529"/>
    <x v="279"/>
    <s v="Jessica Butler"/>
    <s v="david41@wallace-morris.com"/>
    <n v="923390696313"/>
    <x v="3"/>
    <s v="Pakistan"/>
    <x v="0"/>
    <n v="4"/>
    <n v="9439"/>
    <n v="37756"/>
    <x v="4"/>
    <x v="3"/>
    <x v="0"/>
  </r>
  <r>
    <s v="PK-100530"/>
    <x v="206"/>
    <s v="Rachel Donovan"/>
    <s v="wcarson@fowler.info"/>
    <n v="923186202831"/>
    <x v="7"/>
    <s v="Pakistan"/>
    <x v="1"/>
    <n v="5"/>
    <n v="10965"/>
    <n v="54825"/>
    <x v="1"/>
    <x v="2"/>
    <x v="0"/>
  </r>
  <r>
    <s v="PK-100531"/>
    <x v="235"/>
    <s v="Michael Mccarthy"/>
    <s v="davidreed@mack.com"/>
    <n v="923232014335"/>
    <x v="6"/>
    <s v="Pakistan"/>
    <x v="3"/>
    <n v="1"/>
    <n v="11654"/>
    <n v="11654"/>
    <x v="5"/>
    <x v="3"/>
    <x v="0"/>
  </r>
  <r>
    <s v="PK-100532"/>
    <x v="247"/>
    <s v="Richard Burns"/>
    <s v="john44@gmail.com"/>
    <n v="923223817712"/>
    <x v="0"/>
    <s v="Pakistan"/>
    <x v="2"/>
    <n v="5"/>
    <n v="7937"/>
    <n v="39685"/>
    <x v="4"/>
    <x v="2"/>
    <x v="3"/>
  </r>
  <r>
    <s v="PK-100533"/>
    <x v="172"/>
    <s v="Anthony Fletcher"/>
    <s v="jonesrebecca@williams.com"/>
    <n v="923410539937"/>
    <x v="1"/>
    <s v="Pakistan"/>
    <x v="4"/>
    <n v="5"/>
    <n v="4508"/>
    <n v="22540"/>
    <x v="1"/>
    <x v="0"/>
    <x v="3"/>
  </r>
  <r>
    <s v="PK-100534"/>
    <x v="36"/>
    <s v="Kristen Knight"/>
    <s v="ychurch@mann-franklin.com"/>
    <n v="923041531560"/>
    <x v="7"/>
    <s v="Pakistan"/>
    <x v="2"/>
    <n v="2"/>
    <n v="7044"/>
    <n v="14088"/>
    <x v="4"/>
    <x v="4"/>
    <x v="0"/>
  </r>
  <r>
    <s v="PK-100535"/>
    <x v="44"/>
    <s v="Preston Cruz"/>
    <s v="burnscurtis@hotmail.com"/>
    <n v="923059928768"/>
    <x v="4"/>
    <s v="Pakistan"/>
    <x v="1"/>
    <n v="1"/>
    <n v="3148"/>
    <n v="3148"/>
    <x v="2"/>
    <x v="6"/>
    <x v="3"/>
  </r>
  <r>
    <s v="PK-100536"/>
    <x v="180"/>
    <s v="Jasmin Sims"/>
    <s v="rlarson@gmail.com"/>
    <n v="923204039997"/>
    <x v="9"/>
    <s v="Pakistan"/>
    <x v="4"/>
    <n v="1"/>
    <n v="4846"/>
    <n v="4846"/>
    <x v="4"/>
    <x v="7"/>
    <x v="1"/>
  </r>
  <r>
    <s v="PK-100537"/>
    <x v="280"/>
    <s v="Cory Curtis"/>
    <s v="hendersonlatoya@hotmail.com"/>
    <n v="923487341156"/>
    <x v="3"/>
    <s v="Pakistan"/>
    <x v="0"/>
    <n v="2"/>
    <n v="6572"/>
    <n v="13144"/>
    <x v="4"/>
    <x v="2"/>
    <x v="2"/>
  </r>
  <r>
    <s v="PK-100538"/>
    <x v="15"/>
    <s v="John Wallace"/>
    <s v="christy21@cunningham.org"/>
    <n v="923442008891"/>
    <x v="1"/>
    <s v="Pakistan"/>
    <x v="5"/>
    <n v="3"/>
    <n v="5435"/>
    <n v="16305"/>
    <x v="1"/>
    <x v="1"/>
    <x v="0"/>
  </r>
  <r>
    <s v="PK-100539"/>
    <x v="281"/>
    <s v="Steven Kelley"/>
    <s v="kimhernandez@hotmail.com"/>
    <n v="923417131561"/>
    <x v="5"/>
    <s v="Pakistan"/>
    <x v="0"/>
    <n v="2"/>
    <n v="10736"/>
    <n v="21472"/>
    <x v="1"/>
    <x v="7"/>
    <x v="3"/>
  </r>
  <r>
    <s v="PK-100540"/>
    <x v="282"/>
    <s v="Joe Park"/>
    <s v="phillipmyers@jenkins.com"/>
    <n v="923411870930"/>
    <x v="5"/>
    <s v="Pakistan"/>
    <x v="0"/>
    <n v="2"/>
    <n v="1206"/>
    <n v="2412"/>
    <x v="1"/>
    <x v="5"/>
    <x v="0"/>
  </r>
  <r>
    <s v="PK-100541"/>
    <x v="147"/>
    <s v="Jessica Estrada"/>
    <s v="rebecca76@yahoo.com"/>
    <n v="923458880466"/>
    <x v="4"/>
    <s v="Pakistan"/>
    <x v="3"/>
    <n v="5"/>
    <n v="7140"/>
    <n v="35700"/>
    <x v="5"/>
    <x v="4"/>
    <x v="1"/>
  </r>
  <r>
    <s v="PK-100542"/>
    <x v="238"/>
    <s v="Julie Barajas"/>
    <s v="garykim@yahoo.com"/>
    <n v="923067894659"/>
    <x v="7"/>
    <s v="Pakistan"/>
    <x v="2"/>
    <n v="5"/>
    <n v="11522"/>
    <n v="57610"/>
    <x v="1"/>
    <x v="7"/>
    <x v="1"/>
  </r>
  <r>
    <s v="PK-100543"/>
    <x v="141"/>
    <s v="Mitchell Gray"/>
    <s v="kingtaylor@simmons-guerrero.com"/>
    <n v="923357715361"/>
    <x v="0"/>
    <s v="Pakistan"/>
    <x v="4"/>
    <n v="5"/>
    <n v="10760"/>
    <n v="53800"/>
    <x v="5"/>
    <x v="5"/>
    <x v="0"/>
  </r>
  <r>
    <s v="PK-100544"/>
    <x v="94"/>
    <s v="Cody Houston"/>
    <s v="kristahaas@stevenson.info"/>
    <n v="923361458711"/>
    <x v="1"/>
    <s v="Pakistan"/>
    <x v="0"/>
    <n v="2"/>
    <n v="10449"/>
    <n v="20898"/>
    <x v="4"/>
    <x v="1"/>
    <x v="3"/>
  </r>
  <r>
    <s v="PK-100545"/>
    <x v="81"/>
    <s v="Deborah Strickland"/>
    <s v="gonzalezkerri@hotmail.com"/>
    <n v="923261725916"/>
    <x v="8"/>
    <s v="Pakistan"/>
    <x v="4"/>
    <n v="3"/>
    <n v="5851"/>
    <n v="17553"/>
    <x v="3"/>
    <x v="3"/>
    <x v="1"/>
  </r>
  <r>
    <s v="PK-100546"/>
    <x v="81"/>
    <s v="Tiffany Vance"/>
    <s v="scotttimothy@hill.com"/>
    <n v="923082962937"/>
    <x v="5"/>
    <s v="Pakistan"/>
    <x v="5"/>
    <n v="2"/>
    <n v="5381"/>
    <n v="10762"/>
    <x v="5"/>
    <x v="7"/>
    <x v="0"/>
  </r>
  <r>
    <s v="PK-100547"/>
    <x v="130"/>
    <s v="Kristin Weiss"/>
    <s v="lbentley@marshall.net"/>
    <n v="923055569655"/>
    <x v="8"/>
    <s v="Pakistan"/>
    <x v="3"/>
    <n v="1"/>
    <n v="4080"/>
    <n v="4080"/>
    <x v="2"/>
    <x v="3"/>
    <x v="0"/>
  </r>
  <r>
    <s v="PK-100548"/>
    <x v="41"/>
    <s v="James Larson"/>
    <s v="burnsmichelle@jackson-harper.info"/>
    <n v="923393450500"/>
    <x v="1"/>
    <s v="Pakistan"/>
    <x v="2"/>
    <n v="3"/>
    <n v="11433"/>
    <n v="34299"/>
    <x v="1"/>
    <x v="7"/>
    <x v="1"/>
  </r>
  <r>
    <s v="PK-100549"/>
    <x v="283"/>
    <s v="Kristen Chang"/>
    <s v="stonewalter@robinson.com"/>
    <n v="923230705513"/>
    <x v="9"/>
    <s v="Pakistan"/>
    <x v="1"/>
    <n v="2"/>
    <n v="8089"/>
    <n v="16178"/>
    <x v="2"/>
    <x v="2"/>
    <x v="1"/>
  </r>
  <r>
    <s v="PK-100550"/>
    <x v="28"/>
    <s v="Colleen Medina"/>
    <s v="leslieparrish@greene.com"/>
    <n v="923498988548"/>
    <x v="8"/>
    <s v="Pakistan"/>
    <x v="2"/>
    <n v="4"/>
    <n v="3257"/>
    <n v="13028"/>
    <x v="5"/>
    <x v="1"/>
    <x v="3"/>
  </r>
  <r>
    <s v="PK-100551"/>
    <x v="207"/>
    <s v="Natasha Carlson"/>
    <s v="anthonybarrett@glenn-murillo.biz"/>
    <n v="923343745123"/>
    <x v="5"/>
    <s v="Pakistan"/>
    <x v="3"/>
    <n v="4"/>
    <n v="4854"/>
    <n v="19416"/>
    <x v="3"/>
    <x v="2"/>
    <x v="1"/>
  </r>
  <r>
    <s v="PK-100552"/>
    <x v="179"/>
    <s v="Matthew Shaw"/>
    <s v="hkennedy@harrington.biz"/>
    <n v="923369394208"/>
    <x v="6"/>
    <s v="Pakistan"/>
    <x v="3"/>
    <n v="2"/>
    <n v="1290"/>
    <n v="2580"/>
    <x v="4"/>
    <x v="1"/>
    <x v="1"/>
  </r>
  <r>
    <s v="PK-100553"/>
    <x v="186"/>
    <s v="Robert Lowe"/>
    <s v="fdaniel@chen.com"/>
    <n v="923367929393"/>
    <x v="4"/>
    <s v="Pakistan"/>
    <x v="4"/>
    <n v="5"/>
    <n v="10884"/>
    <n v="54420"/>
    <x v="5"/>
    <x v="4"/>
    <x v="0"/>
  </r>
  <r>
    <s v="PK-100554"/>
    <x v="168"/>
    <s v="Charles Guerrero"/>
    <s v="adamjones@wilcox-johnson.net"/>
    <n v="923041058088"/>
    <x v="8"/>
    <s v="Pakistan"/>
    <x v="2"/>
    <n v="4"/>
    <n v="10082"/>
    <n v="40328"/>
    <x v="5"/>
    <x v="4"/>
    <x v="1"/>
  </r>
  <r>
    <s v="PK-100555"/>
    <x v="16"/>
    <s v="Daniel Rogers"/>
    <s v="valerie07@erickson-rodriguez.com"/>
    <n v="923137728668"/>
    <x v="1"/>
    <s v="Pakistan"/>
    <x v="1"/>
    <n v="1"/>
    <n v="9427"/>
    <n v="9427"/>
    <x v="1"/>
    <x v="4"/>
    <x v="2"/>
  </r>
  <r>
    <s v="PK-100556"/>
    <x v="53"/>
    <s v="Robert Brown"/>
    <s v="breannaspencer@brooks-hurley.com"/>
    <n v="923020593149"/>
    <x v="4"/>
    <s v="Pakistan"/>
    <x v="2"/>
    <n v="3"/>
    <n v="1111"/>
    <n v="3333"/>
    <x v="3"/>
    <x v="5"/>
    <x v="2"/>
  </r>
  <r>
    <s v="PK-100557"/>
    <x v="33"/>
    <s v="Kristina Hawkins"/>
    <s v="hallcorey@rivera.org"/>
    <n v="923178432483"/>
    <x v="2"/>
    <s v="Pakistan"/>
    <x v="4"/>
    <n v="5"/>
    <n v="5115"/>
    <n v="25575"/>
    <x v="0"/>
    <x v="2"/>
    <x v="3"/>
  </r>
  <r>
    <s v="PK-100558"/>
    <x v="256"/>
    <s v="Christopher Cook"/>
    <s v="irodriguez@hotmail.com"/>
    <n v="923445742241"/>
    <x v="0"/>
    <s v="Pakistan"/>
    <x v="2"/>
    <n v="5"/>
    <n v="1559"/>
    <n v="7795"/>
    <x v="4"/>
    <x v="2"/>
    <x v="1"/>
  </r>
  <r>
    <s v="PK-100559"/>
    <x v="110"/>
    <s v="Barbara Thompson"/>
    <s v="glenn28@thompson.info"/>
    <n v="923094490905"/>
    <x v="7"/>
    <s v="Pakistan"/>
    <x v="4"/>
    <n v="2"/>
    <n v="2111"/>
    <n v="4222"/>
    <x v="0"/>
    <x v="3"/>
    <x v="0"/>
  </r>
  <r>
    <s v="PK-100560"/>
    <x v="134"/>
    <s v="Jessica Watts"/>
    <s v="oking@pittman-ramirez.com"/>
    <n v="923020873913"/>
    <x v="5"/>
    <s v="Pakistan"/>
    <x v="5"/>
    <n v="2"/>
    <n v="8006"/>
    <n v="16012"/>
    <x v="2"/>
    <x v="5"/>
    <x v="1"/>
  </r>
  <r>
    <s v="PK-100561"/>
    <x v="47"/>
    <s v="Pamela Ponce"/>
    <s v="ksparks@yahoo.com"/>
    <n v="923160874888"/>
    <x v="4"/>
    <s v="Pakistan"/>
    <x v="5"/>
    <n v="5"/>
    <n v="12889"/>
    <n v="64445"/>
    <x v="2"/>
    <x v="6"/>
    <x v="1"/>
  </r>
  <r>
    <s v="PK-100562"/>
    <x v="82"/>
    <s v="Gregory Hart"/>
    <s v="sandra19@gmail.com"/>
    <n v="923483403875"/>
    <x v="0"/>
    <s v="Pakistan"/>
    <x v="0"/>
    <n v="3"/>
    <n v="3983"/>
    <n v="11949"/>
    <x v="0"/>
    <x v="1"/>
    <x v="1"/>
  </r>
  <r>
    <s v="PK-100563"/>
    <x v="199"/>
    <s v="John Hernandez"/>
    <s v="igilbert@hotmail.com"/>
    <n v="923004119843"/>
    <x v="1"/>
    <s v="Pakistan"/>
    <x v="4"/>
    <n v="1"/>
    <n v="3284"/>
    <n v="3284"/>
    <x v="5"/>
    <x v="5"/>
    <x v="1"/>
  </r>
  <r>
    <s v="PK-100564"/>
    <x v="200"/>
    <s v="Julie Dorsey"/>
    <s v="vasquezlinda@davis-preston.com"/>
    <n v="923240245594"/>
    <x v="7"/>
    <s v="Pakistan"/>
    <x v="1"/>
    <n v="3"/>
    <n v="6239"/>
    <n v="18717"/>
    <x v="3"/>
    <x v="1"/>
    <x v="2"/>
  </r>
  <r>
    <s v="PK-100565"/>
    <x v="273"/>
    <s v="Holly Richardson"/>
    <s v="bernardmichele@jones-cisneros.info"/>
    <n v="923023894089"/>
    <x v="9"/>
    <s v="Pakistan"/>
    <x v="5"/>
    <n v="4"/>
    <n v="11936"/>
    <n v="47744"/>
    <x v="4"/>
    <x v="0"/>
    <x v="0"/>
  </r>
  <r>
    <s v="PK-100566"/>
    <x v="284"/>
    <s v="Terri Wolf"/>
    <s v="willistyler@mayer.net"/>
    <n v="923491674399"/>
    <x v="3"/>
    <s v="Pakistan"/>
    <x v="1"/>
    <n v="2"/>
    <n v="7281"/>
    <n v="14562"/>
    <x v="5"/>
    <x v="3"/>
    <x v="1"/>
  </r>
  <r>
    <s v="PK-100567"/>
    <x v="265"/>
    <s v="Carly Mata"/>
    <s v="beanjohn@yahoo.com"/>
    <n v="923210408596"/>
    <x v="3"/>
    <s v="Pakistan"/>
    <x v="1"/>
    <n v="4"/>
    <n v="5051"/>
    <n v="20204"/>
    <x v="5"/>
    <x v="7"/>
    <x v="3"/>
  </r>
  <r>
    <s v="PK-100568"/>
    <x v="72"/>
    <s v="Steven Savage"/>
    <s v="pameladuran@reyes.com"/>
    <n v="923448330763"/>
    <x v="9"/>
    <s v="Pakistan"/>
    <x v="3"/>
    <n v="4"/>
    <n v="5712"/>
    <n v="22848"/>
    <x v="0"/>
    <x v="2"/>
    <x v="2"/>
  </r>
  <r>
    <s v="PK-100569"/>
    <x v="62"/>
    <s v="Rachel Sims"/>
    <s v="garciadawn@long.com"/>
    <n v="923404919763"/>
    <x v="9"/>
    <s v="Pakistan"/>
    <x v="4"/>
    <n v="2"/>
    <n v="2478"/>
    <n v="4956"/>
    <x v="3"/>
    <x v="6"/>
    <x v="0"/>
  </r>
  <r>
    <s v="PK-100570"/>
    <x v="285"/>
    <s v="David Underwood"/>
    <s v="moraleskimberly@cook.com"/>
    <n v="923402354398"/>
    <x v="9"/>
    <s v="Pakistan"/>
    <x v="5"/>
    <n v="4"/>
    <n v="9227"/>
    <n v="36908"/>
    <x v="5"/>
    <x v="1"/>
    <x v="0"/>
  </r>
  <r>
    <s v="PK-100571"/>
    <x v="197"/>
    <s v="Caitlyn Green"/>
    <s v="gabriellahardy@cummings.com"/>
    <n v="923155755787"/>
    <x v="5"/>
    <s v="Pakistan"/>
    <x v="0"/>
    <n v="5"/>
    <n v="1663"/>
    <n v="8315"/>
    <x v="1"/>
    <x v="6"/>
    <x v="2"/>
  </r>
  <r>
    <s v="PK-100572"/>
    <x v="150"/>
    <s v="Joseph Warren"/>
    <s v="tbaker@yahoo.com"/>
    <n v="923100625125"/>
    <x v="0"/>
    <s v="Pakistan"/>
    <x v="1"/>
    <n v="1"/>
    <n v="3820"/>
    <n v="3820"/>
    <x v="4"/>
    <x v="6"/>
    <x v="0"/>
  </r>
  <r>
    <s v="PK-100573"/>
    <x v="192"/>
    <s v="Deanna Obrien"/>
    <s v="nataliepatterson@garcia-porter.com"/>
    <n v="923413233954"/>
    <x v="7"/>
    <s v="Pakistan"/>
    <x v="5"/>
    <n v="5"/>
    <n v="7312"/>
    <n v="36560"/>
    <x v="2"/>
    <x v="4"/>
    <x v="3"/>
  </r>
  <r>
    <s v="PK-100574"/>
    <x v="43"/>
    <s v="Annette Rose"/>
    <s v="durhamharold@gonzalez.com"/>
    <n v="923141322620"/>
    <x v="8"/>
    <s v="Pakistan"/>
    <x v="3"/>
    <n v="1"/>
    <n v="6679"/>
    <n v="6679"/>
    <x v="5"/>
    <x v="3"/>
    <x v="1"/>
  </r>
  <r>
    <s v="PK-100575"/>
    <x v="17"/>
    <s v="Jason Bell"/>
    <s v="lauren23@hotmail.com"/>
    <n v="923409930147"/>
    <x v="5"/>
    <s v="Pakistan"/>
    <x v="2"/>
    <n v="3"/>
    <n v="10083"/>
    <n v="30249"/>
    <x v="2"/>
    <x v="5"/>
    <x v="2"/>
  </r>
  <r>
    <s v="PK-100576"/>
    <x v="286"/>
    <s v="Craig Mooney"/>
    <s v="ggray@yahoo.com"/>
    <n v="923105718830"/>
    <x v="4"/>
    <s v="Pakistan"/>
    <x v="5"/>
    <n v="1"/>
    <n v="14354"/>
    <n v="14354"/>
    <x v="1"/>
    <x v="3"/>
    <x v="1"/>
  </r>
  <r>
    <s v="PK-100577"/>
    <x v="205"/>
    <s v="Steven Smith"/>
    <s v="allisonroberts@yahoo.com"/>
    <n v="923168265836"/>
    <x v="7"/>
    <s v="Pakistan"/>
    <x v="1"/>
    <n v="1"/>
    <n v="3224"/>
    <n v="3224"/>
    <x v="3"/>
    <x v="6"/>
    <x v="2"/>
  </r>
  <r>
    <s v="PK-100578"/>
    <x v="11"/>
    <s v="Michael Garcia"/>
    <s v="smithtonya@holder-hutchinson.com"/>
    <n v="923007035142"/>
    <x v="1"/>
    <s v="Pakistan"/>
    <x v="4"/>
    <n v="2"/>
    <n v="14371"/>
    <n v="28742"/>
    <x v="0"/>
    <x v="6"/>
    <x v="1"/>
  </r>
  <r>
    <s v="PK-100579"/>
    <x v="106"/>
    <s v="Robert Kelly"/>
    <s v="yellis@yahoo.com"/>
    <n v="923049071228"/>
    <x v="3"/>
    <s v="Pakistan"/>
    <x v="0"/>
    <n v="5"/>
    <n v="8020"/>
    <n v="40100"/>
    <x v="4"/>
    <x v="4"/>
    <x v="3"/>
  </r>
  <r>
    <s v="PK-100580"/>
    <x v="287"/>
    <s v="Michelle Richard"/>
    <s v="larsonlisa@johnson.com"/>
    <n v="923011214871"/>
    <x v="0"/>
    <s v="Pakistan"/>
    <x v="0"/>
    <n v="3"/>
    <n v="8229"/>
    <n v="24687"/>
    <x v="2"/>
    <x v="6"/>
    <x v="2"/>
  </r>
  <r>
    <s v="PK-100581"/>
    <x v="170"/>
    <s v="Timothy Bowman"/>
    <s v="billy96@gonzalez.com"/>
    <n v="923243129771"/>
    <x v="8"/>
    <s v="Pakistan"/>
    <x v="4"/>
    <n v="2"/>
    <n v="14341"/>
    <n v="28682"/>
    <x v="0"/>
    <x v="2"/>
    <x v="3"/>
  </r>
  <r>
    <s v="PK-100582"/>
    <x v="288"/>
    <s v="Jonathan Olson"/>
    <s v="cindymartinez@hotmail.com"/>
    <n v="923325641790"/>
    <x v="8"/>
    <s v="Pakistan"/>
    <x v="1"/>
    <n v="1"/>
    <n v="3386"/>
    <n v="3386"/>
    <x v="2"/>
    <x v="4"/>
    <x v="2"/>
  </r>
  <r>
    <s v="PK-100583"/>
    <x v="133"/>
    <s v="Laura Ryan"/>
    <s v="aaronkeller@hotmail.com"/>
    <n v="923330165671"/>
    <x v="9"/>
    <s v="Pakistan"/>
    <x v="1"/>
    <n v="4"/>
    <n v="13520"/>
    <n v="54080"/>
    <x v="4"/>
    <x v="0"/>
    <x v="1"/>
  </r>
  <r>
    <s v="PK-100584"/>
    <x v="37"/>
    <s v="Darren Barrett"/>
    <s v="shannon71@frazier-dixon.net"/>
    <n v="923429403685"/>
    <x v="3"/>
    <s v="Pakistan"/>
    <x v="5"/>
    <n v="2"/>
    <n v="13361"/>
    <n v="26722"/>
    <x v="2"/>
    <x v="5"/>
    <x v="3"/>
  </r>
  <r>
    <s v="PK-100585"/>
    <x v="207"/>
    <s v="Johnny Delgado"/>
    <s v="mark83@yahoo.com"/>
    <n v="923423121062"/>
    <x v="4"/>
    <s v="Pakistan"/>
    <x v="0"/>
    <n v="1"/>
    <n v="2075"/>
    <n v="2075"/>
    <x v="1"/>
    <x v="4"/>
    <x v="2"/>
  </r>
  <r>
    <s v="PK-100586"/>
    <x v="206"/>
    <s v="Mark Lyons"/>
    <s v="elloyd@yahoo.com"/>
    <n v="923248973389"/>
    <x v="8"/>
    <s v="Pakistan"/>
    <x v="1"/>
    <n v="5"/>
    <n v="6191"/>
    <n v="30955"/>
    <x v="4"/>
    <x v="4"/>
    <x v="3"/>
  </r>
  <r>
    <s v="PK-100587"/>
    <x v="289"/>
    <s v="Eddie Williams"/>
    <s v="xcoleman@ramirez-gibson.com"/>
    <n v="923197617313"/>
    <x v="8"/>
    <s v="Pakistan"/>
    <x v="5"/>
    <n v="3"/>
    <n v="1402"/>
    <n v="4206"/>
    <x v="3"/>
    <x v="2"/>
    <x v="0"/>
  </r>
  <r>
    <s v="PK-100588"/>
    <x v="229"/>
    <s v="Tracey Gomez"/>
    <s v="ahowell@estes-hancock.com"/>
    <n v="923401455661"/>
    <x v="2"/>
    <s v="Pakistan"/>
    <x v="3"/>
    <n v="1"/>
    <n v="11853"/>
    <n v="11853"/>
    <x v="5"/>
    <x v="1"/>
    <x v="1"/>
  </r>
  <r>
    <s v="PK-100589"/>
    <x v="290"/>
    <s v="Angela Smith"/>
    <s v="jessicaortega@hayden.info"/>
    <n v="923248679726"/>
    <x v="3"/>
    <s v="Pakistan"/>
    <x v="2"/>
    <n v="3"/>
    <n v="9847"/>
    <n v="29541"/>
    <x v="3"/>
    <x v="2"/>
    <x v="1"/>
  </r>
  <r>
    <s v="PK-100590"/>
    <x v="291"/>
    <s v="Dylan Fleming"/>
    <s v="craighernandez@robinson.com"/>
    <n v="923144677244"/>
    <x v="0"/>
    <s v="Pakistan"/>
    <x v="3"/>
    <n v="2"/>
    <n v="4509"/>
    <n v="9018"/>
    <x v="5"/>
    <x v="4"/>
    <x v="2"/>
  </r>
  <r>
    <s v="PK-100591"/>
    <x v="255"/>
    <s v="Jeffrey Butler"/>
    <s v="tammybennett@scott.com"/>
    <n v="923172504849"/>
    <x v="1"/>
    <s v="Pakistan"/>
    <x v="2"/>
    <n v="5"/>
    <n v="4123"/>
    <n v="20615"/>
    <x v="2"/>
    <x v="6"/>
    <x v="0"/>
  </r>
  <r>
    <s v="PK-100592"/>
    <x v="27"/>
    <s v="Kristi Sullivan"/>
    <s v="lewisbrittney@hotmail.com"/>
    <n v="923256026558"/>
    <x v="5"/>
    <s v="Pakistan"/>
    <x v="4"/>
    <n v="1"/>
    <n v="7013"/>
    <n v="7013"/>
    <x v="0"/>
    <x v="2"/>
    <x v="2"/>
  </r>
  <r>
    <s v="PK-100593"/>
    <x v="292"/>
    <s v="Stephen Smith"/>
    <s v="cwilliams@yahoo.com"/>
    <n v="923451174719"/>
    <x v="6"/>
    <s v="Pakistan"/>
    <x v="3"/>
    <n v="2"/>
    <n v="13129"/>
    <n v="26258"/>
    <x v="4"/>
    <x v="5"/>
    <x v="3"/>
  </r>
  <r>
    <s v="PK-100594"/>
    <x v="67"/>
    <s v="Trevor Walters"/>
    <s v="duncanmichael@yahoo.com"/>
    <n v="923426288944"/>
    <x v="6"/>
    <s v="Pakistan"/>
    <x v="0"/>
    <n v="3"/>
    <n v="7176"/>
    <n v="21528"/>
    <x v="5"/>
    <x v="2"/>
    <x v="1"/>
  </r>
  <r>
    <s v="PK-100595"/>
    <x v="75"/>
    <s v="Jeremy Graves"/>
    <s v="lawsonkathleen@hotmail.com"/>
    <n v="923248590780"/>
    <x v="5"/>
    <s v="Pakistan"/>
    <x v="3"/>
    <n v="2"/>
    <n v="4883"/>
    <n v="9766"/>
    <x v="4"/>
    <x v="2"/>
    <x v="3"/>
  </r>
  <r>
    <s v="PK-100596"/>
    <x v="24"/>
    <s v="Judy Mcdaniel"/>
    <s v="gateslaurie@hotmail.com"/>
    <n v="923358286147"/>
    <x v="5"/>
    <s v="Pakistan"/>
    <x v="2"/>
    <n v="4"/>
    <n v="5142"/>
    <n v="20568"/>
    <x v="0"/>
    <x v="5"/>
    <x v="2"/>
  </r>
  <r>
    <s v="PK-100597"/>
    <x v="25"/>
    <s v="Mark Mcknight"/>
    <s v="mhanson@yahoo.com"/>
    <n v="923424614281"/>
    <x v="5"/>
    <s v="Pakistan"/>
    <x v="4"/>
    <n v="1"/>
    <n v="6542"/>
    <n v="6542"/>
    <x v="4"/>
    <x v="3"/>
    <x v="2"/>
  </r>
  <r>
    <s v="PK-100598"/>
    <x v="218"/>
    <s v="Dana Mejia"/>
    <s v="kathy83@gmail.com"/>
    <n v="923068284881"/>
    <x v="9"/>
    <s v="Pakistan"/>
    <x v="1"/>
    <n v="1"/>
    <n v="14173"/>
    <n v="14173"/>
    <x v="2"/>
    <x v="5"/>
    <x v="2"/>
  </r>
  <r>
    <s v="PK-100599"/>
    <x v="116"/>
    <s v="Devon Moreno"/>
    <s v="collieramanda@hotmail.com"/>
    <n v="923278545878"/>
    <x v="2"/>
    <s v="Pakistan"/>
    <x v="3"/>
    <n v="4"/>
    <n v="13950"/>
    <n v="55800"/>
    <x v="3"/>
    <x v="6"/>
    <x v="1"/>
  </r>
  <r>
    <s v="PK-100600"/>
    <x v="173"/>
    <s v="Zachary James"/>
    <s v="david83@smith.com"/>
    <n v="923128798817"/>
    <x v="5"/>
    <s v="Pakistan"/>
    <x v="3"/>
    <n v="5"/>
    <n v="7171"/>
    <n v="35855"/>
    <x v="3"/>
    <x v="4"/>
    <x v="0"/>
  </r>
  <r>
    <s v="PK-100601"/>
    <x v="136"/>
    <s v="David White"/>
    <s v="jesseevans@camacho.info"/>
    <n v="923397377324"/>
    <x v="4"/>
    <s v="Pakistan"/>
    <x v="0"/>
    <n v="2"/>
    <n v="10357"/>
    <n v="20714"/>
    <x v="4"/>
    <x v="3"/>
    <x v="2"/>
  </r>
  <r>
    <s v="PK-100602"/>
    <x v="177"/>
    <s v="Yvette Cox"/>
    <s v="pachecoshaun@hawkins-marshall.biz"/>
    <n v="923386122244"/>
    <x v="5"/>
    <s v="Pakistan"/>
    <x v="0"/>
    <n v="1"/>
    <n v="5429"/>
    <n v="5429"/>
    <x v="4"/>
    <x v="2"/>
    <x v="2"/>
  </r>
  <r>
    <s v="PK-100603"/>
    <x v="200"/>
    <s v="Dana Barron"/>
    <s v="jasontorres@hotmail.com"/>
    <n v="923036657818"/>
    <x v="9"/>
    <s v="Pakistan"/>
    <x v="3"/>
    <n v="3"/>
    <n v="8155"/>
    <n v="24465"/>
    <x v="1"/>
    <x v="0"/>
    <x v="1"/>
  </r>
  <r>
    <s v="PK-100604"/>
    <x v="12"/>
    <s v="Daniel Zamora"/>
    <s v="ariel81@case.com"/>
    <n v="923367732474"/>
    <x v="7"/>
    <s v="Pakistan"/>
    <x v="0"/>
    <n v="1"/>
    <n v="12595"/>
    <n v="12595"/>
    <x v="4"/>
    <x v="2"/>
    <x v="1"/>
  </r>
  <r>
    <s v="PK-100605"/>
    <x v="117"/>
    <s v="Shirley Diaz"/>
    <s v="mathisangela@lawson-chambers.com"/>
    <n v="923189541006"/>
    <x v="3"/>
    <s v="Pakistan"/>
    <x v="1"/>
    <n v="1"/>
    <n v="9355"/>
    <n v="9355"/>
    <x v="0"/>
    <x v="5"/>
    <x v="0"/>
  </r>
  <r>
    <s v="PK-100606"/>
    <x v="293"/>
    <s v="Joel Alvarez MD"/>
    <s v="ywillis@hotmail.com"/>
    <n v="923493349070"/>
    <x v="9"/>
    <s v="Pakistan"/>
    <x v="4"/>
    <n v="1"/>
    <n v="2336"/>
    <n v="2336"/>
    <x v="5"/>
    <x v="0"/>
    <x v="0"/>
  </r>
  <r>
    <s v="PK-100607"/>
    <x v="294"/>
    <s v="Lauren Willis"/>
    <s v="debradickerson@rocha.com"/>
    <n v="923378638654"/>
    <x v="2"/>
    <s v="Pakistan"/>
    <x v="0"/>
    <n v="4"/>
    <n v="1339"/>
    <n v="5356"/>
    <x v="0"/>
    <x v="1"/>
    <x v="0"/>
  </r>
  <r>
    <s v="PK-100608"/>
    <x v="259"/>
    <s v="William Bennett"/>
    <s v="rortega@hotmail.com"/>
    <n v="923147559242"/>
    <x v="4"/>
    <s v="Pakistan"/>
    <x v="4"/>
    <n v="5"/>
    <n v="4958"/>
    <n v="24790"/>
    <x v="1"/>
    <x v="1"/>
    <x v="1"/>
  </r>
  <r>
    <s v="PK-100609"/>
    <x v="288"/>
    <s v="Michael Bowman Jr."/>
    <s v="kdavis@yahoo.com"/>
    <n v="923134224486"/>
    <x v="2"/>
    <s v="Pakistan"/>
    <x v="2"/>
    <n v="2"/>
    <n v="4526"/>
    <n v="9052"/>
    <x v="0"/>
    <x v="2"/>
    <x v="1"/>
  </r>
  <r>
    <s v="PK-100610"/>
    <x v="69"/>
    <s v="Richard Clark"/>
    <s v="forbesanna@yahoo.com"/>
    <n v="923223822550"/>
    <x v="8"/>
    <s v="Pakistan"/>
    <x v="2"/>
    <n v="3"/>
    <n v="5201"/>
    <n v="15603"/>
    <x v="3"/>
    <x v="5"/>
    <x v="3"/>
  </r>
  <r>
    <s v="PK-100611"/>
    <x v="176"/>
    <s v="Michael Holmes"/>
    <s v="charles44@phillips.com"/>
    <n v="923464063066"/>
    <x v="8"/>
    <s v="Pakistan"/>
    <x v="5"/>
    <n v="2"/>
    <n v="2848"/>
    <n v="5696"/>
    <x v="4"/>
    <x v="6"/>
    <x v="3"/>
  </r>
  <r>
    <s v="PK-100612"/>
    <x v="283"/>
    <s v="Christina Esparza"/>
    <s v="campbellrobert@johnson.com"/>
    <n v="923282757260"/>
    <x v="5"/>
    <s v="Pakistan"/>
    <x v="5"/>
    <n v="5"/>
    <n v="10816"/>
    <n v="54080"/>
    <x v="4"/>
    <x v="4"/>
    <x v="3"/>
  </r>
  <r>
    <s v="PK-100613"/>
    <x v="180"/>
    <s v="Angela Obrien"/>
    <s v="wadeangela@hotmail.com"/>
    <n v="923400257529"/>
    <x v="8"/>
    <s v="Pakistan"/>
    <x v="4"/>
    <n v="1"/>
    <n v="10599"/>
    <n v="10599"/>
    <x v="4"/>
    <x v="2"/>
    <x v="0"/>
  </r>
  <r>
    <s v="PK-100614"/>
    <x v="115"/>
    <s v="Zachary Durham"/>
    <s v="jaimebarry@meyers-campos.com"/>
    <n v="923314248153"/>
    <x v="9"/>
    <s v="Pakistan"/>
    <x v="2"/>
    <n v="3"/>
    <n v="5795"/>
    <n v="17385"/>
    <x v="4"/>
    <x v="2"/>
    <x v="0"/>
  </r>
  <r>
    <s v="PK-100615"/>
    <x v="95"/>
    <s v="Victoria Jones"/>
    <s v="wilsonchristopher@morris.com"/>
    <n v="923274762516"/>
    <x v="8"/>
    <s v="Pakistan"/>
    <x v="2"/>
    <n v="5"/>
    <n v="10092"/>
    <n v="50460"/>
    <x v="2"/>
    <x v="0"/>
    <x v="1"/>
  </r>
  <r>
    <s v="PK-100616"/>
    <x v="295"/>
    <s v="Melissa Davis"/>
    <s v="bellscott@gmail.com"/>
    <n v="923398249853"/>
    <x v="8"/>
    <s v="Pakistan"/>
    <x v="3"/>
    <n v="4"/>
    <n v="12774"/>
    <n v="51096"/>
    <x v="4"/>
    <x v="4"/>
    <x v="3"/>
  </r>
  <r>
    <s v="PK-100617"/>
    <x v="206"/>
    <s v="Jeffery Hensley"/>
    <s v="rodriguezjames@gmail.com"/>
    <n v="923278402871"/>
    <x v="8"/>
    <s v="Pakistan"/>
    <x v="3"/>
    <n v="5"/>
    <n v="4271"/>
    <n v="21355"/>
    <x v="2"/>
    <x v="2"/>
    <x v="1"/>
  </r>
  <r>
    <s v="PK-100618"/>
    <x v="57"/>
    <s v="Daniel Frank"/>
    <s v="pollardcarlos@gmail.com"/>
    <n v="923050365645"/>
    <x v="7"/>
    <s v="Pakistan"/>
    <x v="2"/>
    <n v="5"/>
    <n v="14881"/>
    <n v="74405"/>
    <x v="0"/>
    <x v="6"/>
    <x v="2"/>
  </r>
  <r>
    <s v="PK-100619"/>
    <x v="10"/>
    <s v="Jennifer Perez MD"/>
    <s v="dixonjulie@hotmail.com"/>
    <n v="923364160831"/>
    <x v="0"/>
    <s v="Pakistan"/>
    <x v="2"/>
    <n v="1"/>
    <n v="6354"/>
    <n v="6354"/>
    <x v="3"/>
    <x v="6"/>
    <x v="2"/>
  </r>
  <r>
    <s v="PK-100620"/>
    <x v="133"/>
    <s v="Marissa Campbell"/>
    <s v="knightsteven@fischer.com"/>
    <n v="923191563600"/>
    <x v="9"/>
    <s v="Pakistan"/>
    <x v="2"/>
    <n v="4"/>
    <n v="7441"/>
    <n v="29764"/>
    <x v="3"/>
    <x v="5"/>
    <x v="2"/>
  </r>
  <r>
    <s v="PK-100621"/>
    <x v="171"/>
    <s v="Erin Pham"/>
    <s v="kelsey61@gmail.com"/>
    <n v="923255963110"/>
    <x v="5"/>
    <s v="Pakistan"/>
    <x v="1"/>
    <n v="5"/>
    <n v="13829"/>
    <n v="69145"/>
    <x v="1"/>
    <x v="0"/>
    <x v="2"/>
  </r>
  <r>
    <s v="PK-100622"/>
    <x v="164"/>
    <s v="Christie Wyatt"/>
    <s v="oduncan@wood.com"/>
    <n v="923096265746"/>
    <x v="1"/>
    <s v="Pakistan"/>
    <x v="4"/>
    <n v="1"/>
    <n v="7384"/>
    <n v="7384"/>
    <x v="0"/>
    <x v="6"/>
    <x v="3"/>
  </r>
  <r>
    <s v="PK-100623"/>
    <x v="143"/>
    <s v="Monique Robinson"/>
    <s v="rosekimberly@nguyen.com"/>
    <n v="923041948487"/>
    <x v="3"/>
    <s v="Pakistan"/>
    <x v="2"/>
    <n v="2"/>
    <n v="6580"/>
    <n v="13160"/>
    <x v="2"/>
    <x v="7"/>
    <x v="2"/>
  </r>
  <r>
    <s v="PK-100624"/>
    <x v="52"/>
    <s v="Lisa Green"/>
    <s v="nicholas06@hotmail.com"/>
    <n v="923012779518"/>
    <x v="1"/>
    <s v="Pakistan"/>
    <x v="2"/>
    <n v="4"/>
    <n v="2880"/>
    <n v="11520"/>
    <x v="2"/>
    <x v="3"/>
    <x v="3"/>
  </r>
  <r>
    <s v="PK-100625"/>
    <x v="296"/>
    <s v="Anthony Duarte"/>
    <s v="jwu@griffin-jordan.com"/>
    <n v="923018042589"/>
    <x v="2"/>
    <s v="Pakistan"/>
    <x v="5"/>
    <n v="3"/>
    <n v="2108"/>
    <n v="6324"/>
    <x v="3"/>
    <x v="6"/>
    <x v="2"/>
  </r>
  <r>
    <s v="PK-100626"/>
    <x v="297"/>
    <s v="Kimberly Smith"/>
    <s v="khall@carter.org"/>
    <n v="923265238988"/>
    <x v="1"/>
    <s v="Pakistan"/>
    <x v="1"/>
    <n v="1"/>
    <n v="13709"/>
    <n v="13709"/>
    <x v="5"/>
    <x v="0"/>
    <x v="0"/>
  </r>
  <r>
    <s v="PK-100627"/>
    <x v="60"/>
    <s v="Jeffrey Brown"/>
    <s v="whunt@hotmail.com"/>
    <n v="923260025561"/>
    <x v="8"/>
    <s v="Pakistan"/>
    <x v="4"/>
    <n v="2"/>
    <n v="14913"/>
    <n v="29826"/>
    <x v="1"/>
    <x v="3"/>
    <x v="3"/>
  </r>
  <r>
    <s v="PK-100628"/>
    <x v="125"/>
    <s v="Charles Stone"/>
    <s v="martinezjeffery@fisher.com"/>
    <n v="923400126163"/>
    <x v="3"/>
    <s v="Pakistan"/>
    <x v="4"/>
    <n v="1"/>
    <n v="10663"/>
    <n v="10663"/>
    <x v="1"/>
    <x v="5"/>
    <x v="1"/>
  </r>
  <r>
    <s v="PK-100629"/>
    <x v="157"/>
    <s v="Amanda Reyes"/>
    <s v="william59@gmail.com"/>
    <n v="923314634329"/>
    <x v="0"/>
    <s v="Pakistan"/>
    <x v="2"/>
    <n v="3"/>
    <n v="4651"/>
    <n v="13953"/>
    <x v="3"/>
    <x v="1"/>
    <x v="1"/>
  </r>
  <r>
    <s v="PK-100630"/>
    <x v="33"/>
    <s v="Shelly Mann"/>
    <s v="qgomez@gmail.com"/>
    <n v="923248786734"/>
    <x v="0"/>
    <s v="Pakistan"/>
    <x v="4"/>
    <n v="3"/>
    <n v="1693"/>
    <n v="5079"/>
    <x v="5"/>
    <x v="3"/>
    <x v="3"/>
  </r>
  <r>
    <s v="PK-100631"/>
    <x v="78"/>
    <s v="Lori Miller"/>
    <s v="cole79@hotmail.com"/>
    <n v="923448924544"/>
    <x v="1"/>
    <s v="Pakistan"/>
    <x v="5"/>
    <n v="5"/>
    <n v="3327"/>
    <n v="16635"/>
    <x v="5"/>
    <x v="2"/>
    <x v="2"/>
  </r>
  <r>
    <s v="PK-100632"/>
    <x v="298"/>
    <s v="Ashley Castillo"/>
    <s v="zbutler@brooks.com"/>
    <n v="923190934978"/>
    <x v="8"/>
    <s v="Pakistan"/>
    <x v="5"/>
    <n v="5"/>
    <n v="2221"/>
    <n v="11105"/>
    <x v="1"/>
    <x v="5"/>
    <x v="0"/>
  </r>
  <r>
    <s v="PK-100633"/>
    <x v="299"/>
    <s v="Michael Coleman"/>
    <s v="williamcarroll@glenn-thompson.com"/>
    <n v="923424453102"/>
    <x v="7"/>
    <s v="Pakistan"/>
    <x v="4"/>
    <n v="1"/>
    <n v="11451"/>
    <n v="11451"/>
    <x v="2"/>
    <x v="7"/>
    <x v="0"/>
  </r>
  <r>
    <s v="PK-100634"/>
    <x v="210"/>
    <s v="Kelly Smith"/>
    <s v="gstephens@morrison.com"/>
    <n v="923075238436"/>
    <x v="8"/>
    <s v="Pakistan"/>
    <x v="1"/>
    <n v="1"/>
    <n v="1413"/>
    <n v="1413"/>
    <x v="2"/>
    <x v="7"/>
    <x v="0"/>
  </r>
  <r>
    <s v="PK-100635"/>
    <x v="73"/>
    <s v="Laura Cruz"/>
    <s v="laurie96@simpson.com"/>
    <n v="923018519087"/>
    <x v="6"/>
    <s v="Pakistan"/>
    <x v="0"/>
    <n v="5"/>
    <n v="14088"/>
    <n v="70440"/>
    <x v="4"/>
    <x v="6"/>
    <x v="0"/>
  </r>
  <r>
    <s v="PK-100636"/>
    <x v="134"/>
    <s v="Suzanne Doyle"/>
    <s v="pleonard@yahoo.com"/>
    <n v="923361507968"/>
    <x v="1"/>
    <s v="Pakistan"/>
    <x v="0"/>
    <n v="3"/>
    <n v="4722"/>
    <n v="14166"/>
    <x v="1"/>
    <x v="2"/>
    <x v="0"/>
  </r>
  <r>
    <s v="PK-100637"/>
    <x v="195"/>
    <s v="Rebecca Berry"/>
    <s v="etaylor@yahoo.com"/>
    <n v="923252490992"/>
    <x v="1"/>
    <s v="Pakistan"/>
    <x v="4"/>
    <n v="3"/>
    <n v="4767"/>
    <n v="14301"/>
    <x v="3"/>
    <x v="6"/>
    <x v="3"/>
  </r>
  <r>
    <s v="PK-100638"/>
    <x v="13"/>
    <s v="Natalie Mcknight"/>
    <s v="emily69@gmail.com"/>
    <n v="923479212838"/>
    <x v="3"/>
    <s v="Pakistan"/>
    <x v="1"/>
    <n v="2"/>
    <n v="4646"/>
    <n v="9292"/>
    <x v="3"/>
    <x v="4"/>
    <x v="3"/>
  </r>
  <r>
    <s v="PK-100639"/>
    <x v="62"/>
    <s v="Veronica Jones"/>
    <s v="pyates@campbell-orozco.info"/>
    <n v="923416241713"/>
    <x v="7"/>
    <s v="Pakistan"/>
    <x v="3"/>
    <n v="5"/>
    <n v="2317"/>
    <n v="11585"/>
    <x v="0"/>
    <x v="4"/>
    <x v="1"/>
  </r>
  <r>
    <s v="PK-100640"/>
    <x v="220"/>
    <s v="Danielle Smith"/>
    <s v="christopher47@gmail.com"/>
    <n v="923301087794"/>
    <x v="9"/>
    <s v="Pakistan"/>
    <x v="4"/>
    <n v="1"/>
    <n v="12672"/>
    <n v="12672"/>
    <x v="2"/>
    <x v="4"/>
    <x v="2"/>
  </r>
  <r>
    <s v="PK-100641"/>
    <x v="300"/>
    <s v="Danielle Santiago"/>
    <s v="anna86@peters.com"/>
    <n v="923180294489"/>
    <x v="5"/>
    <s v="Pakistan"/>
    <x v="2"/>
    <n v="1"/>
    <n v="6955"/>
    <n v="6955"/>
    <x v="0"/>
    <x v="1"/>
    <x v="3"/>
  </r>
  <r>
    <s v="PK-100642"/>
    <x v="195"/>
    <s v="Ashley Small"/>
    <s v="ujohnson@hotmail.com"/>
    <n v="923415118016"/>
    <x v="3"/>
    <s v="Pakistan"/>
    <x v="2"/>
    <n v="1"/>
    <n v="1872"/>
    <n v="1872"/>
    <x v="2"/>
    <x v="5"/>
    <x v="2"/>
  </r>
  <r>
    <s v="PK-100643"/>
    <x v="276"/>
    <s v="Michael Nelson"/>
    <s v="taraali@hall-ortiz.com"/>
    <n v="923251611372"/>
    <x v="3"/>
    <s v="Pakistan"/>
    <x v="1"/>
    <n v="3"/>
    <n v="9318"/>
    <n v="27954"/>
    <x v="0"/>
    <x v="3"/>
    <x v="0"/>
  </r>
  <r>
    <s v="PK-100644"/>
    <x v="301"/>
    <s v="Lawrence Brown"/>
    <s v="scottwilkinson@castillo.biz"/>
    <n v="923276106998"/>
    <x v="4"/>
    <s v="Pakistan"/>
    <x v="2"/>
    <n v="3"/>
    <n v="10480"/>
    <n v="31440"/>
    <x v="0"/>
    <x v="5"/>
    <x v="1"/>
  </r>
  <r>
    <s v="PK-100645"/>
    <x v="271"/>
    <s v="Tammy Fisher"/>
    <s v="tfoster@yahoo.com"/>
    <n v="923036359521"/>
    <x v="0"/>
    <s v="Pakistan"/>
    <x v="1"/>
    <n v="2"/>
    <n v="14515"/>
    <n v="29030"/>
    <x v="3"/>
    <x v="2"/>
    <x v="2"/>
  </r>
  <r>
    <s v="PK-100646"/>
    <x v="302"/>
    <s v="Joseph Waters"/>
    <s v="stacybyrd@robinson-lawson.com"/>
    <n v="923264851492"/>
    <x v="4"/>
    <s v="Pakistan"/>
    <x v="3"/>
    <n v="4"/>
    <n v="4971"/>
    <n v="19884"/>
    <x v="3"/>
    <x v="1"/>
    <x v="2"/>
  </r>
  <r>
    <s v="PK-100647"/>
    <x v="153"/>
    <s v="Samuel Walker"/>
    <s v="austin10@howard.biz"/>
    <n v="923307068220"/>
    <x v="8"/>
    <s v="Pakistan"/>
    <x v="0"/>
    <n v="1"/>
    <n v="7576"/>
    <n v="7576"/>
    <x v="5"/>
    <x v="3"/>
    <x v="3"/>
  </r>
  <r>
    <s v="PK-100648"/>
    <x v="195"/>
    <s v="Rebekah Garza"/>
    <s v="browngene@gmail.com"/>
    <n v="923334439049"/>
    <x v="4"/>
    <s v="Pakistan"/>
    <x v="5"/>
    <n v="4"/>
    <n v="9584"/>
    <n v="38336"/>
    <x v="3"/>
    <x v="4"/>
    <x v="0"/>
  </r>
  <r>
    <s v="PK-100649"/>
    <x v="29"/>
    <s v="Karen Wagner"/>
    <s v="ericowens@hotmail.com"/>
    <n v="923155427364"/>
    <x v="1"/>
    <s v="Pakistan"/>
    <x v="0"/>
    <n v="2"/>
    <n v="2838"/>
    <n v="5676"/>
    <x v="3"/>
    <x v="3"/>
    <x v="1"/>
  </r>
  <r>
    <s v="PK-100650"/>
    <x v="3"/>
    <s v="Tara Williams"/>
    <s v="lpayne@gmail.com"/>
    <n v="923156099817"/>
    <x v="0"/>
    <s v="Pakistan"/>
    <x v="0"/>
    <n v="1"/>
    <n v="11508"/>
    <n v="11508"/>
    <x v="0"/>
    <x v="6"/>
    <x v="2"/>
  </r>
  <r>
    <s v="PK-100651"/>
    <x v="297"/>
    <s v="Benjamin Roberts"/>
    <s v="alicia21@smith-sherman.com"/>
    <n v="923286981388"/>
    <x v="9"/>
    <s v="Pakistan"/>
    <x v="4"/>
    <n v="4"/>
    <n v="11177"/>
    <n v="44708"/>
    <x v="1"/>
    <x v="7"/>
    <x v="0"/>
  </r>
  <r>
    <s v="PK-100652"/>
    <x v="23"/>
    <s v="Seth Hansen"/>
    <s v="bairdjulie@yahoo.com"/>
    <n v="923031243715"/>
    <x v="4"/>
    <s v="Pakistan"/>
    <x v="4"/>
    <n v="5"/>
    <n v="10502"/>
    <n v="52510"/>
    <x v="2"/>
    <x v="4"/>
    <x v="2"/>
  </r>
  <r>
    <s v="PK-100653"/>
    <x v="33"/>
    <s v="Sarah Davis"/>
    <s v="stephaniehampton@yahoo.com"/>
    <n v="923478324384"/>
    <x v="1"/>
    <s v="Pakistan"/>
    <x v="4"/>
    <n v="1"/>
    <n v="3698"/>
    <n v="3698"/>
    <x v="3"/>
    <x v="2"/>
    <x v="1"/>
  </r>
  <r>
    <s v="PK-100654"/>
    <x v="233"/>
    <s v="Lisa Kennedy"/>
    <s v="frank10@gmail.com"/>
    <n v="923176499789"/>
    <x v="3"/>
    <s v="Pakistan"/>
    <x v="5"/>
    <n v="2"/>
    <n v="1783"/>
    <n v="3566"/>
    <x v="5"/>
    <x v="2"/>
    <x v="3"/>
  </r>
  <r>
    <s v="PK-100655"/>
    <x v="134"/>
    <s v="Jesse Jones"/>
    <s v="dianeberger@yahoo.com"/>
    <n v="923202369792"/>
    <x v="0"/>
    <s v="Pakistan"/>
    <x v="3"/>
    <n v="4"/>
    <n v="12316"/>
    <n v="49264"/>
    <x v="5"/>
    <x v="6"/>
    <x v="3"/>
  </r>
  <r>
    <s v="PK-100656"/>
    <x v="211"/>
    <s v="Valerie Costa"/>
    <s v="zmaldonado@yahoo.com"/>
    <n v="923494950258"/>
    <x v="4"/>
    <s v="Pakistan"/>
    <x v="4"/>
    <n v="2"/>
    <n v="8974"/>
    <n v="17948"/>
    <x v="3"/>
    <x v="3"/>
    <x v="1"/>
  </r>
  <r>
    <s v="PK-100657"/>
    <x v="244"/>
    <s v="Marcus Davenport"/>
    <s v="colton86@gmail.com"/>
    <n v="923363042306"/>
    <x v="3"/>
    <s v="Pakistan"/>
    <x v="0"/>
    <n v="1"/>
    <n v="6571"/>
    <n v="6571"/>
    <x v="2"/>
    <x v="7"/>
    <x v="1"/>
  </r>
  <r>
    <s v="PK-100658"/>
    <x v="303"/>
    <s v="Susan Nolan"/>
    <s v="oparsons@jackson-smith.com"/>
    <n v="923135774741"/>
    <x v="6"/>
    <s v="Pakistan"/>
    <x v="2"/>
    <n v="1"/>
    <n v="9250"/>
    <n v="9250"/>
    <x v="1"/>
    <x v="2"/>
    <x v="0"/>
  </r>
  <r>
    <s v="PK-100659"/>
    <x v="303"/>
    <s v="David Hall"/>
    <s v="katherinecarlson@hotmail.com"/>
    <n v="923324880128"/>
    <x v="8"/>
    <s v="Pakistan"/>
    <x v="0"/>
    <n v="2"/>
    <n v="9534"/>
    <n v="19068"/>
    <x v="4"/>
    <x v="3"/>
    <x v="3"/>
  </r>
  <r>
    <s v="PK-100660"/>
    <x v="31"/>
    <s v="Grant Bullock"/>
    <s v="jeremiahrogers@chavez.biz"/>
    <n v="923390496260"/>
    <x v="2"/>
    <s v="Pakistan"/>
    <x v="1"/>
    <n v="1"/>
    <n v="4574"/>
    <n v="4574"/>
    <x v="0"/>
    <x v="5"/>
    <x v="1"/>
  </r>
  <r>
    <s v="PK-100661"/>
    <x v="156"/>
    <s v="Tina Gallagher"/>
    <s v="smithgabriela@clayton.com"/>
    <n v="923458427168"/>
    <x v="9"/>
    <s v="Pakistan"/>
    <x v="5"/>
    <n v="2"/>
    <n v="11243"/>
    <n v="22486"/>
    <x v="2"/>
    <x v="0"/>
    <x v="3"/>
  </r>
  <r>
    <s v="PK-100662"/>
    <x v="39"/>
    <s v="Tina Rodriguez"/>
    <s v="delgadojohn@smith-kim.com"/>
    <n v="923426042233"/>
    <x v="8"/>
    <s v="Pakistan"/>
    <x v="3"/>
    <n v="5"/>
    <n v="13057"/>
    <n v="65285"/>
    <x v="2"/>
    <x v="3"/>
    <x v="0"/>
  </r>
  <r>
    <s v="PK-100663"/>
    <x v="263"/>
    <s v="Angel Turner"/>
    <s v="william32@yahoo.com"/>
    <n v="923396703854"/>
    <x v="9"/>
    <s v="Pakistan"/>
    <x v="3"/>
    <n v="1"/>
    <n v="10108"/>
    <n v="10108"/>
    <x v="0"/>
    <x v="5"/>
    <x v="3"/>
  </r>
  <r>
    <s v="PK-100664"/>
    <x v="63"/>
    <s v="Thomas Stewart"/>
    <s v="msmith@rivers-bowman.com"/>
    <n v="923144485513"/>
    <x v="1"/>
    <s v="Pakistan"/>
    <x v="2"/>
    <n v="5"/>
    <n v="11339"/>
    <n v="56695"/>
    <x v="1"/>
    <x v="4"/>
    <x v="3"/>
  </r>
  <r>
    <s v="PK-100665"/>
    <x v="256"/>
    <s v="Tanya Stevenson"/>
    <s v="billywarren@williams.com"/>
    <n v="923284579876"/>
    <x v="0"/>
    <s v="Pakistan"/>
    <x v="1"/>
    <n v="3"/>
    <n v="9424"/>
    <n v="28272"/>
    <x v="3"/>
    <x v="2"/>
    <x v="3"/>
  </r>
  <r>
    <s v="PK-100666"/>
    <x v="210"/>
    <s v="Terri Bowman"/>
    <s v="mduncan@smith-thornton.info"/>
    <n v="923491048264"/>
    <x v="2"/>
    <s v="Pakistan"/>
    <x v="0"/>
    <n v="2"/>
    <n v="7167"/>
    <n v="14334"/>
    <x v="5"/>
    <x v="5"/>
    <x v="3"/>
  </r>
  <r>
    <s v="PK-100667"/>
    <x v="144"/>
    <s v="Kerry Duran"/>
    <s v="rebekahhill@meyer.com"/>
    <n v="923203094899"/>
    <x v="3"/>
    <s v="Pakistan"/>
    <x v="1"/>
    <n v="1"/>
    <n v="11333"/>
    <n v="11333"/>
    <x v="0"/>
    <x v="5"/>
    <x v="0"/>
  </r>
  <r>
    <s v="PK-100668"/>
    <x v="254"/>
    <s v="Debra Ray"/>
    <s v="jordancarter@bates.com"/>
    <n v="923499528036"/>
    <x v="7"/>
    <s v="Pakistan"/>
    <x v="0"/>
    <n v="5"/>
    <n v="12163"/>
    <n v="60815"/>
    <x v="2"/>
    <x v="0"/>
    <x v="2"/>
  </r>
  <r>
    <s v="PK-100669"/>
    <x v="9"/>
    <s v="Angela Johnson"/>
    <s v="brookstony@clark-becker.com"/>
    <n v="923440584488"/>
    <x v="2"/>
    <s v="Pakistan"/>
    <x v="2"/>
    <n v="5"/>
    <n v="11615"/>
    <n v="58075"/>
    <x v="2"/>
    <x v="2"/>
    <x v="2"/>
  </r>
  <r>
    <s v="PK-100670"/>
    <x v="41"/>
    <s v="Kevin Spence"/>
    <s v="bdavis@white.com"/>
    <n v="923455712442"/>
    <x v="0"/>
    <s v="Pakistan"/>
    <x v="3"/>
    <n v="4"/>
    <n v="2373"/>
    <n v="9492"/>
    <x v="0"/>
    <x v="6"/>
    <x v="1"/>
  </r>
  <r>
    <s v="PK-100671"/>
    <x v="187"/>
    <s v="Casey Harris"/>
    <s v="andrea41@hotmail.com"/>
    <n v="923336283707"/>
    <x v="6"/>
    <s v="Pakistan"/>
    <x v="4"/>
    <n v="2"/>
    <n v="1781"/>
    <n v="3562"/>
    <x v="1"/>
    <x v="4"/>
    <x v="0"/>
  </r>
  <r>
    <s v="PK-100672"/>
    <x v="304"/>
    <s v="Joseph Cook"/>
    <s v="gregorygregory@yahoo.com"/>
    <n v="923155130964"/>
    <x v="7"/>
    <s v="Pakistan"/>
    <x v="1"/>
    <n v="4"/>
    <n v="5825"/>
    <n v="23300"/>
    <x v="1"/>
    <x v="4"/>
    <x v="0"/>
  </r>
  <r>
    <s v="PK-100673"/>
    <x v="119"/>
    <s v="Brianna Taylor"/>
    <s v="richardsonkyle@waters.org"/>
    <n v="923326688350"/>
    <x v="5"/>
    <s v="Pakistan"/>
    <x v="4"/>
    <n v="4"/>
    <n v="1857"/>
    <n v="7428"/>
    <x v="1"/>
    <x v="7"/>
    <x v="0"/>
  </r>
  <r>
    <s v="PK-100674"/>
    <x v="110"/>
    <s v="David Torres"/>
    <s v="dmendoza@gmail.com"/>
    <n v="923395837522"/>
    <x v="7"/>
    <s v="Pakistan"/>
    <x v="1"/>
    <n v="2"/>
    <n v="13844"/>
    <n v="27688"/>
    <x v="5"/>
    <x v="6"/>
    <x v="3"/>
  </r>
  <r>
    <s v="PK-100675"/>
    <x v="143"/>
    <s v="Karen Oneill"/>
    <s v="vberger@yahoo.com"/>
    <n v="923232798462"/>
    <x v="4"/>
    <s v="Pakistan"/>
    <x v="1"/>
    <n v="2"/>
    <n v="4646"/>
    <n v="9292"/>
    <x v="5"/>
    <x v="0"/>
    <x v="0"/>
  </r>
  <r>
    <s v="PK-100676"/>
    <x v="265"/>
    <s v="Jamie Spencer"/>
    <s v="lauracooper@gmail.com"/>
    <n v="923380188715"/>
    <x v="7"/>
    <s v="Pakistan"/>
    <x v="0"/>
    <n v="5"/>
    <n v="10971"/>
    <n v="54855"/>
    <x v="3"/>
    <x v="2"/>
    <x v="3"/>
  </r>
  <r>
    <s v="PK-100677"/>
    <x v="67"/>
    <s v="Maria Gross"/>
    <s v="sara56@hotmail.com"/>
    <n v="923399788087"/>
    <x v="5"/>
    <s v="Pakistan"/>
    <x v="2"/>
    <n v="5"/>
    <n v="10300"/>
    <n v="51500"/>
    <x v="2"/>
    <x v="7"/>
    <x v="2"/>
  </r>
  <r>
    <s v="PK-100678"/>
    <x v="58"/>
    <s v="Monica Harris"/>
    <s v="hannah24@moreno-johnson.com"/>
    <n v="923113164671"/>
    <x v="9"/>
    <s v="Pakistan"/>
    <x v="1"/>
    <n v="5"/>
    <n v="4591"/>
    <n v="22955"/>
    <x v="0"/>
    <x v="2"/>
    <x v="0"/>
  </r>
  <r>
    <s v="PK-100679"/>
    <x v="139"/>
    <s v="Christopher Freeman"/>
    <s v="cwells@bean-hogan.org"/>
    <n v="923123123094"/>
    <x v="5"/>
    <s v="Pakistan"/>
    <x v="3"/>
    <n v="2"/>
    <n v="9254"/>
    <n v="18508"/>
    <x v="0"/>
    <x v="6"/>
    <x v="2"/>
  </r>
  <r>
    <s v="PK-100680"/>
    <x v="157"/>
    <s v="Kristin Austin"/>
    <s v="jill03@gonzalez-rivera.com"/>
    <n v="923367698738"/>
    <x v="0"/>
    <s v="Pakistan"/>
    <x v="3"/>
    <n v="5"/>
    <n v="13720"/>
    <n v="68600"/>
    <x v="2"/>
    <x v="6"/>
    <x v="3"/>
  </r>
  <r>
    <s v="PK-100681"/>
    <x v="112"/>
    <s v="Joseph Lopez"/>
    <s v="mosskevin@benitez.com"/>
    <n v="923039288622"/>
    <x v="7"/>
    <s v="Pakistan"/>
    <x v="1"/>
    <n v="1"/>
    <n v="8826"/>
    <n v="8826"/>
    <x v="1"/>
    <x v="4"/>
    <x v="0"/>
  </r>
  <r>
    <s v="PK-100682"/>
    <x v="48"/>
    <s v="Thomas Johnson"/>
    <s v="davidbrown@gonzalez.org"/>
    <n v="923425774391"/>
    <x v="6"/>
    <s v="Pakistan"/>
    <x v="3"/>
    <n v="4"/>
    <n v="9852"/>
    <n v="39408"/>
    <x v="5"/>
    <x v="3"/>
    <x v="1"/>
  </r>
  <r>
    <s v="PK-100683"/>
    <x v="123"/>
    <s v="Danielle Ryan"/>
    <s v="beckywright@alvarez.net"/>
    <n v="923052870786"/>
    <x v="6"/>
    <s v="Pakistan"/>
    <x v="5"/>
    <n v="4"/>
    <n v="3774"/>
    <n v="15096"/>
    <x v="3"/>
    <x v="4"/>
    <x v="3"/>
  </r>
  <r>
    <s v="PK-100684"/>
    <x v="19"/>
    <s v="Dr. Alexis Alvarado"/>
    <s v="morganamy@sanchez-horn.com"/>
    <n v="923290443083"/>
    <x v="4"/>
    <s v="Pakistan"/>
    <x v="1"/>
    <n v="5"/>
    <n v="10689"/>
    <n v="53445"/>
    <x v="5"/>
    <x v="4"/>
    <x v="2"/>
  </r>
  <r>
    <s v="PK-100685"/>
    <x v="177"/>
    <s v="Jessica Zavala"/>
    <s v="gordonkimberly@skinner.info"/>
    <n v="923241498266"/>
    <x v="3"/>
    <s v="Pakistan"/>
    <x v="5"/>
    <n v="2"/>
    <n v="14359"/>
    <n v="28718"/>
    <x v="5"/>
    <x v="3"/>
    <x v="2"/>
  </r>
  <r>
    <s v="PK-100686"/>
    <x v="50"/>
    <s v="Dwayne Mora"/>
    <s v="richard58@gmail.com"/>
    <n v="923379900180"/>
    <x v="7"/>
    <s v="Pakistan"/>
    <x v="4"/>
    <n v="2"/>
    <n v="8729"/>
    <n v="17458"/>
    <x v="2"/>
    <x v="6"/>
    <x v="2"/>
  </r>
  <r>
    <s v="PK-100687"/>
    <x v="2"/>
    <s v="Christopher Stout"/>
    <s v="bennetterik@price.net"/>
    <n v="923175194998"/>
    <x v="0"/>
    <s v="Pakistan"/>
    <x v="2"/>
    <n v="5"/>
    <n v="6614"/>
    <n v="33070"/>
    <x v="3"/>
    <x v="7"/>
    <x v="0"/>
  </r>
  <r>
    <s v="PK-100688"/>
    <x v="150"/>
    <s v="Clifford Soto"/>
    <s v="jessicaevans@larson.com"/>
    <n v="923238032038"/>
    <x v="3"/>
    <s v="Pakistan"/>
    <x v="1"/>
    <n v="1"/>
    <n v="8563"/>
    <n v="8563"/>
    <x v="4"/>
    <x v="3"/>
    <x v="3"/>
  </r>
  <r>
    <s v="PK-100689"/>
    <x v="210"/>
    <s v="Mark Summers"/>
    <s v="karen77@yahoo.com"/>
    <n v="923304644604"/>
    <x v="1"/>
    <s v="Pakistan"/>
    <x v="0"/>
    <n v="2"/>
    <n v="3858"/>
    <n v="7716"/>
    <x v="4"/>
    <x v="1"/>
    <x v="1"/>
  </r>
  <r>
    <s v="PK-100690"/>
    <x v="305"/>
    <s v="Julie Hernandez"/>
    <s v="hunterjennifer@edwards.com"/>
    <n v="923034649630"/>
    <x v="6"/>
    <s v="Pakistan"/>
    <x v="1"/>
    <n v="3"/>
    <n v="2546"/>
    <n v="7638"/>
    <x v="5"/>
    <x v="2"/>
    <x v="3"/>
  </r>
  <r>
    <s v="PK-100691"/>
    <x v="219"/>
    <s v="Nicole Lopez"/>
    <s v="ogordon@yahoo.com"/>
    <n v="923244113877"/>
    <x v="2"/>
    <s v="Pakistan"/>
    <x v="5"/>
    <n v="4"/>
    <n v="2602"/>
    <n v="10408"/>
    <x v="1"/>
    <x v="1"/>
    <x v="2"/>
  </r>
  <r>
    <s v="PK-100692"/>
    <x v="227"/>
    <s v="Henry Peterson"/>
    <s v="rodrigueznicole@yahoo.com"/>
    <n v="923188896551"/>
    <x v="4"/>
    <s v="Pakistan"/>
    <x v="4"/>
    <n v="5"/>
    <n v="12472"/>
    <n v="62360"/>
    <x v="1"/>
    <x v="0"/>
    <x v="2"/>
  </r>
  <r>
    <s v="PK-100693"/>
    <x v="306"/>
    <s v="Jeff Rodriguez"/>
    <s v="valentinedaniel@white.info"/>
    <n v="923249255326"/>
    <x v="7"/>
    <s v="Pakistan"/>
    <x v="3"/>
    <n v="5"/>
    <n v="12418"/>
    <n v="62090"/>
    <x v="0"/>
    <x v="1"/>
    <x v="0"/>
  </r>
  <r>
    <s v="PK-100694"/>
    <x v="93"/>
    <s v="James Hernandez"/>
    <s v="wheeleranthony@walton.com"/>
    <n v="923186433570"/>
    <x v="7"/>
    <s v="Pakistan"/>
    <x v="2"/>
    <n v="5"/>
    <n v="1666"/>
    <n v="8330"/>
    <x v="3"/>
    <x v="4"/>
    <x v="3"/>
  </r>
  <r>
    <s v="PK-100695"/>
    <x v="181"/>
    <s v="Amanda Ballard"/>
    <s v="michellebryant@washington.com"/>
    <n v="923029485327"/>
    <x v="5"/>
    <s v="Pakistan"/>
    <x v="4"/>
    <n v="2"/>
    <n v="14072"/>
    <n v="28144"/>
    <x v="3"/>
    <x v="6"/>
    <x v="1"/>
  </r>
  <r>
    <s v="PK-100696"/>
    <x v="255"/>
    <s v="James Butler"/>
    <s v="briggsjessica@yahoo.com"/>
    <n v="923069105272"/>
    <x v="1"/>
    <s v="Pakistan"/>
    <x v="5"/>
    <n v="3"/>
    <n v="1049"/>
    <n v="3147"/>
    <x v="4"/>
    <x v="3"/>
    <x v="0"/>
  </r>
  <r>
    <s v="PK-100697"/>
    <x v="298"/>
    <s v="Shannon Brown"/>
    <s v="anthonythomas@lopez.com"/>
    <n v="923415300972"/>
    <x v="3"/>
    <s v="Pakistan"/>
    <x v="2"/>
    <n v="2"/>
    <n v="12658"/>
    <n v="25316"/>
    <x v="5"/>
    <x v="6"/>
    <x v="0"/>
  </r>
  <r>
    <s v="PK-100698"/>
    <x v="162"/>
    <s v="Michael Jacobs"/>
    <s v="collinsbrad@beasley.net"/>
    <n v="923016558082"/>
    <x v="8"/>
    <s v="Pakistan"/>
    <x v="1"/>
    <n v="4"/>
    <n v="5251"/>
    <n v="21004"/>
    <x v="1"/>
    <x v="6"/>
    <x v="1"/>
  </r>
  <r>
    <s v="PK-100699"/>
    <x v="180"/>
    <s v="Cynthia Hall"/>
    <s v="tiffany74@gmail.com"/>
    <n v="923361688362"/>
    <x v="4"/>
    <s v="Pakistan"/>
    <x v="3"/>
    <n v="1"/>
    <n v="14029"/>
    <n v="14029"/>
    <x v="1"/>
    <x v="7"/>
    <x v="0"/>
  </r>
  <r>
    <s v="PK-100700"/>
    <x v="224"/>
    <s v="Maria Graves"/>
    <s v="jwatson@hotmail.com"/>
    <n v="923368747385"/>
    <x v="6"/>
    <s v="Pakistan"/>
    <x v="0"/>
    <n v="1"/>
    <n v="11181"/>
    <n v="11181"/>
    <x v="2"/>
    <x v="7"/>
    <x v="2"/>
  </r>
  <r>
    <s v="PK-100701"/>
    <x v="107"/>
    <s v="Alexandra Irwin"/>
    <s v="mark38@yahoo.com"/>
    <n v="923451661739"/>
    <x v="0"/>
    <s v="Pakistan"/>
    <x v="4"/>
    <n v="2"/>
    <n v="14849"/>
    <n v="29698"/>
    <x v="4"/>
    <x v="7"/>
    <x v="1"/>
  </r>
  <r>
    <s v="PK-100702"/>
    <x v="234"/>
    <s v="Bailey Larsen"/>
    <s v="christina65@yahoo.com"/>
    <n v="923313899514"/>
    <x v="2"/>
    <s v="Pakistan"/>
    <x v="0"/>
    <n v="5"/>
    <n v="3927"/>
    <n v="19635"/>
    <x v="1"/>
    <x v="7"/>
    <x v="0"/>
  </r>
  <r>
    <s v="PK-100703"/>
    <x v="307"/>
    <s v="Zachary Hill"/>
    <s v="clintonnorman@gmail.com"/>
    <n v="923470313962"/>
    <x v="4"/>
    <s v="Pakistan"/>
    <x v="0"/>
    <n v="2"/>
    <n v="4168"/>
    <n v="8336"/>
    <x v="2"/>
    <x v="0"/>
    <x v="1"/>
  </r>
  <r>
    <s v="PK-100704"/>
    <x v="308"/>
    <s v="Thomas Shaw"/>
    <s v="tneal@briggs.com"/>
    <n v="923197220038"/>
    <x v="7"/>
    <s v="Pakistan"/>
    <x v="1"/>
    <n v="3"/>
    <n v="8888"/>
    <n v="26664"/>
    <x v="1"/>
    <x v="3"/>
    <x v="0"/>
  </r>
  <r>
    <s v="PK-100705"/>
    <x v="197"/>
    <s v="Alicia Stevens"/>
    <s v="ysilva@williams.biz"/>
    <n v="923489920234"/>
    <x v="5"/>
    <s v="Pakistan"/>
    <x v="2"/>
    <n v="1"/>
    <n v="1954"/>
    <n v="1954"/>
    <x v="5"/>
    <x v="6"/>
    <x v="1"/>
  </r>
  <r>
    <s v="PK-100706"/>
    <x v="26"/>
    <s v="Cynthia Martinez"/>
    <s v="jasmine48@nash-rice.com"/>
    <n v="923254720686"/>
    <x v="8"/>
    <s v="Pakistan"/>
    <x v="0"/>
    <n v="2"/>
    <n v="13715"/>
    <n v="27430"/>
    <x v="0"/>
    <x v="1"/>
    <x v="1"/>
  </r>
  <r>
    <s v="PK-100707"/>
    <x v="140"/>
    <s v="William Hill"/>
    <s v="tammy45@paul.biz"/>
    <n v="923463926310"/>
    <x v="0"/>
    <s v="Pakistan"/>
    <x v="2"/>
    <n v="1"/>
    <n v="2210"/>
    <n v="2210"/>
    <x v="3"/>
    <x v="5"/>
    <x v="3"/>
  </r>
  <r>
    <s v="PK-100708"/>
    <x v="49"/>
    <s v="Laura Garner"/>
    <s v="emily61@yahoo.com"/>
    <n v="923377898720"/>
    <x v="5"/>
    <s v="Pakistan"/>
    <x v="4"/>
    <n v="1"/>
    <n v="2728"/>
    <n v="2728"/>
    <x v="5"/>
    <x v="4"/>
    <x v="2"/>
  </r>
  <r>
    <s v="PK-100709"/>
    <x v="147"/>
    <s v="Jonathan Silva"/>
    <s v="gomezbrian@olson-ward.com"/>
    <n v="923250176579"/>
    <x v="8"/>
    <s v="Pakistan"/>
    <x v="1"/>
    <n v="4"/>
    <n v="14068"/>
    <n v="56272"/>
    <x v="4"/>
    <x v="3"/>
    <x v="0"/>
  </r>
  <r>
    <s v="PK-100710"/>
    <x v="200"/>
    <s v="Raymond Hernandez"/>
    <s v="nicole84@yahoo.com"/>
    <n v="923135898147"/>
    <x v="5"/>
    <s v="Pakistan"/>
    <x v="5"/>
    <n v="4"/>
    <n v="12176"/>
    <n v="48704"/>
    <x v="4"/>
    <x v="0"/>
    <x v="3"/>
  </r>
  <r>
    <s v="PK-100711"/>
    <x v="174"/>
    <s v="Melvin Smith"/>
    <s v="davidhahn@yahoo.com"/>
    <n v="923454835061"/>
    <x v="5"/>
    <s v="Pakistan"/>
    <x v="3"/>
    <n v="4"/>
    <n v="7015"/>
    <n v="28060"/>
    <x v="4"/>
    <x v="6"/>
    <x v="2"/>
  </r>
  <r>
    <s v="PK-100712"/>
    <x v="229"/>
    <s v="Jeffrey Griffin"/>
    <s v="npoole@gmail.com"/>
    <n v="923190538974"/>
    <x v="3"/>
    <s v="Pakistan"/>
    <x v="1"/>
    <n v="4"/>
    <n v="12096"/>
    <n v="48384"/>
    <x v="5"/>
    <x v="3"/>
    <x v="2"/>
  </r>
  <r>
    <s v="PK-100713"/>
    <x v="86"/>
    <s v="Cody White"/>
    <s v="cwang@yahoo.com"/>
    <n v="923164787488"/>
    <x v="1"/>
    <s v="Pakistan"/>
    <x v="1"/>
    <n v="2"/>
    <n v="12933"/>
    <n v="25866"/>
    <x v="3"/>
    <x v="5"/>
    <x v="1"/>
  </r>
  <r>
    <s v="PK-100714"/>
    <x v="13"/>
    <s v="Tina Baker MD"/>
    <s v="natalie41@robinson-davis.com"/>
    <n v="923213017160"/>
    <x v="2"/>
    <s v="Pakistan"/>
    <x v="0"/>
    <n v="3"/>
    <n v="3278"/>
    <n v="9834"/>
    <x v="4"/>
    <x v="3"/>
    <x v="1"/>
  </r>
  <r>
    <s v="PK-100715"/>
    <x v="253"/>
    <s v="Stacey Evans"/>
    <s v="curtis58@yahoo.com"/>
    <n v="923461281104"/>
    <x v="0"/>
    <s v="Pakistan"/>
    <x v="3"/>
    <n v="2"/>
    <n v="3324"/>
    <n v="6648"/>
    <x v="5"/>
    <x v="2"/>
    <x v="3"/>
  </r>
  <r>
    <s v="PK-100716"/>
    <x v="232"/>
    <s v="Denise Dunlap"/>
    <s v="daniellesanders@gmail.com"/>
    <n v="923149777856"/>
    <x v="1"/>
    <s v="Pakistan"/>
    <x v="5"/>
    <n v="4"/>
    <n v="9647"/>
    <n v="38588"/>
    <x v="1"/>
    <x v="0"/>
    <x v="1"/>
  </r>
  <r>
    <s v="PK-100717"/>
    <x v="18"/>
    <s v="Jesse Moore"/>
    <s v="glenda45@hotmail.com"/>
    <n v="923288861365"/>
    <x v="8"/>
    <s v="Pakistan"/>
    <x v="1"/>
    <n v="2"/>
    <n v="14319"/>
    <n v="28638"/>
    <x v="0"/>
    <x v="5"/>
    <x v="0"/>
  </r>
  <r>
    <s v="PK-100718"/>
    <x v="154"/>
    <s v="Caitlyn Silva"/>
    <s v="castanedalinda@gmail.com"/>
    <n v="923004375293"/>
    <x v="5"/>
    <s v="Pakistan"/>
    <x v="3"/>
    <n v="2"/>
    <n v="3877"/>
    <n v="7754"/>
    <x v="3"/>
    <x v="7"/>
    <x v="3"/>
  </r>
  <r>
    <s v="PK-100719"/>
    <x v="0"/>
    <s v="Mrs. Audrey Walker"/>
    <s v="laraelizabeth@yahoo.com"/>
    <n v="923483585112"/>
    <x v="4"/>
    <s v="Pakistan"/>
    <x v="3"/>
    <n v="5"/>
    <n v="6515"/>
    <n v="32575"/>
    <x v="2"/>
    <x v="3"/>
    <x v="2"/>
  </r>
  <r>
    <s v="PK-100720"/>
    <x v="151"/>
    <s v="Lindsey Walker DVM"/>
    <s v="jasontyler@rios.info"/>
    <n v="923269013760"/>
    <x v="7"/>
    <s v="Pakistan"/>
    <x v="3"/>
    <n v="4"/>
    <n v="11451"/>
    <n v="45804"/>
    <x v="3"/>
    <x v="2"/>
    <x v="0"/>
  </r>
  <r>
    <s v="PK-100721"/>
    <x v="69"/>
    <s v="Monica Liu"/>
    <s v="stephensjacqueline@miles.com"/>
    <n v="923405761469"/>
    <x v="2"/>
    <s v="Pakistan"/>
    <x v="1"/>
    <n v="4"/>
    <n v="13245"/>
    <n v="52980"/>
    <x v="0"/>
    <x v="3"/>
    <x v="0"/>
  </r>
  <r>
    <s v="PK-100722"/>
    <x v="269"/>
    <s v="Elaine Hernandez"/>
    <s v="romeromaurice@thomas-nguyen.com"/>
    <n v="923098107696"/>
    <x v="6"/>
    <s v="Pakistan"/>
    <x v="3"/>
    <n v="1"/>
    <n v="14294"/>
    <n v="14294"/>
    <x v="4"/>
    <x v="0"/>
    <x v="1"/>
  </r>
  <r>
    <s v="PK-100723"/>
    <x v="309"/>
    <s v="Sharon Middleton"/>
    <s v="coleamanda@gmail.com"/>
    <n v="923131415644"/>
    <x v="7"/>
    <s v="Pakistan"/>
    <x v="2"/>
    <n v="5"/>
    <n v="4794"/>
    <n v="23970"/>
    <x v="1"/>
    <x v="1"/>
    <x v="0"/>
  </r>
  <r>
    <s v="PK-100724"/>
    <x v="109"/>
    <s v="Jessica Freeman"/>
    <s v="younganthony@farrell.org"/>
    <n v="923451889722"/>
    <x v="5"/>
    <s v="Pakistan"/>
    <x v="5"/>
    <n v="3"/>
    <n v="14756"/>
    <n v="44268"/>
    <x v="2"/>
    <x v="3"/>
    <x v="3"/>
  </r>
  <r>
    <s v="PK-100725"/>
    <x v="182"/>
    <s v="Cindy Campbell"/>
    <s v="masonmatthew@yahoo.com"/>
    <n v="923050358604"/>
    <x v="3"/>
    <s v="Pakistan"/>
    <x v="3"/>
    <n v="1"/>
    <n v="2197"/>
    <n v="2197"/>
    <x v="4"/>
    <x v="4"/>
    <x v="1"/>
  </r>
  <r>
    <s v="PK-100726"/>
    <x v="309"/>
    <s v="John Davis"/>
    <s v="rlevine@franklin.com"/>
    <n v="923321182255"/>
    <x v="1"/>
    <s v="Pakistan"/>
    <x v="2"/>
    <n v="2"/>
    <n v="12883"/>
    <n v="25766"/>
    <x v="2"/>
    <x v="1"/>
    <x v="3"/>
  </r>
  <r>
    <s v="PK-100727"/>
    <x v="156"/>
    <s v="Daniel Woodard"/>
    <s v="david47@wagner.com"/>
    <n v="923242619558"/>
    <x v="6"/>
    <s v="Pakistan"/>
    <x v="4"/>
    <n v="1"/>
    <n v="6033"/>
    <n v="6033"/>
    <x v="5"/>
    <x v="0"/>
    <x v="1"/>
  </r>
  <r>
    <s v="PK-100728"/>
    <x v="34"/>
    <s v="Kevin Bishop"/>
    <s v="davisvictoria@mendoza.com"/>
    <n v="923242681557"/>
    <x v="2"/>
    <s v="Pakistan"/>
    <x v="5"/>
    <n v="3"/>
    <n v="10151"/>
    <n v="30453"/>
    <x v="3"/>
    <x v="5"/>
    <x v="0"/>
  </r>
  <r>
    <s v="PK-100729"/>
    <x v="90"/>
    <s v="Daniel Harvey"/>
    <s v="michael99@hotmail.com"/>
    <n v="923429650767"/>
    <x v="0"/>
    <s v="Pakistan"/>
    <x v="0"/>
    <n v="4"/>
    <n v="14029"/>
    <n v="56116"/>
    <x v="2"/>
    <x v="2"/>
    <x v="2"/>
  </r>
  <r>
    <s v="PK-100730"/>
    <x v="165"/>
    <s v="Mike Fletcher"/>
    <s v="paulbradley@douglas.com"/>
    <n v="923028528250"/>
    <x v="7"/>
    <s v="Pakistan"/>
    <x v="0"/>
    <n v="4"/>
    <n v="3880"/>
    <n v="15520"/>
    <x v="4"/>
    <x v="6"/>
    <x v="3"/>
  </r>
  <r>
    <s v="PK-100731"/>
    <x v="108"/>
    <s v="Andrea Evans"/>
    <s v="wallchristina@dyer-lawson.com"/>
    <n v="923022298608"/>
    <x v="1"/>
    <s v="Pakistan"/>
    <x v="5"/>
    <n v="2"/>
    <n v="14226"/>
    <n v="28452"/>
    <x v="5"/>
    <x v="1"/>
    <x v="0"/>
  </r>
  <r>
    <s v="PK-100732"/>
    <x v="140"/>
    <s v="John Suarez"/>
    <s v="cynthia13@little.com"/>
    <n v="923123052018"/>
    <x v="4"/>
    <s v="Pakistan"/>
    <x v="2"/>
    <n v="2"/>
    <n v="10346"/>
    <n v="20692"/>
    <x v="2"/>
    <x v="4"/>
    <x v="3"/>
  </r>
  <r>
    <s v="PK-100733"/>
    <x v="114"/>
    <s v="Monica Mayo"/>
    <s v="kperkins@wallace-mills.org"/>
    <n v="923304575042"/>
    <x v="6"/>
    <s v="Pakistan"/>
    <x v="0"/>
    <n v="2"/>
    <n v="5540"/>
    <n v="11080"/>
    <x v="1"/>
    <x v="6"/>
    <x v="3"/>
  </r>
  <r>
    <s v="PK-100734"/>
    <x v="287"/>
    <s v="Joseph Carter"/>
    <s v="tracie23@yahoo.com"/>
    <n v="923197941501"/>
    <x v="4"/>
    <s v="Pakistan"/>
    <x v="0"/>
    <n v="4"/>
    <n v="5046"/>
    <n v="20184"/>
    <x v="1"/>
    <x v="4"/>
    <x v="0"/>
  </r>
  <r>
    <s v="PK-100735"/>
    <x v="207"/>
    <s v="Michele Velez"/>
    <s v="omcfarland@gmail.com"/>
    <n v="923110786879"/>
    <x v="0"/>
    <s v="Pakistan"/>
    <x v="1"/>
    <n v="5"/>
    <n v="7713"/>
    <n v="38565"/>
    <x v="2"/>
    <x v="6"/>
    <x v="2"/>
  </r>
  <r>
    <s v="PK-100736"/>
    <x v="107"/>
    <s v="Carl Lyons"/>
    <s v="aaronmoreno@hotmail.com"/>
    <n v="923053441257"/>
    <x v="0"/>
    <s v="Pakistan"/>
    <x v="4"/>
    <n v="2"/>
    <n v="8018"/>
    <n v="16036"/>
    <x v="5"/>
    <x v="6"/>
    <x v="1"/>
  </r>
  <r>
    <s v="PK-100737"/>
    <x v="310"/>
    <s v="Brent Rollins"/>
    <s v="kelleyjessica@hotmail.com"/>
    <n v="923024332763"/>
    <x v="3"/>
    <s v="Pakistan"/>
    <x v="0"/>
    <n v="2"/>
    <n v="8532"/>
    <n v="17064"/>
    <x v="4"/>
    <x v="6"/>
    <x v="1"/>
  </r>
  <r>
    <s v="PK-100738"/>
    <x v="195"/>
    <s v="Charles Green"/>
    <s v="nancyweaver@gmail.com"/>
    <n v="923496730956"/>
    <x v="8"/>
    <s v="Pakistan"/>
    <x v="0"/>
    <n v="3"/>
    <n v="7662"/>
    <n v="22986"/>
    <x v="2"/>
    <x v="5"/>
    <x v="3"/>
  </r>
  <r>
    <s v="PK-100739"/>
    <x v="311"/>
    <s v="David Kirby"/>
    <s v="obryant@hotmail.com"/>
    <n v="923065005061"/>
    <x v="4"/>
    <s v="Pakistan"/>
    <x v="5"/>
    <n v="1"/>
    <n v="12104"/>
    <n v="12104"/>
    <x v="1"/>
    <x v="1"/>
    <x v="1"/>
  </r>
  <r>
    <s v="PK-100740"/>
    <x v="85"/>
    <s v="Samuel Collier"/>
    <s v="pfox@gmail.com"/>
    <n v="923137448474"/>
    <x v="2"/>
    <s v="Pakistan"/>
    <x v="2"/>
    <n v="1"/>
    <n v="12902"/>
    <n v="12902"/>
    <x v="5"/>
    <x v="6"/>
    <x v="1"/>
  </r>
  <r>
    <s v="PK-100741"/>
    <x v="291"/>
    <s v="Alan Morales"/>
    <s v="millsdouglas@cooper.net"/>
    <n v="923496355474"/>
    <x v="2"/>
    <s v="Pakistan"/>
    <x v="4"/>
    <n v="2"/>
    <n v="13535"/>
    <n v="27070"/>
    <x v="3"/>
    <x v="0"/>
    <x v="0"/>
  </r>
  <r>
    <s v="PK-100742"/>
    <x v="142"/>
    <s v="Margaret Ray"/>
    <s v="foleybrianna@yahoo.com"/>
    <n v="923457194246"/>
    <x v="5"/>
    <s v="Pakistan"/>
    <x v="1"/>
    <n v="5"/>
    <n v="8029"/>
    <n v="40145"/>
    <x v="4"/>
    <x v="6"/>
    <x v="2"/>
  </r>
  <r>
    <s v="PK-100743"/>
    <x v="4"/>
    <s v="Amanda Taylor"/>
    <s v="clarktimothy@gmail.com"/>
    <n v="923176981437"/>
    <x v="1"/>
    <s v="Pakistan"/>
    <x v="4"/>
    <n v="4"/>
    <n v="10451"/>
    <n v="41804"/>
    <x v="4"/>
    <x v="1"/>
    <x v="0"/>
  </r>
  <r>
    <s v="PK-100744"/>
    <x v="269"/>
    <s v="Cynthia Miller"/>
    <s v="framos@hotmail.com"/>
    <n v="923346016832"/>
    <x v="1"/>
    <s v="Pakistan"/>
    <x v="2"/>
    <n v="1"/>
    <n v="10442"/>
    <n v="10442"/>
    <x v="3"/>
    <x v="4"/>
    <x v="0"/>
  </r>
  <r>
    <s v="PK-100745"/>
    <x v="218"/>
    <s v="Wendy Pratt"/>
    <s v="amberedwards@yahoo.com"/>
    <n v="923476475199"/>
    <x v="4"/>
    <s v="Pakistan"/>
    <x v="3"/>
    <n v="5"/>
    <n v="12379"/>
    <n v="61895"/>
    <x v="2"/>
    <x v="7"/>
    <x v="0"/>
  </r>
  <r>
    <s v="PK-100746"/>
    <x v="35"/>
    <s v="Jason Owens"/>
    <s v="kimberlyhernandez@hotmail.com"/>
    <n v="923263967030"/>
    <x v="9"/>
    <s v="Pakistan"/>
    <x v="2"/>
    <n v="5"/>
    <n v="1355"/>
    <n v="6775"/>
    <x v="2"/>
    <x v="1"/>
    <x v="0"/>
  </r>
  <r>
    <s v="PK-100747"/>
    <x v="298"/>
    <s v="Brian Shelton"/>
    <s v="abigailgonzalez@gmail.com"/>
    <n v="923494840542"/>
    <x v="8"/>
    <s v="Pakistan"/>
    <x v="1"/>
    <n v="1"/>
    <n v="8198"/>
    <n v="8198"/>
    <x v="0"/>
    <x v="0"/>
    <x v="0"/>
  </r>
  <r>
    <s v="PK-100748"/>
    <x v="312"/>
    <s v="Ryan Williams"/>
    <s v="timothy53@jones-cole.com"/>
    <n v="923346071261"/>
    <x v="3"/>
    <s v="Pakistan"/>
    <x v="5"/>
    <n v="2"/>
    <n v="12401"/>
    <n v="24802"/>
    <x v="5"/>
    <x v="0"/>
    <x v="3"/>
  </r>
  <r>
    <s v="PK-100749"/>
    <x v="188"/>
    <s v="Michael Ross"/>
    <s v="richard76@meadows.com"/>
    <n v="923141376351"/>
    <x v="6"/>
    <s v="Pakistan"/>
    <x v="1"/>
    <n v="5"/>
    <n v="7938"/>
    <n v="39690"/>
    <x v="2"/>
    <x v="7"/>
    <x v="2"/>
  </r>
  <r>
    <s v="PK-100750"/>
    <x v="75"/>
    <s v="David Nielsen"/>
    <s v="birdmichael@yahoo.com"/>
    <n v="923411231901"/>
    <x v="1"/>
    <s v="Pakistan"/>
    <x v="5"/>
    <n v="4"/>
    <n v="7759"/>
    <n v="31036"/>
    <x v="4"/>
    <x v="6"/>
    <x v="1"/>
  </r>
  <r>
    <s v="PK-100751"/>
    <x v="313"/>
    <s v="Nancy Tate"/>
    <s v="georgemercer@gmail.com"/>
    <n v="923165035884"/>
    <x v="2"/>
    <s v="Pakistan"/>
    <x v="3"/>
    <n v="5"/>
    <n v="4718"/>
    <n v="23590"/>
    <x v="0"/>
    <x v="0"/>
    <x v="3"/>
  </r>
  <r>
    <s v="PK-100752"/>
    <x v="142"/>
    <s v="Carly Melton"/>
    <s v="cynthiajones@hotmail.com"/>
    <n v="923162432526"/>
    <x v="9"/>
    <s v="Pakistan"/>
    <x v="0"/>
    <n v="5"/>
    <n v="3633"/>
    <n v="18165"/>
    <x v="2"/>
    <x v="1"/>
    <x v="3"/>
  </r>
  <r>
    <s v="PK-100753"/>
    <x v="132"/>
    <s v="Troy Booth"/>
    <s v="dustinlopez@gmail.com"/>
    <n v="923125549392"/>
    <x v="4"/>
    <s v="Pakistan"/>
    <x v="1"/>
    <n v="5"/>
    <n v="6904"/>
    <n v="34520"/>
    <x v="5"/>
    <x v="5"/>
    <x v="0"/>
  </r>
  <r>
    <s v="PK-100754"/>
    <x v="180"/>
    <s v="Kerry Ortiz"/>
    <s v="gcook@davis-smith.com"/>
    <n v="923459216333"/>
    <x v="4"/>
    <s v="Pakistan"/>
    <x v="0"/>
    <n v="2"/>
    <n v="9124"/>
    <n v="18248"/>
    <x v="1"/>
    <x v="5"/>
    <x v="2"/>
  </r>
  <r>
    <s v="PK-100755"/>
    <x v="229"/>
    <s v="Brandy Lee"/>
    <s v="laura52@yahoo.com"/>
    <n v="923426498863"/>
    <x v="5"/>
    <s v="Pakistan"/>
    <x v="3"/>
    <n v="1"/>
    <n v="10905"/>
    <n v="10905"/>
    <x v="3"/>
    <x v="0"/>
    <x v="0"/>
  </r>
  <r>
    <s v="PK-100756"/>
    <x v="213"/>
    <s v="Kristen Robinson"/>
    <s v="randy23@gmail.com"/>
    <n v="923060304052"/>
    <x v="8"/>
    <s v="Pakistan"/>
    <x v="2"/>
    <n v="2"/>
    <n v="13916"/>
    <n v="27832"/>
    <x v="5"/>
    <x v="4"/>
    <x v="2"/>
  </r>
  <r>
    <s v="PK-100757"/>
    <x v="192"/>
    <s v="Carmen Warren"/>
    <s v="melissabrown@hotmail.com"/>
    <n v="923169677485"/>
    <x v="2"/>
    <s v="Pakistan"/>
    <x v="4"/>
    <n v="1"/>
    <n v="6303"/>
    <n v="6303"/>
    <x v="4"/>
    <x v="3"/>
    <x v="3"/>
  </r>
  <r>
    <s v="PK-100758"/>
    <x v="109"/>
    <s v="Christopher Franco"/>
    <s v="jonesdonald@yahoo.com"/>
    <n v="923472575935"/>
    <x v="0"/>
    <s v="Pakistan"/>
    <x v="5"/>
    <n v="5"/>
    <n v="3983"/>
    <n v="19915"/>
    <x v="0"/>
    <x v="3"/>
    <x v="3"/>
  </r>
  <r>
    <s v="PK-100759"/>
    <x v="238"/>
    <s v="Kristi Arellano MD"/>
    <s v="znguyen@hotmail.com"/>
    <n v="923409699137"/>
    <x v="6"/>
    <s v="Pakistan"/>
    <x v="4"/>
    <n v="5"/>
    <n v="5014"/>
    <n v="25070"/>
    <x v="0"/>
    <x v="7"/>
    <x v="3"/>
  </r>
  <r>
    <s v="PK-100760"/>
    <x v="94"/>
    <s v="Julia Foster"/>
    <s v="wolfmatthew@ray-smith.com"/>
    <n v="923278678324"/>
    <x v="0"/>
    <s v="Pakistan"/>
    <x v="4"/>
    <n v="5"/>
    <n v="7748"/>
    <n v="38740"/>
    <x v="2"/>
    <x v="0"/>
    <x v="3"/>
  </r>
  <r>
    <s v="PK-100761"/>
    <x v="275"/>
    <s v="Nathan Bentley"/>
    <s v="glarson@yahoo.com"/>
    <n v="923213749034"/>
    <x v="2"/>
    <s v="Pakistan"/>
    <x v="3"/>
    <n v="3"/>
    <n v="7711"/>
    <n v="23133"/>
    <x v="3"/>
    <x v="6"/>
    <x v="3"/>
  </r>
  <r>
    <s v="PK-100762"/>
    <x v="29"/>
    <s v="Christopher Johnson"/>
    <s v="doris04@yahoo.com"/>
    <n v="923446841664"/>
    <x v="7"/>
    <s v="Pakistan"/>
    <x v="3"/>
    <n v="4"/>
    <n v="4407"/>
    <n v="17628"/>
    <x v="5"/>
    <x v="2"/>
    <x v="0"/>
  </r>
  <r>
    <s v="PK-100763"/>
    <x v="314"/>
    <s v="Stephanie Miller"/>
    <s v="brownreginald@gmail.com"/>
    <n v="923076066125"/>
    <x v="3"/>
    <s v="Pakistan"/>
    <x v="1"/>
    <n v="4"/>
    <n v="6963"/>
    <n v="27852"/>
    <x v="2"/>
    <x v="7"/>
    <x v="3"/>
  </r>
  <r>
    <s v="PK-100764"/>
    <x v="291"/>
    <s v="Jeremy Kim"/>
    <s v="keithtate@hotmail.com"/>
    <n v="923100035805"/>
    <x v="1"/>
    <s v="Pakistan"/>
    <x v="3"/>
    <n v="3"/>
    <n v="4383"/>
    <n v="13149"/>
    <x v="0"/>
    <x v="7"/>
    <x v="1"/>
  </r>
  <r>
    <s v="PK-100765"/>
    <x v="154"/>
    <s v="Carl Rodriguez"/>
    <s v="zgardner@yahoo.com"/>
    <n v="923185879505"/>
    <x v="5"/>
    <s v="Pakistan"/>
    <x v="2"/>
    <n v="2"/>
    <n v="9360"/>
    <n v="18720"/>
    <x v="2"/>
    <x v="1"/>
    <x v="3"/>
  </r>
  <r>
    <s v="PK-100766"/>
    <x v="78"/>
    <s v="Ronald Lane"/>
    <s v="elizabeth52@gibson-jones.com"/>
    <n v="923200383331"/>
    <x v="6"/>
    <s v="Pakistan"/>
    <x v="4"/>
    <n v="4"/>
    <n v="1924"/>
    <n v="7696"/>
    <x v="2"/>
    <x v="5"/>
    <x v="1"/>
  </r>
  <r>
    <s v="PK-100767"/>
    <x v="315"/>
    <s v="Brittany Evans"/>
    <s v="sean83@sweeney.net"/>
    <n v="923237467863"/>
    <x v="5"/>
    <s v="Pakistan"/>
    <x v="1"/>
    <n v="5"/>
    <n v="11889"/>
    <n v="59445"/>
    <x v="2"/>
    <x v="4"/>
    <x v="3"/>
  </r>
  <r>
    <s v="PK-100768"/>
    <x v="179"/>
    <s v="Mary Diaz"/>
    <s v="brian28@hotmail.com"/>
    <n v="923428343742"/>
    <x v="1"/>
    <s v="Pakistan"/>
    <x v="5"/>
    <n v="4"/>
    <n v="4446"/>
    <n v="17784"/>
    <x v="5"/>
    <x v="1"/>
    <x v="0"/>
  </r>
  <r>
    <s v="PK-100769"/>
    <x v="232"/>
    <s v="Timothy Aguilar"/>
    <s v="cheryl50@hensley-collins.com"/>
    <n v="923470216192"/>
    <x v="1"/>
    <s v="Pakistan"/>
    <x v="2"/>
    <n v="1"/>
    <n v="4922"/>
    <n v="4922"/>
    <x v="5"/>
    <x v="7"/>
    <x v="1"/>
  </r>
  <r>
    <s v="PK-100770"/>
    <x v="237"/>
    <s v="April Hall"/>
    <s v="brian39@rodriguez.com"/>
    <n v="923166230681"/>
    <x v="1"/>
    <s v="Pakistan"/>
    <x v="5"/>
    <n v="2"/>
    <n v="12134"/>
    <n v="24268"/>
    <x v="4"/>
    <x v="2"/>
    <x v="3"/>
  </r>
  <r>
    <s v="PK-100771"/>
    <x v="107"/>
    <s v="Elizabeth Lopez"/>
    <s v="jalvarez@yahoo.com"/>
    <n v="923246473245"/>
    <x v="2"/>
    <s v="Pakistan"/>
    <x v="2"/>
    <n v="4"/>
    <n v="3393"/>
    <n v="13572"/>
    <x v="5"/>
    <x v="3"/>
    <x v="1"/>
  </r>
  <r>
    <s v="PK-100772"/>
    <x v="40"/>
    <s v="Angela Norman MD"/>
    <s v="brooketucker@harris-lewis.net"/>
    <n v="923234022355"/>
    <x v="4"/>
    <s v="Pakistan"/>
    <x v="5"/>
    <n v="5"/>
    <n v="12797"/>
    <n v="63985"/>
    <x v="2"/>
    <x v="3"/>
    <x v="2"/>
  </r>
  <r>
    <s v="PK-100773"/>
    <x v="206"/>
    <s v="Timothy Moore"/>
    <s v="andrewstewart@townsend.biz"/>
    <n v="923135303498"/>
    <x v="6"/>
    <s v="Pakistan"/>
    <x v="2"/>
    <n v="5"/>
    <n v="13706"/>
    <n v="68530"/>
    <x v="4"/>
    <x v="5"/>
    <x v="3"/>
  </r>
  <r>
    <s v="PK-100774"/>
    <x v="164"/>
    <s v="Rhonda Garrett"/>
    <s v="thamilton@castillo.net"/>
    <n v="923237675132"/>
    <x v="8"/>
    <s v="Pakistan"/>
    <x v="5"/>
    <n v="5"/>
    <n v="10592"/>
    <n v="52960"/>
    <x v="3"/>
    <x v="7"/>
    <x v="1"/>
  </r>
  <r>
    <s v="PK-100775"/>
    <x v="157"/>
    <s v="Brenda Anderson"/>
    <s v="williamherrera@smith.info"/>
    <n v="923181569396"/>
    <x v="1"/>
    <s v="Pakistan"/>
    <x v="2"/>
    <n v="5"/>
    <n v="3423"/>
    <n v="17115"/>
    <x v="5"/>
    <x v="2"/>
    <x v="0"/>
  </r>
  <r>
    <s v="PK-100776"/>
    <x v="146"/>
    <s v="Joseph Serrano"/>
    <s v="antonio50@abbott.com"/>
    <n v="923215208139"/>
    <x v="2"/>
    <s v="Pakistan"/>
    <x v="0"/>
    <n v="5"/>
    <n v="6002"/>
    <n v="30010"/>
    <x v="0"/>
    <x v="0"/>
    <x v="3"/>
  </r>
  <r>
    <s v="PK-100777"/>
    <x v="316"/>
    <s v="Michael Allen"/>
    <s v="angela75@gmail.com"/>
    <n v="923461928801"/>
    <x v="7"/>
    <s v="Pakistan"/>
    <x v="3"/>
    <n v="4"/>
    <n v="4388"/>
    <n v="17552"/>
    <x v="5"/>
    <x v="3"/>
    <x v="0"/>
  </r>
  <r>
    <s v="PK-100778"/>
    <x v="182"/>
    <s v="Alexander Smith"/>
    <s v="taylorjeffrey@gmail.com"/>
    <n v="923356728171"/>
    <x v="3"/>
    <s v="Pakistan"/>
    <x v="3"/>
    <n v="4"/>
    <n v="10316"/>
    <n v="41264"/>
    <x v="4"/>
    <x v="7"/>
    <x v="0"/>
  </r>
  <r>
    <s v="PK-100779"/>
    <x v="68"/>
    <s v="Rebecca Brown"/>
    <s v="joelschultz@coleman.info"/>
    <n v="923494023665"/>
    <x v="2"/>
    <s v="Pakistan"/>
    <x v="2"/>
    <n v="4"/>
    <n v="9550"/>
    <n v="38200"/>
    <x v="5"/>
    <x v="0"/>
    <x v="2"/>
  </r>
  <r>
    <s v="PK-100780"/>
    <x v="183"/>
    <s v="Daniel Wilson"/>
    <s v="hannahbell@jones-boyer.org"/>
    <n v="923141558376"/>
    <x v="2"/>
    <s v="Pakistan"/>
    <x v="5"/>
    <n v="2"/>
    <n v="10253"/>
    <n v="20506"/>
    <x v="4"/>
    <x v="1"/>
    <x v="3"/>
  </r>
  <r>
    <s v="PK-100781"/>
    <x v="256"/>
    <s v="John Silva"/>
    <s v="andersonadrian@yahoo.com"/>
    <n v="923201307121"/>
    <x v="3"/>
    <s v="Pakistan"/>
    <x v="5"/>
    <n v="3"/>
    <n v="6486"/>
    <n v="19458"/>
    <x v="3"/>
    <x v="1"/>
    <x v="3"/>
  </r>
  <r>
    <s v="PK-100782"/>
    <x v="19"/>
    <s v="Blake Warren"/>
    <s v="kim28@larsen.com"/>
    <n v="923274879015"/>
    <x v="8"/>
    <s v="Pakistan"/>
    <x v="3"/>
    <n v="1"/>
    <n v="5671"/>
    <n v="5671"/>
    <x v="3"/>
    <x v="7"/>
    <x v="1"/>
  </r>
  <r>
    <s v="PK-100783"/>
    <x v="63"/>
    <s v="Kirsten Hayden"/>
    <s v="wolfpeggy@yahoo.com"/>
    <n v="923000891803"/>
    <x v="9"/>
    <s v="Pakistan"/>
    <x v="2"/>
    <n v="3"/>
    <n v="13742"/>
    <n v="41226"/>
    <x v="0"/>
    <x v="1"/>
    <x v="3"/>
  </r>
  <r>
    <s v="PK-100784"/>
    <x v="295"/>
    <s v="Jeffrey Joseph"/>
    <s v="bmiranda@hotmail.com"/>
    <n v="923395671190"/>
    <x v="4"/>
    <s v="Pakistan"/>
    <x v="3"/>
    <n v="3"/>
    <n v="6093"/>
    <n v="18279"/>
    <x v="4"/>
    <x v="4"/>
    <x v="2"/>
  </r>
  <r>
    <s v="PK-100785"/>
    <x v="161"/>
    <s v="Laura Morgan"/>
    <s v="chavezlori@gonzales-brown.info"/>
    <n v="923426724850"/>
    <x v="3"/>
    <s v="Pakistan"/>
    <x v="3"/>
    <n v="5"/>
    <n v="6078"/>
    <n v="30390"/>
    <x v="2"/>
    <x v="6"/>
    <x v="1"/>
  </r>
  <r>
    <s v="PK-100786"/>
    <x v="176"/>
    <s v="Kathryn Ray"/>
    <s v="cjones@gmail.com"/>
    <n v="923052247861"/>
    <x v="0"/>
    <s v="Pakistan"/>
    <x v="0"/>
    <n v="3"/>
    <n v="3220"/>
    <n v="9660"/>
    <x v="5"/>
    <x v="1"/>
    <x v="1"/>
  </r>
  <r>
    <s v="PK-100787"/>
    <x v="265"/>
    <s v="Anna Conley"/>
    <s v="stephenjones@gmail.com"/>
    <n v="923351513795"/>
    <x v="1"/>
    <s v="Pakistan"/>
    <x v="1"/>
    <n v="3"/>
    <n v="6679"/>
    <n v="20037"/>
    <x v="1"/>
    <x v="4"/>
    <x v="0"/>
  </r>
  <r>
    <s v="PK-100788"/>
    <x v="270"/>
    <s v="Patrick Cox"/>
    <s v="jennifer99@lewis.com"/>
    <n v="923491883338"/>
    <x v="7"/>
    <s v="Pakistan"/>
    <x v="1"/>
    <n v="2"/>
    <n v="3590"/>
    <n v="7180"/>
    <x v="2"/>
    <x v="2"/>
    <x v="0"/>
  </r>
  <r>
    <s v="PK-100789"/>
    <x v="76"/>
    <s v="Paul Contreras"/>
    <s v="susan24@tucker.com"/>
    <n v="923417607814"/>
    <x v="6"/>
    <s v="Pakistan"/>
    <x v="2"/>
    <n v="1"/>
    <n v="1154"/>
    <n v="1154"/>
    <x v="2"/>
    <x v="6"/>
    <x v="0"/>
  </r>
  <r>
    <s v="PK-100790"/>
    <x v="124"/>
    <s v="Steven Thomas"/>
    <s v="svazquez@woodard-nunez.com"/>
    <n v="923128253075"/>
    <x v="3"/>
    <s v="Pakistan"/>
    <x v="1"/>
    <n v="2"/>
    <n v="2513"/>
    <n v="5026"/>
    <x v="1"/>
    <x v="0"/>
    <x v="3"/>
  </r>
  <r>
    <s v="PK-100791"/>
    <x v="60"/>
    <s v="Timothy Price"/>
    <s v="whitekatie@yahoo.com"/>
    <n v="923088190101"/>
    <x v="9"/>
    <s v="Pakistan"/>
    <x v="2"/>
    <n v="3"/>
    <n v="10410"/>
    <n v="31230"/>
    <x v="5"/>
    <x v="0"/>
    <x v="0"/>
  </r>
  <r>
    <s v="PK-100792"/>
    <x v="62"/>
    <s v="Katie Payne"/>
    <s v="owenspamela@gmail.com"/>
    <n v="923295779476"/>
    <x v="9"/>
    <s v="Pakistan"/>
    <x v="1"/>
    <n v="3"/>
    <n v="8471"/>
    <n v="25413"/>
    <x v="3"/>
    <x v="4"/>
    <x v="1"/>
  </r>
  <r>
    <s v="PK-100793"/>
    <x v="36"/>
    <s v="Jack Ortiz"/>
    <s v="jameslee@austin.com"/>
    <n v="923199781493"/>
    <x v="5"/>
    <s v="Pakistan"/>
    <x v="4"/>
    <n v="1"/>
    <n v="4290"/>
    <n v="4290"/>
    <x v="0"/>
    <x v="1"/>
    <x v="0"/>
  </r>
  <r>
    <s v="PK-100794"/>
    <x v="84"/>
    <s v="Teresa Sims"/>
    <s v="daltoncraig@kennedy.com"/>
    <n v="923383095715"/>
    <x v="4"/>
    <s v="Pakistan"/>
    <x v="5"/>
    <n v="2"/>
    <n v="12695"/>
    <n v="25390"/>
    <x v="0"/>
    <x v="0"/>
    <x v="0"/>
  </r>
  <r>
    <s v="PK-100795"/>
    <x v="317"/>
    <s v="Helen Solis"/>
    <s v="jillmyers@gmail.com"/>
    <n v="923049627799"/>
    <x v="6"/>
    <s v="Pakistan"/>
    <x v="5"/>
    <n v="2"/>
    <n v="3152"/>
    <n v="6304"/>
    <x v="2"/>
    <x v="3"/>
    <x v="1"/>
  </r>
  <r>
    <s v="PK-100796"/>
    <x v="179"/>
    <s v="Andrew White"/>
    <s v="wsalazar@yahoo.com"/>
    <n v="923368527116"/>
    <x v="1"/>
    <s v="Pakistan"/>
    <x v="0"/>
    <n v="5"/>
    <n v="13087"/>
    <n v="65435"/>
    <x v="1"/>
    <x v="4"/>
    <x v="1"/>
  </r>
  <r>
    <s v="PK-100797"/>
    <x v="81"/>
    <s v="Alex Scott"/>
    <s v="stephanie13@myers.net"/>
    <n v="923324350401"/>
    <x v="3"/>
    <s v="Pakistan"/>
    <x v="2"/>
    <n v="1"/>
    <n v="11275"/>
    <n v="11275"/>
    <x v="4"/>
    <x v="1"/>
    <x v="0"/>
  </r>
  <r>
    <s v="PK-100798"/>
    <x v="207"/>
    <s v="Sarah Walker"/>
    <s v="richard90@hotmail.com"/>
    <n v="923000261389"/>
    <x v="8"/>
    <s v="Pakistan"/>
    <x v="0"/>
    <n v="1"/>
    <n v="12662"/>
    <n v="12662"/>
    <x v="5"/>
    <x v="3"/>
    <x v="0"/>
  </r>
  <r>
    <s v="PK-100799"/>
    <x v="250"/>
    <s v="Janet Zimmerman"/>
    <s v="lthompson@arnold-stephens.org"/>
    <n v="923382454708"/>
    <x v="9"/>
    <s v="Pakistan"/>
    <x v="5"/>
    <n v="2"/>
    <n v="5467"/>
    <n v="10934"/>
    <x v="3"/>
    <x v="5"/>
    <x v="0"/>
  </r>
  <r>
    <s v="PK-100800"/>
    <x v="259"/>
    <s v="Melvin Oliver"/>
    <s v="pcantu@hotmail.com"/>
    <n v="923014812199"/>
    <x v="7"/>
    <s v="Pakistan"/>
    <x v="2"/>
    <n v="3"/>
    <n v="8066"/>
    <n v="24198"/>
    <x v="0"/>
    <x v="4"/>
    <x v="1"/>
  </r>
  <r>
    <s v="PK-100801"/>
    <x v="145"/>
    <s v="Kimberly Davis"/>
    <s v="jgonzalez@yahoo.com"/>
    <n v="923014180127"/>
    <x v="7"/>
    <s v="Pakistan"/>
    <x v="1"/>
    <n v="3"/>
    <n v="1317"/>
    <n v="3951"/>
    <x v="2"/>
    <x v="1"/>
    <x v="1"/>
  </r>
  <r>
    <s v="PK-100802"/>
    <x v="65"/>
    <s v="Lori Reyes"/>
    <s v="michaelgregory@smith.com"/>
    <n v="923053772772"/>
    <x v="8"/>
    <s v="Pakistan"/>
    <x v="1"/>
    <n v="5"/>
    <n v="9098"/>
    <n v="45490"/>
    <x v="1"/>
    <x v="4"/>
    <x v="1"/>
  </r>
  <r>
    <s v="PK-100803"/>
    <x v="302"/>
    <s v="Mark Hicks"/>
    <s v="mnguyen@may.info"/>
    <n v="923450125649"/>
    <x v="9"/>
    <s v="Pakistan"/>
    <x v="1"/>
    <n v="5"/>
    <n v="7027"/>
    <n v="35135"/>
    <x v="1"/>
    <x v="1"/>
    <x v="2"/>
  </r>
  <r>
    <s v="PK-100804"/>
    <x v="77"/>
    <s v="John Holder"/>
    <s v="cuevassavannah@hotmail.com"/>
    <n v="923397606018"/>
    <x v="1"/>
    <s v="Pakistan"/>
    <x v="2"/>
    <n v="5"/>
    <n v="2296"/>
    <n v="11480"/>
    <x v="3"/>
    <x v="5"/>
    <x v="1"/>
  </r>
  <r>
    <s v="PK-100805"/>
    <x v="147"/>
    <s v="Peter Nguyen"/>
    <s v="stephen71@gmail.com"/>
    <n v="923386149668"/>
    <x v="4"/>
    <s v="Pakistan"/>
    <x v="0"/>
    <n v="5"/>
    <n v="5325"/>
    <n v="26625"/>
    <x v="4"/>
    <x v="2"/>
    <x v="2"/>
  </r>
  <r>
    <s v="PK-100806"/>
    <x v="147"/>
    <s v="Paul Palmer"/>
    <s v="gwilliams@tyler.org"/>
    <n v="923004044114"/>
    <x v="0"/>
    <s v="Pakistan"/>
    <x v="1"/>
    <n v="4"/>
    <n v="2403"/>
    <n v="9612"/>
    <x v="1"/>
    <x v="1"/>
    <x v="1"/>
  </r>
  <r>
    <s v="PK-100807"/>
    <x v="317"/>
    <s v="Ronnie Luna"/>
    <s v="skim@hebert-kim.com"/>
    <n v="923376297236"/>
    <x v="1"/>
    <s v="Pakistan"/>
    <x v="4"/>
    <n v="3"/>
    <n v="12970"/>
    <n v="38910"/>
    <x v="3"/>
    <x v="0"/>
    <x v="3"/>
  </r>
  <r>
    <s v="PK-100808"/>
    <x v="94"/>
    <s v="Tracy Mooney"/>
    <s v="ojones@yahoo.com"/>
    <n v="923193532473"/>
    <x v="6"/>
    <s v="Pakistan"/>
    <x v="5"/>
    <n v="5"/>
    <n v="4540"/>
    <n v="22700"/>
    <x v="5"/>
    <x v="0"/>
    <x v="3"/>
  </r>
  <r>
    <s v="PK-100809"/>
    <x v="88"/>
    <s v="Emily Scott"/>
    <s v="iboyd@yahoo.com"/>
    <n v="923174691126"/>
    <x v="3"/>
    <s v="Pakistan"/>
    <x v="0"/>
    <n v="4"/>
    <n v="9214"/>
    <n v="36856"/>
    <x v="5"/>
    <x v="3"/>
    <x v="3"/>
  </r>
  <r>
    <s v="PK-100810"/>
    <x v="234"/>
    <s v="Linda Williams"/>
    <s v="beckytyler@hotmail.com"/>
    <n v="923127850201"/>
    <x v="1"/>
    <s v="Pakistan"/>
    <x v="2"/>
    <n v="3"/>
    <n v="7838"/>
    <n v="23514"/>
    <x v="5"/>
    <x v="7"/>
    <x v="1"/>
  </r>
  <r>
    <s v="PK-100811"/>
    <x v="112"/>
    <s v="Karl Obrien"/>
    <s v="xhammond@hotmail.com"/>
    <n v="923393349046"/>
    <x v="9"/>
    <s v="Pakistan"/>
    <x v="2"/>
    <n v="1"/>
    <n v="5343"/>
    <n v="5343"/>
    <x v="3"/>
    <x v="3"/>
    <x v="1"/>
  </r>
  <r>
    <s v="PK-100812"/>
    <x v="36"/>
    <s v="Amanda Wood"/>
    <s v="christopher11@lee.org"/>
    <n v="923486030218"/>
    <x v="8"/>
    <s v="Pakistan"/>
    <x v="0"/>
    <n v="3"/>
    <n v="2275"/>
    <n v="6825"/>
    <x v="4"/>
    <x v="2"/>
    <x v="0"/>
  </r>
  <r>
    <s v="PK-100813"/>
    <x v="213"/>
    <s v="Rebecca Evans"/>
    <s v="kelleymichael@gmail.com"/>
    <n v="923409022972"/>
    <x v="9"/>
    <s v="Pakistan"/>
    <x v="0"/>
    <n v="4"/>
    <n v="5174"/>
    <n v="20696"/>
    <x v="1"/>
    <x v="1"/>
    <x v="2"/>
  </r>
  <r>
    <s v="PK-100814"/>
    <x v="275"/>
    <s v="John Gentry"/>
    <s v="iperry@johnson.com"/>
    <n v="923491812165"/>
    <x v="8"/>
    <s v="Pakistan"/>
    <x v="2"/>
    <n v="4"/>
    <n v="13467"/>
    <n v="53868"/>
    <x v="0"/>
    <x v="3"/>
    <x v="3"/>
  </r>
  <r>
    <s v="PK-100815"/>
    <x v="18"/>
    <s v="Shannon Lowe"/>
    <s v="michael35@gmail.com"/>
    <n v="923090673893"/>
    <x v="0"/>
    <s v="Pakistan"/>
    <x v="0"/>
    <n v="1"/>
    <n v="5787"/>
    <n v="5787"/>
    <x v="4"/>
    <x v="1"/>
    <x v="3"/>
  </r>
  <r>
    <s v="PK-100816"/>
    <x v="196"/>
    <s v="James Maldonado"/>
    <s v="brian40@colon.biz"/>
    <n v="923447897716"/>
    <x v="7"/>
    <s v="Pakistan"/>
    <x v="3"/>
    <n v="1"/>
    <n v="9085"/>
    <n v="9085"/>
    <x v="0"/>
    <x v="0"/>
    <x v="1"/>
  </r>
  <r>
    <s v="PK-100817"/>
    <x v="75"/>
    <s v="Cathy Diaz"/>
    <s v="michellejohnson@brown.com"/>
    <n v="923390302327"/>
    <x v="4"/>
    <s v="Pakistan"/>
    <x v="2"/>
    <n v="5"/>
    <n v="1882"/>
    <n v="9410"/>
    <x v="2"/>
    <x v="2"/>
    <x v="2"/>
  </r>
  <r>
    <s v="PK-100818"/>
    <x v="240"/>
    <s v="Amy Meyer"/>
    <s v="steelebrooke@schaefer.com"/>
    <n v="923314289977"/>
    <x v="8"/>
    <s v="Pakistan"/>
    <x v="4"/>
    <n v="5"/>
    <n v="13685"/>
    <n v="68425"/>
    <x v="5"/>
    <x v="1"/>
    <x v="3"/>
  </r>
  <r>
    <s v="PK-100819"/>
    <x v="243"/>
    <s v="Mark Hernandez"/>
    <s v="james38@hunt.com"/>
    <n v="923250524528"/>
    <x v="7"/>
    <s v="Pakistan"/>
    <x v="4"/>
    <n v="2"/>
    <n v="1641"/>
    <n v="3282"/>
    <x v="3"/>
    <x v="1"/>
    <x v="2"/>
  </r>
  <r>
    <s v="PK-100820"/>
    <x v="204"/>
    <s v="Louis Walker"/>
    <s v="mpearson@yahoo.com"/>
    <n v="923392226425"/>
    <x v="6"/>
    <s v="Pakistan"/>
    <x v="1"/>
    <n v="3"/>
    <n v="11065"/>
    <n v="33195"/>
    <x v="5"/>
    <x v="6"/>
    <x v="0"/>
  </r>
  <r>
    <s v="PK-100821"/>
    <x v="281"/>
    <s v="Ashley Smith"/>
    <s v="aguilarstephen@hill.com"/>
    <n v="923386167807"/>
    <x v="4"/>
    <s v="Pakistan"/>
    <x v="1"/>
    <n v="3"/>
    <n v="9737"/>
    <n v="29211"/>
    <x v="5"/>
    <x v="6"/>
    <x v="1"/>
  </r>
  <r>
    <s v="PK-100822"/>
    <x v="298"/>
    <s v="Julia Robinson"/>
    <s v="cwerner@aguilar-hawkins.info"/>
    <n v="923069777220"/>
    <x v="6"/>
    <s v="Pakistan"/>
    <x v="5"/>
    <n v="5"/>
    <n v="4638"/>
    <n v="23190"/>
    <x v="5"/>
    <x v="3"/>
    <x v="2"/>
  </r>
  <r>
    <s v="PK-100823"/>
    <x v="278"/>
    <s v="Debra Preston"/>
    <s v="martinezsusan@french-thompson.info"/>
    <n v="923316464678"/>
    <x v="4"/>
    <s v="Pakistan"/>
    <x v="3"/>
    <n v="4"/>
    <n v="11424"/>
    <n v="45696"/>
    <x v="1"/>
    <x v="0"/>
    <x v="1"/>
  </r>
  <r>
    <s v="PK-100824"/>
    <x v="306"/>
    <s v="Nicholas Lucas"/>
    <s v="travis11@davis.com"/>
    <n v="923344495482"/>
    <x v="2"/>
    <s v="Pakistan"/>
    <x v="1"/>
    <n v="4"/>
    <n v="4810"/>
    <n v="19240"/>
    <x v="3"/>
    <x v="6"/>
    <x v="0"/>
  </r>
  <r>
    <s v="PK-100825"/>
    <x v="106"/>
    <s v="April Payne"/>
    <s v="qhowell@chen-taylor.info"/>
    <n v="923352064446"/>
    <x v="1"/>
    <s v="Pakistan"/>
    <x v="1"/>
    <n v="2"/>
    <n v="13846"/>
    <n v="27692"/>
    <x v="2"/>
    <x v="7"/>
    <x v="1"/>
  </r>
  <r>
    <s v="PK-100826"/>
    <x v="263"/>
    <s v="Kristen Wilson"/>
    <s v="holtisaiah@gmail.com"/>
    <n v="923322345548"/>
    <x v="9"/>
    <s v="Pakistan"/>
    <x v="1"/>
    <n v="1"/>
    <n v="7094"/>
    <n v="7094"/>
    <x v="3"/>
    <x v="1"/>
    <x v="2"/>
  </r>
  <r>
    <s v="PK-100827"/>
    <x v="120"/>
    <s v="William Long"/>
    <s v="brandy26@gmail.com"/>
    <n v="923241972954"/>
    <x v="5"/>
    <s v="Pakistan"/>
    <x v="1"/>
    <n v="1"/>
    <n v="7585"/>
    <n v="7585"/>
    <x v="3"/>
    <x v="6"/>
    <x v="2"/>
  </r>
  <r>
    <s v="PK-100828"/>
    <x v="146"/>
    <s v="George Arnold"/>
    <s v="davidmata@gmail.com"/>
    <n v="923043207519"/>
    <x v="1"/>
    <s v="Pakistan"/>
    <x v="0"/>
    <n v="2"/>
    <n v="14567"/>
    <n v="29134"/>
    <x v="5"/>
    <x v="1"/>
    <x v="3"/>
  </r>
  <r>
    <s v="PK-100829"/>
    <x v="243"/>
    <s v="Megan Castro"/>
    <s v="zmurillo@yahoo.com"/>
    <n v="923038572399"/>
    <x v="1"/>
    <s v="Pakistan"/>
    <x v="4"/>
    <n v="5"/>
    <n v="5663"/>
    <n v="28315"/>
    <x v="5"/>
    <x v="5"/>
    <x v="2"/>
  </r>
  <r>
    <s v="PK-100830"/>
    <x v="172"/>
    <s v="Richard Johnson"/>
    <s v="tina46@yahoo.com"/>
    <n v="923037277497"/>
    <x v="9"/>
    <s v="Pakistan"/>
    <x v="5"/>
    <n v="1"/>
    <n v="2372"/>
    <n v="2372"/>
    <x v="3"/>
    <x v="6"/>
    <x v="2"/>
  </r>
  <r>
    <s v="PK-100831"/>
    <x v="318"/>
    <s v="Brittany Schultz"/>
    <s v="yhicks@hotmail.com"/>
    <n v="923231435380"/>
    <x v="6"/>
    <s v="Pakistan"/>
    <x v="3"/>
    <n v="1"/>
    <n v="6333"/>
    <n v="6333"/>
    <x v="3"/>
    <x v="4"/>
    <x v="3"/>
  </r>
  <r>
    <s v="PK-100832"/>
    <x v="313"/>
    <s v="Daniel Lopez Jr."/>
    <s v="egray@hotmail.com"/>
    <n v="923272103419"/>
    <x v="3"/>
    <s v="Pakistan"/>
    <x v="5"/>
    <n v="4"/>
    <n v="10761"/>
    <n v="43044"/>
    <x v="0"/>
    <x v="7"/>
    <x v="1"/>
  </r>
  <r>
    <s v="PK-100833"/>
    <x v="33"/>
    <s v="Rachel Myers"/>
    <s v="luis83@walker-hall.com"/>
    <n v="923059799694"/>
    <x v="5"/>
    <s v="Pakistan"/>
    <x v="2"/>
    <n v="2"/>
    <n v="1110"/>
    <n v="2220"/>
    <x v="0"/>
    <x v="3"/>
    <x v="3"/>
  </r>
  <r>
    <s v="PK-100834"/>
    <x v="247"/>
    <s v="Melissa Simmons"/>
    <s v="hoopermargaret@carter-petersen.com"/>
    <n v="923099536000"/>
    <x v="7"/>
    <s v="Pakistan"/>
    <x v="2"/>
    <n v="4"/>
    <n v="1346"/>
    <n v="5384"/>
    <x v="1"/>
    <x v="7"/>
    <x v="0"/>
  </r>
  <r>
    <s v="PK-100835"/>
    <x v="113"/>
    <s v="Justin Smith"/>
    <s v="baileymurray@gmail.com"/>
    <n v="923078345397"/>
    <x v="5"/>
    <s v="Pakistan"/>
    <x v="0"/>
    <n v="1"/>
    <n v="4105"/>
    <n v="4105"/>
    <x v="2"/>
    <x v="1"/>
    <x v="1"/>
  </r>
  <r>
    <s v="PK-100836"/>
    <x v="248"/>
    <s v="Daniel Richardson"/>
    <s v="mark10@gmail.com"/>
    <n v="923309098579"/>
    <x v="0"/>
    <s v="Pakistan"/>
    <x v="4"/>
    <n v="3"/>
    <n v="14839"/>
    <n v="44517"/>
    <x v="3"/>
    <x v="4"/>
    <x v="3"/>
  </r>
  <r>
    <s v="PK-100837"/>
    <x v="122"/>
    <s v="Scott Bennett"/>
    <s v="hicksamanda@ford-martin.com"/>
    <n v="923300999630"/>
    <x v="2"/>
    <s v="Pakistan"/>
    <x v="3"/>
    <n v="1"/>
    <n v="13627"/>
    <n v="13627"/>
    <x v="5"/>
    <x v="2"/>
    <x v="0"/>
  </r>
  <r>
    <s v="PK-100838"/>
    <x v="319"/>
    <s v="Kelly Wyatt"/>
    <s v="whobbs@valenzuela.com"/>
    <n v="923498404921"/>
    <x v="6"/>
    <s v="Pakistan"/>
    <x v="0"/>
    <n v="4"/>
    <n v="6514"/>
    <n v="26056"/>
    <x v="2"/>
    <x v="3"/>
    <x v="0"/>
  </r>
  <r>
    <s v="PK-100839"/>
    <x v="253"/>
    <s v="Tanner Davila"/>
    <s v="brittanymaddox@garcia.com"/>
    <n v="923020467124"/>
    <x v="5"/>
    <s v="Pakistan"/>
    <x v="5"/>
    <n v="4"/>
    <n v="9255"/>
    <n v="37020"/>
    <x v="5"/>
    <x v="6"/>
    <x v="0"/>
  </r>
  <r>
    <s v="PK-100840"/>
    <x v="88"/>
    <s v="Christopher Matthews"/>
    <s v="rileykim@hotmail.com"/>
    <n v="923410971305"/>
    <x v="7"/>
    <s v="Pakistan"/>
    <x v="0"/>
    <n v="5"/>
    <n v="11290"/>
    <n v="56450"/>
    <x v="4"/>
    <x v="3"/>
    <x v="1"/>
  </r>
  <r>
    <s v="PK-100841"/>
    <x v="320"/>
    <s v="Veronica Lee"/>
    <s v="teresaweaver@rodriguez.org"/>
    <n v="923316684679"/>
    <x v="7"/>
    <s v="Pakistan"/>
    <x v="2"/>
    <n v="4"/>
    <n v="7188"/>
    <n v="28752"/>
    <x v="1"/>
    <x v="7"/>
    <x v="0"/>
  </r>
  <r>
    <s v="PK-100842"/>
    <x v="200"/>
    <s v="Calvin Thomas"/>
    <s v="melanie59@powell.com"/>
    <n v="923341113583"/>
    <x v="7"/>
    <s v="Pakistan"/>
    <x v="0"/>
    <n v="3"/>
    <n v="14707"/>
    <n v="44121"/>
    <x v="2"/>
    <x v="4"/>
    <x v="3"/>
  </r>
  <r>
    <s v="PK-100843"/>
    <x v="277"/>
    <s v="Kimberly White"/>
    <s v="karenhogan@hotmail.com"/>
    <n v="923147124691"/>
    <x v="6"/>
    <s v="Pakistan"/>
    <x v="3"/>
    <n v="2"/>
    <n v="9529"/>
    <n v="19058"/>
    <x v="5"/>
    <x v="5"/>
    <x v="1"/>
  </r>
  <r>
    <s v="PK-100844"/>
    <x v="264"/>
    <s v="Nicole Cantrell"/>
    <s v="jimenezbrittany@martin.com"/>
    <n v="923158677243"/>
    <x v="4"/>
    <s v="Pakistan"/>
    <x v="1"/>
    <n v="2"/>
    <n v="4497"/>
    <n v="8994"/>
    <x v="3"/>
    <x v="4"/>
    <x v="3"/>
  </r>
  <r>
    <s v="PK-100845"/>
    <x v="208"/>
    <s v="Mary Anderson"/>
    <s v="kellymark@lopez-dennis.com"/>
    <n v="923093296699"/>
    <x v="5"/>
    <s v="Pakistan"/>
    <x v="2"/>
    <n v="2"/>
    <n v="10142"/>
    <n v="20284"/>
    <x v="1"/>
    <x v="6"/>
    <x v="1"/>
  </r>
  <r>
    <s v="PK-100846"/>
    <x v="220"/>
    <s v="Phyllis Lewis"/>
    <s v="melissa21@hotmail.com"/>
    <n v="923366597152"/>
    <x v="6"/>
    <s v="Pakistan"/>
    <x v="3"/>
    <n v="1"/>
    <n v="9606"/>
    <n v="9606"/>
    <x v="3"/>
    <x v="6"/>
    <x v="0"/>
  </r>
  <r>
    <s v="PK-100847"/>
    <x v="57"/>
    <s v="Madison Williams"/>
    <s v="hawkinsjay@baldwin.com"/>
    <n v="923104414989"/>
    <x v="5"/>
    <s v="Pakistan"/>
    <x v="4"/>
    <n v="4"/>
    <n v="1484"/>
    <n v="5936"/>
    <x v="1"/>
    <x v="4"/>
    <x v="3"/>
  </r>
  <r>
    <s v="PK-100848"/>
    <x v="174"/>
    <s v="Michael Reed"/>
    <s v="mccluremary@hernandez-walter.net"/>
    <n v="923383842104"/>
    <x v="0"/>
    <s v="Pakistan"/>
    <x v="1"/>
    <n v="1"/>
    <n v="6267"/>
    <n v="6267"/>
    <x v="3"/>
    <x v="3"/>
    <x v="3"/>
  </r>
  <r>
    <s v="PK-100849"/>
    <x v="321"/>
    <s v="Lisa Larson"/>
    <s v="ochoachristopher@robbins-smith.org"/>
    <n v="923029704836"/>
    <x v="6"/>
    <s v="Pakistan"/>
    <x v="1"/>
    <n v="1"/>
    <n v="5896"/>
    <n v="5896"/>
    <x v="3"/>
    <x v="1"/>
    <x v="2"/>
  </r>
  <r>
    <s v="PK-100850"/>
    <x v="194"/>
    <s v="Gary Dominguez"/>
    <s v="glovertonya@hotmail.com"/>
    <n v="923342343706"/>
    <x v="9"/>
    <s v="Pakistan"/>
    <x v="5"/>
    <n v="3"/>
    <n v="3607"/>
    <n v="10821"/>
    <x v="3"/>
    <x v="1"/>
    <x v="3"/>
  </r>
  <r>
    <s v="PK-100851"/>
    <x v="322"/>
    <s v="Darren Stewart"/>
    <s v="jennifer83@shepard.com"/>
    <n v="923441613811"/>
    <x v="9"/>
    <s v="Pakistan"/>
    <x v="2"/>
    <n v="5"/>
    <n v="8432"/>
    <n v="42160"/>
    <x v="2"/>
    <x v="7"/>
    <x v="3"/>
  </r>
  <r>
    <s v="PK-100852"/>
    <x v="70"/>
    <s v="Angel Thornton"/>
    <s v="griffithaaron@hotmail.com"/>
    <n v="923320165077"/>
    <x v="4"/>
    <s v="Pakistan"/>
    <x v="0"/>
    <n v="3"/>
    <n v="5190"/>
    <n v="15570"/>
    <x v="2"/>
    <x v="4"/>
    <x v="0"/>
  </r>
  <r>
    <s v="PK-100853"/>
    <x v="126"/>
    <s v="Christopher Cruz"/>
    <s v="hernandezerin@yahoo.com"/>
    <n v="923040698084"/>
    <x v="5"/>
    <s v="Pakistan"/>
    <x v="3"/>
    <n v="3"/>
    <n v="9791"/>
    <n v="29373"/>
    <x v="3"/>
    <x v="1"/>
    <x v="0"/>
  </r>
  <r>
    <s v="PK-100854"/>
    <x v="323"/>
    <s v="Katherine Hood"/>
    <s v="cynthiamendoza@hotmail.com"/>
    <n v="923127246324"/>
    <x v="1"/>
    <s v="Pakistan"/>
    <x v="0"/>
    <n v="2"/>
    <n v="9919"/>
    <n v="19838"/>
    <x v="3"/>
    <x v="5"/>
    <x v="0"/>
  </r>
  <r>
    <s v="PK-100855"/>
    <x v="324"/>
    <s v="Katherine House"/>
    <s v="robert47@yahoo.com"/>
    <n v="923166399574"/>
    <x v="2"/>
    <s v="Pakistan"/>
    <x v="3"/>
    <n v="3"/>
    <n v="4464"/>
    <n v="13392"/>
    <x v="5"/>
    <x v="5"/>
    <x v="1"/>
  </r>
  <r>
    <s v="PK-100856"/>
    <x v="186"/>
    <s v="Nancy Jenkins"/>
    <s v="joshuawalker@cummings.com"/>
    <n v="923209887761"/>
    <x v="1"/>
    <s v="Pakistan"/>
    <x v="2"/>
    <n v="4"/>
    <n v="13262"/>
    <n v="53048"/>
    <x v="4"/>
    <x v="7"/>
    <x v="3"/>
  </r>
  <r>
    <s v="PK-100857"/>
    <x v="152"/>
    <s v="Melinda Chavez"/>
    <s v="reneegonzalez@hotmail.com"/>
    <n v="923365097571"/>
    <x v="7"/>
    <s v="Pakistan"/>
    <x v="4"/>
    <n v="2"/>
    <n v="14157"/>
    <n v="28314"/>
    <x v="2"/>
    <x v="4"/>
    <x v="0"/>
  </r>
  <r>
    <s v="PK-100858"/>
    <x v="214"/>
    <s v="Daniel Vang"/>
    <s v="marksnow@barry.com"/>
    <n v="923170925256"/>
    <x v="3"/>
    <s v="Pakistan"/>
    <x v="4"/>
    <n v="3"/>
    <n v="1161"/>
    <n v="3483"/>
    <x v="1"/>
    <x v="5"/>
    <x v="1"/>
  </r>
  <r>
    <s v="PK-100859"/>
    <x v="17"/>
    <s v="April Chandler"/>
    <s v="robert68@gmail.com"/>
    <n v="923419550344"/>
    <x v="4"/>
    <s v="Pakistan"/>
    <x v="3"/>
    <n v="4"/>
    <n v="5360"/>
    <n v="21440"/>
    <x v="5"/>
    <x v="5"/>
    <x v="2"/>
  </r>
  <r>
    <s v="PK-100860"/>
    <x v="221"/>
    <s v="Jorge Elliott"/>
    <s v="gina53@gmail.com"/>
    <n v="923036348675"/>
    <x v="8"/>
    <s v="Pakistan"/>
    <x v="1"/>
    <n v="5"/>
    <n v="13471"/>
    <n v="67355"/>
    <x v="2"/>
    <x v="0"/>
    <x v="0"/>
  </r>
  <r>
    <s v="PK-100861"/>
    <x v="322"/>
    <s v="Maria White"/>
    <s v="valerie06@carter.com"/>
    <n v="923457746821"/>
    <x v="7"/>
    <s v="Pakistan"/>
    <x v="2"/>
    <n v="4"/>
    <n v="4488"/>
    <n v="17952"/>
    <x v="2"/>
    <x v="1"/>
    <x v="0"/>
  </r>
  <r>
    <s v="PK-100862"/>
    <x v="41"/>
    <s v="Stephanie Ellis"/>
    <s v="susancarter@hernandez.info"/>
    <n v="923093890683"/>
    <x v="5"/>
    <s v="Pakistan"/>
    <x v="2"/>
    <n v="3"/>
    <n v="8560"/>
    <n v="25680"/>
    <x v="3"/>
    <x v="2"/>
    <x v="2"/>
  </r>
  <r>
    <s v="PK-100863"/>
    <x v="163"/>
    <s v="Raymond Fisher"/>
    <s v="amy74@foster-anderson.com"/>
    <n v="923115512442"/>
    <x v="3"/>
    <s v="Pakistan"/>
    <x v="2"/>
    <n v="4"/>
    <n v="4853"/>
    <n v="19412"/>
    <x v="5"/>
    <x v="0"/>
    <x v="0"/>
  </r>
  <r>
    <s v="PK-100864"/>
    <x v="225"/>
    <s v="Angela Lopez"/>
    <s v="nvillegas@walker.com"/>
    <n v="923228272495"/>
    <x v="7"/>
    <s v="Pakistan"/>
    <x v="1"/>
    <n v="4"/>
    <n v="12749"/>
    <n v="50996"/>
    <x v="3"/>
    <x v="6"/>
    <x v="2"/>
  </r>
  <r>
    <s v="PK-100865"/>
    <x v="217"/>
    <s v="Alexander Cooper"/>
    <s v="chowell@hicks.com"/>
    <n v="923307928083"/>
    <x v="2"/>
    <s v="Pakistan"/>
    <x v="2"/>
    <n v="2"/>
    <n v="4477"/>
    <n v="8954"/>
    <x v="5"/>
    <x v="6"/>
    <x v="3"/>
  </r>
  <r>
    <s v="PK-100866"/>
    <x v="286"/>
    <s v="Lori Baker"/>
    <s v="roberthowell@ortiz.org"/>
    <n v="923295038224"/>
    <x v="9"/>
    <s v="Pakistan"/>
    <x v="1"/>
    <n v="3"/>
    <n v="10231"/>
    <n v="30693"/>
    <x v="3"/>
    <x v="5"/>
    <x v="2"/>
  </r>
  <r>
    <s v="PK-100867"/>
    <x v="304"/>
    <s v="Andrea Evans"/>
    <s v="pduncan@yahoo.com"/>
    <n v="923380882622"/>
    <x v="5"/>
    <s v="Pakistan"/>
    <x v="3"/>
    <n v="3"/>
    <n v="13909"/>
    <n v="41727"/>
    <x v="4"/>
    <x v="0"/>
    <x v="1"/>
  </r>
  <r>
    <s v="PK-100868"/>
    <x v="228"/>
    <s v="Lisa Thompson"/>
    <s v="josephthomas@gmail.com"/>
    <n v="923418923339"/>
    <x v="6"/>
    <s v="Pakistan"/>
    <x v="2"/>
    <n v="4"/>
    <n v="6687"/>
    <n v="26748"/>
    <x v="2"/>
    <x v="4"/>
    <x v="0"/>
  </r>
  <r>
    <s v="PK-100869"/>
    <x v="136"/>
    <s v="Megan Bright"/>
    <s v="iavila@yahoo.com"/>
    <n v="923258343099"/>
    <x v="1"/>
    <s v="Pakistan"/>
    <x v="2"/>
    <n v="1"/>
    <n v="11543"/>
    <n v="11543"/>
    <x v="0"/>
    <x v="3"/>
    <x v="1"/>
  </r>
  <r>
    <s v="PK-100870"/>
    <x v="158"/>
    <s v="Denise Barnes"/>
    <s v="portega@kelley-erickson.org"/>
    <n v="923202497715"/>
    <x v="8"/>
    <s v="Pakistan"/>
    <x v="0"/>
    <n v="3"/>
    <n v="10952"/>
    <n v="32856"/>
    <x v="1"/>
    <x v="4"/>
    <x v="0"/>
  </r>
  <r>
    <s v="PK-100871"/>
    <x v="249"/>
    <s v="Meghan Hernandez"/>
    <s v="jamesbrown@silva-arellano.net"/>
    <n v="923482431550"/>
    <x v="7"/>
    <s v="Pakistan"/>
    <x v="2"/>
    <n v="1"/>
    <n v="8669"/>
    <n v="8669"/>
    <x v="1"/>
    <x v="3"/>
    <x v="3"/>
  </r>
  <r>
    <s v="PK-100872"/>
    <x v="137"/>
    <s v="Stephanie Bennett"/>
    <s v="davidthompson@copeland.info"/>
    <n v="923039086882"/>
    <x v="9"/>
    <s v="Pakistan"/>
    <x v="3"/>
    <n v="1"/>
    <n v="11191"/>
    <n v="11191"/>
    <x v="0"/>
    <x v="3"/>
    <x v="3"/>
  </r>
  <r>
    <s v="PK-100873"/>
    <x v="309"/>
    <s v="Megan Allen"/>
    <s v="nicholassnyder@yahoo.com"/>
    <n v="923346081604"/>
    <x v="8"/>
    <s v="Pakistan"/>
    <x v="0"/>
    <n v="5"/>
    <n v="8165"/>
    <n v="40825"/>
    <x v="3"/>
    <x v="5"/>
    <x v="2"/>
  </r>
  <r>
    <s v="PK-100874"/>
    <x v="21"/>
    <s v="Thomas Perry"/>
    <s v="garmstrong@yahoo.com"/>
    <n v="923006221021"/>
    <x v="5"/>
    <s v="Pakistan"/>
    <x v="0"/>
    <n v="4"/>
    <n v="10437"/>
    <n v="41748"/>
    <x v="2"/>
    <x v="5"/>
    <x v="2"/>
  </r>
  <r>
    <s v="PK-100875"/>
    <x v="18"/>
    <s v="Michael Walker"/>
    <s v="qmoody@yahoo.com"/>
    <n v="923351096838"/>
    <x v="5"/>
    <s v="Pakistan"/>
    <x v="2"/>
    <n v="1"/>
    <n v="13083"/>
    <n v="13083"/>
    <x v="1"/>
    <x v="5"/>
    <x v="2"/>
  </r>
  <r>
    <s v="PK-100876"/>
    <x v="280"/>
    <s v="Carlos Daniel"/>
    <s v="chavezdavid@yahoo.com"/>
    <n v="923001433796"/>
    <x v="4"/>
    <s v="Pakistan"/>
    <x v="0"/>
    <n v="3"/>
    <n v="12397"/>
    <n v="37191"/>
    <x v="5"/>
    <x v="4"/>
    <x v="2"/>
  </r>
  <r>
    <s v="PK-100877"/>
    <x v="325"/>
    <s v="Erin Snow"/>
    <s v="zorozco@sullivan.com"/>
    <n v="923442647973"/>
    <x v="8"/>
    <s v="Pakistan"/>
    <x v="2"/>
    <n v="4"/>
    <n v="8618"/>
    <n v="34472"/>
    <x v="2"/>
    <x v="3"/>
    <x v="0"/>
  </r>
  <r>
    <s v="PK-100878"/>
    <x v="181"/>
    <s v="Jennifer Mitchell"/>
    <s v="skinnerstephanie@hotmail.com"/>
    <n v="923392601057"/>
    <x v="9"/>
    <s v="Pakistan"/>
    <x v="5"/>
    <n v="2"/>
    <n v="10980"/>
    <n v="21960"/>
    <x v="2"/>
    <x v="2"/>
    <x v="3"/>
  </r>
  <r>
    <s v="PK-100879"/>
    <x v="94"/>
    <s v="Brenda Wang"/>
    <s v="brianross@hotmail.com"/>
    <n v="923001340423"/>
    <x v="2"/>
    <s v="Pakistan"/>
    <x v="5"/>
    <n v="5"/>
    <n v="7455"/>
    <n v="37275"/>
    <x v="3"/>
    <x v="5"/>
    <x v="2"/>
  </r>
  <r>
    <s v="PK-100880"/>
    <x v="241"/>
    <s v="Courtney Alvarez"/>
    <s v="nicoletorres@yahoo.com"/>
    <n v="923492173775"/>
    <x v="4"/>
    <s v="Pakistan"/>
    <x v="3"/>
    <n v="1"/>
    <n v="11694"/>
    <n v="11694"/>
    <x v="1"/>
    <x v="3"/>
    <x v="3"/>
  </r>
  <r>
    <s v="PK-100881"/>
    <x v="200"/>
    <s v="Janet Edwards"/>
    <s v="williamsjoanna@yahoo.com"/>
    <n v="923336725840"/>
    <x v="7"/>
    <s v="Pakistan"/>
    <x v="4"/>
    <n v="2"/>
    <n v="3091"/>
    <n v="6182"/>
    <x v="4"/>
    <x v="1"/>
    <x v="2"/>
  </r>
  <r>
    <s v="PK-100882"/>
    <x v="326"/>
    <s v="Hector Sullivan"/>
    <s v="sheppardsamantha@glover.com"/>
    <n v="923416456001"/>
    <x v="5"/>
    <s v="Pakistan"/>
    <x v="3"/>
    <n v="4"/>
    <n v="7809"/>
    <n v="31236"/>
    <x v="4"/>
    <x v="1"/>
    <x v="2"/>
  </r>
  <r>
    <s v="PK-100883"/>
    <x v="32"/>
    <s v="Joel Guzman"/>
    <s v="iesparza@cortez.info"/>
    <n v="923201766403"/>
    <x v="3"/>
    <s v="Pakistan"/>
    <x v="4"/>
    <n v="3"/>
    <n v="13509"/>
    <n v="40527"/>
    <x v="2"/>
    <x v="6"/>
    <x v="1"/>
  </r>
  <r>
    <s v="PK-100884"/>
    <x v="286"/>
    <s v="Emily Walton"/>
    <s v="robert49@watts-george.com"/>
    <n v="923457938029"/>
    <x v="3"/>
    <s v="Pakistan"/>
    <x v="0"/>
    <n v="3"/>
    <n v="10645"/>
    <n v="31935"/>
    <x v="2"/>
    <x v="1"/>
    <x v="1"/>
  </r>
  <r>
    <s v="PK-100885"/>
    <x v="110"/>
    <s v="Brian Yang"/>
    <s v="rileygrace@gmail.com"/>
    <n v="923061617567"/>
    <x v="8"/>
    <s v="Pakistan"/>
    <x v="0"/>
    <n v="3"/>
    <n v="13586"/>
    <n v="40758"/>
    <x v="2"/>
    <x v="6"/>
    <x v="2"/>
  </r>
  <r>
    <s v="PK-100886"/>
    <x v="122"/>
    <s v="Nicole Taylor"/>
    <s v="pmarquez@hotmail.com"/>
    <n v="923181299139"/>
    <x v="3"/>
    <s v="Pakistan"/>
    <x v="2"/>
    <n v="1"/>
    <n v="6871"/>
    <n v="6871"/>
    <x v="3"/>
    <x v="7"/>
    <x v="2"/>
  </r>
  <r>
    <s v="PK-100887"/>
    <x v="190"/>
    <s v="Michael Peterson MD"/>
    <s v="erica12@hotmail.com"/>
    <n v="923025693858"/>
    <x v="2"/>
    <s v="Pakistan"/>
    <x v="4"/>
    <n v="2"/>
    <n v="6010"/>
    <n v="12020"/>
    <x v="3"/>
    <x v="4"/>
    <x v="2"/>
  </r>
  <r>
    <s v="PK-100888"/>
    <x v="289"/>
    <s v="Roberto King"/>
    <s v="morganharrison@larsen.com"/>
    <n v="923094450468"/>
    <x v="4"/>
    <s v="Pakistan"/>
    <x v="3"/>
    <n v="1"/>
    <n v="12489"/>
    <n v="12489"/>
    <x v="2"/>
    <x v="5"/>
    <x v="2"/>
  </r>
  <r>
    <s v="PK-100889"/>
    <x v="307"/>
    <s v="Gregory Walker"/>
    <s v="thomastimothy@dawson.com"/>
    <n v="923045260000"/>
    <x v="9"/>
    <s v="Pakistan"/>
    <x v="0"/>
    <n v="2"/>
    <n v="2870"/>
    <n v="5740"/>
    <x v="3"/>
    <x v="1"/>
    <x v="0"/>
  </r>
  <r>
    <s v="PK-100890"/>
    <x v="95"/>
    <s v="Denise Rodriguez"/>
    <s v="jeffery26@gmail.com"/>
    <n v="923453493458"/>
    <x v="9"/>
    <s v="Pakistan"/>
    <x v="2"/>
    <n v="5"/>
    <n v="7714"/>
    <n v="38570"/>
    <x v="3"/>
    <x v="4"/>
    <x v="2"/>
  </r>
  <r>
    <s v="PK-100891"/>
    <x v="267"/>
    <s v="Carmen Mcmahon"/>
    <s v="xsimmons@stone.com"/>
    <n v="923438065675"/>
    <x v="5"/>
    <s v="Pakistan"/>
    <x v="2"/>
    <n v="3"/>
    <n v="4790"/>
    <n v="14370"/>
    <x v="2"/>
    <x v="1"/>
    <x v="0"/>
  </r>
  <r>
    <s v="PK-100892"/>
    <x v="91"/>
    <s v="Leon Williamson"/>
    <s v="uvaughan@wilson-robertson.com"/>
    <n v="923182110320"/>
    <x v="7"/>
    <s v="Pakistan"/>
    <x v="3"/>
    <n v="2"/>
    <n v="10585"/>
    <n v="21170"/>
    <x v="2"/>
    <x v="6"/>
    <x v="2"/>
  </r>
  <r>
    <s v="PK-100893"/>
    <x v="310"/>
    <s v="Shannon Lee"/>
    <s v="virginiawashington@white-lopez.org"/>
    <n v="923163332048"/>
    <x v="4"/>
    <s v="Pakistan"/>
    <x v="0"/>
    <n v="3"/>
    <n v="10338"/>
    <n v="31014"/>
    <x v="3"/>
    <x v="0"/>
    <x v="3"/>
  </r>
  <r>
    <s v="PK-100894"/>
    <x v="271"/>
    <s v="Mark Silva"/>
    <s v="fgiles@porter-ramirez.org"/>
    <n v="923391232852"/>
    <x v="8"/>
    <s v="Pakistan"/>
    <x v="2"/>
    <n v="2"/>
    <n v="2382"/>
    <n v="4764"/>
    <x v="2"/>
    <x v="0"/>
    <x v="2"/>
  </r>
  <r>
    <s v="PK-100895"/>
    <x v="327"/>
    <s v="Angel Sanchez"/>
    <s v="james83@hotmail.com"/>
    <n v="923302744564"/>
    <x v="6"/>
    <s v="Pakistan"/>
    <x v="3"/>
    <n v="1"/>
    <n v="10317"/>
    <n v="10317"/>
    <x v="1"/>
    <x v="6"/>
    <x v="3"/>
  </r>
  <r>
    <s v="PK-100896"/>
    <x v="94"/>
    <s v="Jo Rowe"/>
    <s v="christopherbrooks@lara.com"/>
    <n v="923433206187"/>
    <x v="2"/>
    <s v="Pakistan"/>
    <x v="4"/>
    <n v="3"/>
    <n v="13198"/>
    <n v="39594"/>
    <x v="1"/>
    <x v="7"/>
    <x v="2"/>
  </r>
  <r>
    <s v="PK-100897"/>
    <x v="8"/>
    <s v="Shannon Thomas"/>
    <s v="cobbdavid@jensen-brandt.org"/>
    <n v="923313395515"/>
    <x v="0"/>
    <s v="Pakistan"/>
    <x v="5"/>
    <n v="5"/>
    <n v="12754"/>
    <n v="63770"/>
    <x v="2"/>
    <x v="5"/>
    <x v="1"/>
  </r>
  <r>
    <s v="PK-100898"/>
    <x v="191"/>
    <s v="Maria Mason"/>
    <s v="gilbertbenjamin@gmail.com"/>
    <n v="923024145193"/>
    <x v="1"/>
    <s v="Pakistan"/>
    <x v="5"/>
    <n v="5"/>
    <n v="10349"/>
    <n v="51745"/>
    <x v="5"/>
    <x v="1"/>
    <x v="2"/>
  </r>
  <r>
    <s v="PK-100899"/>
    <x v="117"/>
    <s v="Brian Reid"/>
    <s v="friggs@hotmail.com"/>
    <n v="923210420768"/>
    <x v="3"/>
    <s v="Pakistan"/>
    <x v="5"/>
    <n v="3"/>
    <n v="8318"/>
    <n v="24954"/>
    <x v="5"/>
    <x v="0"/>
    <x v="3"/>
  </r>
  <r>
    <s v="PK-100900"/>
    <x v="75"/>
    <s v="Sonya Torres"/>
    <s v="nicholsoneric@russo.com"/>
    <n v="923473670761"/>
    <x v="9"/>
    <s v="Pakistan"/>
    <x v="3"/>
    <n v="2"/>
    <n v="8263"/>
    <n v="16526"/>
    <x v="5"/>
    <x v="4"/>
    <x v="0"/>
  </r>
  <r>
    <s v="PK-100901"/>
    <x v="130"/>
    <s v="Rebekah Clarke"/>
    <s v="jenniferrobles@wang-johnson.com"/>
    <n v="923225754549"/>
    <x v="4"/>
    <s v="Pakistan"/>
    <x v="5"/>
    <n v="2"/>
    <n v="10963"/>
    <n v="21926"/>
    <x v="2"/>
    <x v="1"/>
    <x v="0"/>
  </r>
  <r>
    <s v="PK-100902"/>
    <x v="328"/>
    <s v="Brian Thornton"/>
    <s v="jennifer21@thompson-edwards.com"/>
    <n v="923416868565"/>
    <x v="3"/>
    <s v="Pakistan"/>
    <x v="3"/>
    <n v="1"/>
    <n v="8418"/>
    <n v="8418"/>
    <x v="3"/>
    <x v="3"/>
    <x v="0"/>
  </r>
  <r>
    <s v="PK-100903"/>
    <x v="150"/>
    <s v="Stephanie Taylor"/>
    <s v="tbarnett@yahoo.com"/>
    <n v="923318850623"/>
    <x v="7"/>
    <s v="Pakistan"/>
    <x v="5"/>
    <n v="4"/>
    <n v="7034"/>
    <n v="28136"/>
    <x v="1"/>
    <x v="0"/>
    <x v="1"/>
  </r>
  <r>
    <s v="PK-100904"/>
    <x v="320"/>
    <s v="Olivia Jones"/>
    <s v="qlopez@poole.com"/>
    <n v="923195785428"/>
    <x v="8"/>
    <s v="Pakistan"/>
    <x v="0"/>
    <n v="5"/>
    <n v="6096"/>
    <n v="30480"/>
    <x v="1"/>
    <x v="6"/>
    <x v="2"/>
  </r>
  <r>
    <s v="PK-100905"/>
    <x v="305"/>
    <s v="Nathan Herring"/>
    <s v="kyle61@vaughn.com"/>
    <n v="923032367660"/>
    <x v="8"/>
    <s v="Pakistan"/>
    <x v="3"/>
    <n v="3"/>
    <n v="13498"/>
    <n v="40494"/>
    <x v="3"/>
    <x v="2"/>
    <x v="3"/>
  </r>
  <r>
    <s v="PK-100906"/>
    <x v="303"/>
    <s v="Kimberly Davidson"/>
    <s v="richardmclaughlin@hotmail.com"/>
    <n v="923318066132"/>
    <x v="7"/>
    <s v="Pakistan"/>
    <x v="1"/>
    <n v="5"/>
    <n v="12506"/>
    <n v="62530"/>
    <x v="5"/>
    <x v="6"/>
    <x v="0"/>
  </r>
  <r>
    <s v="PK-100907"/>
    <x v="329"/>
    <s v="Shawn Ray"/>
    <s v="gjones@gmail.com"/>
    <n v="923087964106"/>
    <x v="5"/>
    <s v="Pakistan"/>
    <x v="1"/>
    <n v="4"/>
    <n v="5975"/>
    <n v="23900"/>
    <x v="0"/>
    <x v="7"/>
    <x v="1"/>
  </r>
  <r>
    <s v="PK-100908"/>
    <x v="306"/>
    <s v="Joseph Bowman"/>
    <s v="kellersharon@hendrix-johnson.com"/>
    <n v="923349765667"/>
    <x v="9"/>
    <s v="Pakistan"/>
    <x v="4"/>
    <n v="1"/>
    <n v="4086"/>
    <n v="4086"/>
    <x v="2"/>
    <x v="6"/>
    <x v="0"/>
  </r>
  <r>
    <s v="PK-100909"/>
    <x v="273"/>
    <s v="Claudia Kennedy"/>
    <s v="ethanjohnson@campbell-warren.com"/>
    <n v="923342278560"/>
    <x v="8"/>
    <s v="Pakistan"/>
    <x v="2"/>
    <n v="4"/>
    <n v="2176"/>
    <n v="8704"/>
    <x v="1"/>
    <x v="1"/>
    <x v="1"/>
  </r>
  <r>
    <s v="PK-100910"/>
    <x v="301"/>
    <s v="Perry Abbott"/>
    <s v="michaelking@gmail.com"/>
    <n v="923276463807"/>
    <x v="7"/>
    <s v="Pakistan"/>
    <x v="4"/>
    <n v="1"/>
    <n v="1070"/>
    <n v="1070"/>
    <x v="3"/>
    <x v="3"/>
    <x v="2"/>
  </r>
  <r>
    <s v="PK-100911"/>
    <x v="232"/>
    <s v="Tammy Jones"/>
    <s v="debranash@crosby.com"/>
    <n v="923204959288"/>
    <x v="4"/>
    <s v="Pakistan"/>
    <x v="1"/>
    <n v="3"/>
    <n v="11924"/>
    <n v="35772"/>
    <x v="4"/>
    <x v="2"/>
    <x v="1"/>
  </r>
  <r>
    <s v="PK-100912"/>
    <x v="27"/>
    <s v="Christine Griffin"/>
    <s v="jenkinsjesus@gmail.com"/>
    <n v="923236254089"/>
    <x v="3"/>
    <s v="Pakistan"/>
    <x v="4"/>
    <n v="2"/>
    <n v="6782"/>
    <n v="13564"/>
    <x v="3"/>
    <x v="0"/>
    <x v="2"/>
  </r>
  <r>
    <s v="PK-100913"/>
    <x v="130"/>
    <s v="Hannah Clark"/>
    <s v="james08@moody-evans.com"/>
    <n v="923336665693"/>
    <x v="3"/>
    <s v="Pakistan"/>
    <x v="1"/>
    <n v="4"/>
    <n v="3037"/>
    <n v="12148"/>
    <x v="5"/>
    <x v="1"/>
    <x v="0"/>
  </r>
  <r>
    <s v="PK-100914"/>
    <x v="1"/>
    <s v="Diane Bailey"/>
    <s v="wjohnson@briggs.net"/>
    <n v="923460378172"/>
    <x v="4"/>
    <s v="Pakistan"/>
    <x v="1"/>
    <n v="3"/>
    <n v="3418"/>
    <n v="10254"/>
    <x v="5"/>
    <x v="4"/>
    <x v="0"/>
  </r>
  <r>
    <s v="PK-100915"/>
    <x v="78"/>
    <s v="Molly Smith"/>
    <s v="edwardskenneth@lyons-hall.net"/>
    <n v="923025522238"/>
    <x v="1"/>
    <s v="Pakistan"/>
    <x v="4"/>
    <n v="3"/>
    <n v="3091"/>
    <n v="9273"/>
    <x v="3"/>
    <x v="0"/>
    <x v="1"/>
  </r>
  <r>
    <s v="PK-100916"/>
    <x v="33"/>
    <s v="Jordan Miller"/>
    <s v="connor13@yahoo.com"/>
    <n v="923329359079"/>
    <x v="9"/>
    <s v="Pakistan"/>
    <x v="4"/>
    <n v="3"/>
    <n v="1575"/>
    <n v="4725"/>
    <x v="5"/>
    <x v="5"/>
    <x v="1"/>
  </r>
  <r>
    <s v="PK-100917"/>
    <x v="83"/>
    <s v="Andrew Wright Jr."/>
    <s v="nataliewhitney@rivera-montgomery.com"/>
    <n v="923071176005"/>
    <x v="8"/>
    <s v="Pakistan"/>
    <x v="4"/>
    <n v="4"/>
    <n v="10044"/>
    <n v="40176"/>
    <x v="5"/>
    <x v="0"/>
    <x v="3"/>
  </r>
  <r>
    <s v="PK-100918"/>
    <x v="290"/>
    <s v="Mr. James Erickson"/>
    <s v="garciaalex@brewer.info"/>
    <n v="923317272787"/>
    <x v="1"/>
    <s v="Pakistan"/>
    <x v="3"/>
    <n v="2"/>
    <n v="2993"/>
    <n v="5986"/>
    <x v="4"/>
    <x v="4"/>
    <x v="3"/>
  </r>
  <r>
    <s v="PK-100919"/>
    <x v="252"/>
    <s v="Alyssa Smith"/>
    <s v="xaviertanner@spencer.com"/>
    <n v="923269309068"/>
    <x v="0"/>
    <s v="Pakistan"/>
    <x v="1"/>
    <n v="3"/>
    <n v="9241"/>
    <n v="27723"/>
    <x v="0"/>
    <x v="4"/>
    <x v="0"/>
  </r>
  <r>
    <s v="PK-100920"/>
    <x v="330"/>
    <s v="Jessica Clay"/>
    <s v="rachelpalmer@hotmail.com"/>
    <n v="923038717147"/>
    <x v="7"/>
    <s v="Pakistan"/>
    <x v="1"/>
    <n v="4"/>
    <n v="2679"/>
    <n v="10716"/>
    <x v="2"/>
    <x v="6"/>
    <x v="3"/>
  </r>
  <r>
    <s v="PK-100921"/>
    <x v="203"/>
    <s v="Martin Manning"/>
    <s v="kevin20@bauer.com"/>
    <n v="923327698000"/>
    <x v="4"/>
    <s v="Pakistan"/>
    <x v="1"/>
    <n v="5"/>
    <n v="5474"/>
    <n v="27370"/>
    <x v="5"/>
    <x v="3"/>
    <x v="2"/>
  </r>
  <r>
    <s v="PK-100922"/>
    <x v="270"/>
    <s v="Jared Kelly"/>
    <s v="xrowe@merritt-potter.com"/>
    <n v="923120517736"/>
    <x v="9"/>
    <s v="Pakistan"/>
    <x v="1"/>
    <n v="3"/>
    <n v="3621"/>
    <n v="10863"/>
    <x v="3"/>
    <x v="3"/>
    <x v="3"/>
  </r>
  <r>
    <s v="PK-100923"/>
    <x v="18"/>
    <s v="Hailey Landry"/>
    <s v="christinahart@lee.com"/>
    <n v="923444274429"/>
    <x v="8"/>
    <s v="Pakistan"/>
    <x v="0"/>
    <n v="2"/>
    <n v="6791"/>
    <n v="13582"/>
    <x v="0"/>
    <x v="1"/>
    <x v="0"/>
  </r>
  <r>
    <s v="PK-100924"/>
    <x v="109"/>
    <s v="Paula Webster"/>
    <s v="ohammond@yahoo.com"/>
    <n v="923189456495"/>
    <x v="0"/>
    <s v="Pakistan"/>
    <x v="5"/>
    <n v="3"/>
    <n v="6495"/>
    <n v="19485"/>
    <x v="4"/>
    <x v="6"/>
    <x v="3"/>
  </r>
  <r>
    <s v="PK-100925"/>
    <x v="331"/>
    <s v="Nicholas Lopez"/>
    <s v="stephanie44@moreno.biz"/>
    <n v="923040185570"/>
    <x v="0"/>
    <s v="Pakistan"/>
    <x v="1"/>
    <n v="5"/>
    <n v="8148"/>
    <n v="40740"/>
    <x v="3"/>
    <x v="4"/>
    <x v="3"/>
  </r>
  <r>
    <s v="PK-100926"/>
    <x v="41"/>
    <s v="Ashley Landry"/>
    <s v="david73@hotmail.com"/>
    <n v="923382822291"/>
    <x v="1"/>
    <s v="Pakistan"/>
    <x v="1"/>
    <n v="2"/>
    <n v="3700"/>
    <n v="7400"/>
    <x v="0"/>
    <x v="1"/>
    <x v="1"/>
  </r>
  <r>
    <s v="PK-100927"/>
    <x v="297"/>
    <s v="Kimberly Browning"/>
    <s v="murphykenneth@herring-jarvis.com"/>
    <n v="923493363569"/>
    <x v="2"/>
    <s v="Pakistan"/>
    <x v="5"/>
    <n v="1"/>
    <n v="12723"/>
    <n v="12723"/>
    <x v="1"/>
    <x v="0"/>
    <x v="3"/>
  </r>
  <r>
    <s v="PK-100928"/>
    <x v="56"/>
    <s v="Paul Drake"/>
    <s v="dgilbert@hotmail.com"/>
    <n v="923473588463"/>
    <x v="8"/>
    <s v="Pakistan"/>
    <x v="4"/>
    <n v="4"/>
    <n v="13260"/>
    <n v="53040"/>
    <x v="2"/>
    <x v="3"/>
    <x v="3"/>
  </r>
  <r>
    <s v="PK-100929"/>
    <x v="308"/>
    <s v="James Johnson"/>
    <s v="joshuamiller@yahoo.com"/>
    <n v="923237350634"/>
    <x v="7"/>
    <s v="Pakistan"/>
    <x v="1"/>
    <n v="3"/>
    <n v="2027"/>
    <n v="6081"/>
    <x v="2"/>
    <x v="7"/>
    <x v="2"/>
  </r>
  <r>
    <s v="PK-100930"/>
    <x v="283"/>
    <s v="Edward Brock"/>
    <s v="kayla23@hotmail.com"/>
    <n v="923487809820"/>
    <x v="0"/>
    <s v="Pakistan"/>
    <x v="0"/>
    <n v="1"/>
    <n v="7203"/>
    <n v="7203"/>
    <x v="2"/>
    <x v="6"/>
    <x v="2"/>
  </r>
  <r>
    <s v="PK-100931"/>
    <x v="104"/>
    <s v="Melissa Martinez"/>
    <s v="hhooper@davis-gibson.com"/>
    <n v="923475035991"/>
    <x v="4"/>
    <s v="Pakistan"/>
    <x v="0"/>
    <n v="1"/>
    <n v="6951"/>
    <n v="6951"/>
    <x v="3"/>
    <x v="3"/>
    <x v="3"/>
  </r>
  <r>
    <s v="PK-100932"/>
    <x v="18"/>
    <s v="Mercedes Jones MD"/>
    <s v="kmorris@gmail.com"/>
    <n v="923141399703"/>
    <x v="8"/>
    <s v="Pakistan"/>
    <x v="2"/>
    <n v="3"/>
    <n v="13242"/>
    <n v="39726"/>
    <x v="4"/>
    <x v="6"/>
    <x v="0"/>
  </r>
  <r>
    <s v="PK-100933"/>
    <x v="203"/>
    <s v="Andrew Lam MD"/>
    <s v="lstout@yahoo.com"/>
    <n v="923294429999"/>
    <x v="9"/>
    <s v="Pakistan"/>
    <x v="5"/>
    <n v="5"/>
    <n v="7363"/>
    <n v="36815"/>
    <x v="5"/>
    <x v="2"/>
    <x v="2"/>
  </r>
  <r>
    <s v="PK-100934"/>
    <x v="117"/>
    <s v="Wyatt Ibarra"/>
    <s v="yberry@salazar.com"/>
    <n v="923009242319"/>
    <x v="3"/>
    <s v="Pakistan"/>
    <x v="4"/>
    <n v="3"/>
    <n v="10581"/>
    <n v="31743"/>
    <x v="0"/>
    <x v="4"/>
    <x v="1"/>
  </r>
  <r>
    <s v="PK-100935"/>
    <x v="332"/>
    <s v="Danny Meyers"/>
    <s v="justin42@atkins-campbell.biz"/>
    <n v="923094478123"/>
    <x v="8"/>
    <s v="Pakistan"/>
    <x v="0"/>
    <n v="1"/>
    <n v="5035"/>
    <n v="5035"/>
    <x v="1"/>
    <x v="0"/>
    <x v="0"/>
  </r>
  <r>
    <s v="PK-100936"/>
    <x v="29"/>
    <s v="Kristen Shaw"/>
    <s v="edward83@turner.com"/>
    <n v="923428326187"/>
    <x v="4"/>
    <s v="Pakistan"/>
    <x v="3"/>
    <n v="4"/>
    <n v="5669"/>
    <n v="22676"/>
    <x v="1"/>
    <x v="5"/>
    <x v="0"/>
  </r>
  <r>
    <s v="PK-100937"/>
    <x v="33"/>
    <s v="Tammy Daniel"/>
    <s v="karlwalsh@yahoo.com"/>
    <n v="923343257595"/>
    <x v="1"/>
    <s v="Pakistan"/>
    <x v="1"/>
    <n v="5"/>
    <n v="12983"/>
    <n v="64915"/>
    <x v="2"/>
    <x v="1"/>
    <x v="3"/>
  </r>
  <r>
    <s v="PK-100938"/>
    <x v="333"/>
    <s v="Morgan Davis"/>
    <s v="lopezchristopher@gmail.com"/>
    <n v="923349957597"/>
    <x v="7"/>
    <s v="Pakistan"/>
    <x v="3"/>
    <n v="3"/>
    <n v="1362"/>
    <n v="4086"/>
    <x v="4"/>
    <x v="6"/>
    <x v="0"/>
  </r>
  <r>
    <s v="PK-100939"/>
    <x v="133"/>
    <s v="Teresa Mccall"/>
    <s v="fkramer@thompson.com"/>
    <n v="923268931844"/>
    <x v="9"/>
    <s v="Pakistan"/>
    <x v="5"/>
    <n v="3"/>
    <n v="4871"/>
    <n v="14613"/>
    <x v="3"/>
    <x v="3"/>
    <x v="3"/>
  </r>
  <r>
    <s v="PK-100940"/>
    <x v="300"/>
    <s v="Mrs. Ashley Newman"/>
    <s v="paige39@haynes-ellison.com"/>
    <n v="923108793232"/>
    <x v="3"/>
    <s v="Pakistan"/>
    <x v="4"/>
    <n v="4"/>
    <n v="3857"/>
    <n v="15428"/>
    <x v="1"/>
    <x v="0"/>
    <x v="0"/>
  </r>
  <r>
    <s v="PK-100941"/>
    <x v="122"/>
    <s v="Jason Davis"/>
    <s v="brittany98@morales.net"/>
    <n v="923425259412"/>
    <x v="9"/>
    <s v="Pakistan"/>
    <x v="5"/>
    <n v="4"/>
    <n v="13248"/>
    <n v="52992"/>
    <x v="4"/>
    <x v="3"/>
    <x v="3"/>
  </r>
  <r>
    <s v="PK-100942"/>
    <x v="294"/>
    <s v="Lawrence Rojas DVM"/>
    <s v="dianeanderson@yahoo.com"/>
    <n v="923060954926"/>
    <x v="1"/>
    <s v="Pakistan"/>
    <x v="2"/>
    <n v="1"/>
    <n v="10407"/>
    <n v="10407"/>
    <x v="2"/>
    <x v="0"/>
    <x v="1"/>
  </r>
  <r>
    <s v="PK-100943"/>
    <x v="334"/>
    <s v="Riley Lee"/>
    <s v="utaylor@hotmail.com"/>
    <n v="923306582243"/>
    <x v="0"/>
    <s v="Pakistan"/>
    <x v="0"/>
    <n v="5"/>
    <n v="6275"/>
    <n v="31375"/>
    <x v="1"/>
    <x v="0"/>
    <x v="2"/>
  </r>
  <r>
    <s v="PK-100944"/>
    <x v="242"/>
    <s v="Alyssa Cook"/>
    <s v="christine46@little.com"/>
    <n v="923322244635"/>
    <x v="2"/>
    <s v="Pakistan"/>
    <x v="4"/>
    <n v="2"/>
    <n v="1314"/>
    <n v="2628"/>
    <x v="0"/>
    <x v="3"/>
    <x v="1"/>
  </r>
  <r>
    <s v="PK-100945"/>
    <x v="101"/>
    <s v="Richard Roach MD"/>
    <s v="longashley@wells-wilson.net"/>
    <n v="923366928693"/>
    <x v="0"/>
    <s v="Pakistan"/>
    <x v="1"/>
    <n v="2"/>
    <n v="2081"/>
    <n v="4162"/>
    <x v="3"/>
    <x v="3"/>
    <x v="2"/>
  </r>
  <r>
    <s v="PK-100946"/>
    <x v="183"/>
    <s v="Lisa Moore"/>
    <s v="andrew95@diaz.com"/>
    <n v="923182297009"/>
    <x v="9"/>
    <s v="Pakistan"/>
    <x v="1"/>
    <n v="3"/>
    <n v="1654"/>
    <n v="4962"/>
    <x v="5"/>
    <x v="3"/>
    <x v="1"/>
  </r>
  <r>
    <s v="PK-100947"/>
    <x v="240"/>
    <s v="Tracy Poole"/>
    <s v="nolanjennifer@yahoo.com"/>
    <n v="923172022275"/>
    <x v="3"/>
    <s v="Pakistan"/>
    <x v="2"/>
    <n v="5"/>
    <n v="4328"/>
    <n v="21640"/>
    <x v="4"/>
    <x v="2"/>
    <x v="1"/>
  </r>
  <r>
    <s v="PK-100948"/>
    <x v="335"/>
    <s v="Theresa Lewis"/>
    <s v="jasonwhite@hotmail.com"/>
    <n v="923288875965"/>
    <x v="9"/>
    <s v="Pakistan"/>
    <x v="1"/>
    <n v="2"/>
    <n v="1241"/>
    <n v="2482"/>
    <x v="0"/>
    <x v="0"/>
    <x v="0"/>
  </r>
  <r>
    <s v="PK-100949"/>
    <x v="152"/>
    <s v="Sean Adams"/>
    <s v="kellyjuan@hotmail.com"/>
    <n v="923486854785"/>
    <x v="5"/>
    <s v="Pakistan"/>
    <x v="5"/>
    <n v="1"/>
    <n v="12111"/>
    <n v="12111"/>
    <x v="5"/>
    <x v="2"/>
    <x v="2"/>
  </r>
  <r>
    <s v="PK-100950"/>
    <x v="144"/>
    <s v="James Mccoy"/>
    <s v="ybrown@yahoo.com"/>
    <n v="923447564430"/>
    <x v="8"/>
    <s v="Pakistan"/>
    <x v="3"/>
    <n v="4"/>
    <n v="8609"/>
    <n v="34436"/>
    <x v="4"/>
    <x v="1"/>
    <x v="2"/>
  </r>
  <r>
    <s v="PK-100951"/>
    <x v="8"/>
    <s v="David Perry"/>
    <s v="smithgina@gates.com"/>
    <n v="923217475486"/>
    <x v="6"/>
    <s v="Pakistan"/>
    <x v="4"/>
    <n v="1"/>
    <n v="11755"/>
    <n v="11755"/>
    <x v="1"/>
    <x v="3"/>
    <x v="2"/>
  </r>
  <r>
    <s v="PK-100952"/>
    <x v="108"/>
    <s v="Susan Guzman"/>
    <s v="zpacheco@gmail.com"/>
    <n v="923315057701"/>
    <x v="6"/>
    <s v="Pakistan"/>
    <x v="4"/>
    <n v="5"/>
    <n v="7507"/>
    <n v="37535"/>
    <x v="5"/>
    <x v="4"/>
    <x v="3"/>
  </r>
  <r>
    <s v="PK-100953"/>
    <x v="12"/>
    <s v="Sharon Parks"/>
    <s v="hadams@coleman-williams.net"/>
    <n v="923410749293"/>
    <x v="4"/>
    <s v="Pakistan"/>
    <x v="3"/>
    <n v="3"/>
    <n v="1540"/>
    <n v="4620"/>
    <x v="3"/>
    <x v="4"/>
    <x v="2"/>
  </r>
  <r>
    <s v="PK-100954"/>
    <x v="229"/>
    <s v="Tony Williams"/>
    <s v="nicholas31@yahoo.com"/>
    <n v="923140463765"/>
    <x v="7"/>
    <s v="Pakistan"/>
    <x v="4"/>
    <n v="3"/>
    <n v="10438"/>
    <n v="31314"/>
    <x v="4"/>
    <x v="1"/>
    <x v="1"/>
  </r>
  <r>
    <s v="PK-100955"/>
    <x v="10"/>
    <s v="Mark Kim"/>
    <s v="qsantiago@yahoo.com"/>
    <n v="923364977803"/>
    <x v="9"/>
    <s v="Pakistan"/>
    <x v="2"/>
    <n v="1"/>
    <n v="2917"/>
    <n v="2917"/>
    <x v="4"/>
    <x v="4"/>
    <x v="2"/>
  </r>
  <r>
    <s v="PK-100956"/>
    <x v="27"/>
    <s v="Lauren Kennedy"/>
    <s v="elizabeth93@hooper.com"/>
    <n v="923140453601"/>
    <x v="1"/>
    <s v="Pakistan"/>
    <x v="1"/>
    <n v="5"/>
    <n v="6137"/>
    <n v="30685"/>
    <x v="4"/>
    <x v="1"/>
    <x v="2"/>
  </r>
  <r>
    <s v="PK-100957"/>
    <x v="19"/>
    <s v="Mitchell Mcdonald"/>
    <s v="jodi46@yahoo.com"/>
    <n v="923475906711"/>
    <x v="9"/>
    <s v="Pakistan"/>
    <x v="1"/>
    <n v="1"/>
    <n v="8064"/>
    <n v="8064"/>
    <x v="4"/>
    <x v="6"/>
    <x v="0"/>
  </r>
  <r>
    <s v="PK-100958"/>
    <x v="250"/>
    <s v="Karen Miranda"/>
    <s v="vmartinez@estrada-hendrix.org"/>
    <n v="923194255615"/>
    <x v="4"/>
    <s v="Pakistan"/>
    <x v="2"/>
    <n v="4"/>
    <n v="11723"/>
    <n v="46892"/>
    <x v="4"/>
    <x v="7"/>
    <x v="3"/>
  </r>
  <r>
    <s v="PK-100959"/>
    <x v="83"/>
    <s v="Jason Haynes"/>
    <s v="alicia35@yahoo.com"/>
    <n v="923254349036"/>
    <x v="1"/>
    <s v="Pakistan"/>
    <x v="4"/>
    <n v="4"/>
    <n v="4779"/>
    <n v="19116"/>
    <x v="0"/>
    <x v="5"/>
    <x v="1"/>
  </r>
  <r>
    <s v="PK-100960"/>
    <x v="280"/>
    <s v="Karen Jackson"/>
    <s v="jorge12@cole.org"/>
    <n v="923314391725"/>
    <x v="3"/>
    <s v="Pakistan"/>
    <x v="1"/>
    <n v="3"/>
    <n v="3128"/>
    <n v="9384"/>
    <x v="0"/>
    <x v="4"/>
    <x v="0"/>
  </r>
  <r>
    <s v="PK-100961"/>
    <x v="38"/>
    <s v="Kevin Lee"/>
    <s v="rgaines@stone.com"/>
    <n v="923033962598"/>
    <x v="3"/>
    <s v="Pakistan"/>
    <x v="3"/>
    <n v="4"/>
    <n v="9642"/>
    <n v="38568"/>
    <x v="5"/>
    <x v="0"/>
    <x v="1"/>
  </r>
  <r>
    <s v="PK-100962"/>
    <x v="125"/>
    <s v="Nancy Lee"/>
    <s v="hwhite@hotmail.com"/>
    <n v="923058991626"/>
    <x v="0"/>
    <s v="Pakistan"/>
    <x v="5"/>
    <n v="4"/>
    <n v="8630"/>
    <n v="34520"/>
    <x v="5"/>
    <x v="3"/>
    <x v="3"/>
  </r>
  <r>
    <s v="PK-100963"/>
    <x v="288"/>
    <s v="Theresa Hartman"/>
    <s v="sheenajoseph@hotmail.com"/>
    <n v="923126332267"/>
    <x v="9"/>
    <s v="Pakistan"/>
    <x v="0"/>
    <n v="4"/>
    <n v="5884"/>
    <n v="23536"/>
    <x v="1"/>
    <x v="1"/>
    <x v="2"/>
  </r>
  <r>
    <s v="PK-100964"/>
    <x v="310"/>
    <s v="Michael Campbell"/>
    <s v="mariekent@yahoo.com"/>
    <n v="923020742857"/>
    <x v="7"/>
    <s v="Pakistan"/>
    <x v="2"/>
    <n v="5"/>
    <n v="1413"/>
    <n v="7065"/>
    <x v="1"/>
    <x v="0"/>
    <x v="2"/>
  </r>
  <r>
    <s v="PK-100965"/>
    <x v="297"/>
    <s v="Billy Dean"/>
    <s v="lisamorton@yahoo.com"/>
    <n v="923432399423"/>
    <x v="7"/>
    <s v="Pakistan"/>
    <x v="5"/>
    <n v="3"/>
    <n v="4348"/>
    <n v="13044"/>
    <x v="4"/>
    <x v="3"/>
    <x v="1"/>
  </r>
  <r>
    <s v="PK-100966"/>
    <x v="33"/>
    <s v="Gregory Williams"/>
    <s v="jamie79@hayes.net"/>
    <n v="923459364102"/>
    <x v="6"/>
    <s v="Pakistan"/>
    <x v="3"/>
    <n v="2"/>
    <n v="6401"/>
    <n v="12802"/>
    <x v="3"/>
    <x v="1"/>
    <x v="2"/>
  </r>
  <r>
    <s v="PK-100967"/>
    <x v="336"/>
    <s v="Darren David"/>
    <s v="michaelcarroll@yahoo.com"/>
    <n v="923227504818"/>
    <x v="8"/>
    <s v="Pakistan"/>
    <x v="5"/>
    <n v="2"/>
    <n v="2247"/>
    <n v="4494"/>
    <x v="2"/>
    <x v="2"/>
    <x v="0"/>
  </r>
  <r>
    <s v="PK-100968"/>
    <x v="247"/>
    <s v="Jorge Roberts MD"/>
    <s v="anthonyhendrix@yahoo.com"/>
    <n v="923223033918"/>
    <x v="5"/>
    <s v="Pakistan"/>
    <x v="5"/>
    <n v="4"/>
    <n v="8487"/>
    <n v="33948"/>
    <x v="0"/>
    <x v="6"/>
    <x v="0"/>
  </r>
  <r>
    <s v="PK-100969"/>
    <x v="325"/>
    <s v="Christopher Wilkerson"/>
    <s v="eyoung@yahoo.com"/>
    <n v="923330574618"/>
    <x v="8"/>
    <s v="Pakistan"/>
    <x v="3"/>
    <n v="5"/>
    <n v="9167"/>
    <n v="45835"/>
    <x v="1"/>
    <x v="4"/>
    <x v="2"/>
  </r>
  <r>
    <s v="PK-100970"/>
    <x v="75"/>
    <s v="Andrew Ritter"/>
    <s v="brucesamuel@parrish.com"/>
    <n v="923287915028"/>
    <x v="3"/>
    <s v="Pakistan"/>
    <x v="5"/>
    <n v="1"/>
    <n v="9564"/>
    <n v="9564"/>
    <x v="2"/>
    <x v="7"/>
    <x v="1"/>
  </r>
  <r>
    <s v="PK-100971"/>
    <x v="201"/>
    <s v="James Richardson"/>
    <s v="jhuffman@hotmail.com"/>
    <n v="923209260608"/>
    <x v="2"/>
    <s v="Pakistan"/>
    <x v="0"/>
    <n v="4"/>
    <n v="9306"/>
    <n v="37224"/>
    <x v="2"/>
    <x v="0"/>
    <x v="2"/>
  </r>
  <r>
    <s v="PK-100972"/>
    <x v="172"/>
    <s v="Amber English"/>
    <s v="nathan10@gmail.com"/>
    <n v="923067162181"/>
    <x v="6"/>
    <s v="Pakistan"/>
    <x v="1"/>
    <n v="5"/>
    <n v="12984"/>
    <n v="64920"/>
    <x v="0"/>
    <x v="3"/>
    <x v="1"/>
  </r>
  <r>
    <s v="PK-100973"/>
    <x v="191"/>
    <s v="Katelyn Alexander"/>
    <s v="snowtravis@yahoo.com"/>
    <n v="923087743479"/>
    <x v="3"/>
    <s v="Pakistan"/>
    <x v="0"/>
    <n v="2"/>
    <n v="13965"/>
    <n v="27930"/>
    <x v="2"/>
    <x v="5"/>
    <x v="0"/>
  </r>
  <r>
    <s v="PK-100974"/>
    <x v="168"/>
    <s v="Jason Martinez"/>
    <s v="rachel17@hotmail.com"/>
    <n v="923321031426"/>
    <x v="0"/>
    <s v="Pakistan"/>
    <x v="1"/>
    <n v="1"/>
    <n v="14974"/>
    <n v="14974"/>
    <x v="3"/>
    <x v="5"/>
    <x v="1"/>
  </r>
  <r>
    <s v="PK-100975"/>
    <x v="238"/>
    <s v="Raymond Spencer"/>
    <s v="smallkayla@yahoo.com"/>
    <n v="923323709527"/>
    <x v="2"/>
    <s v="Pakistan"/>
    <x v="0"/>
    <n v="5"/>
    <n v="9588"/>
    <n v="47940"/>
    <x v="1"/>
    <x v="5"/>
    <x v="3"/>
  </r>
  <r>
    <s v="PK-100976"/>
    <x v="172"/>
    <s v="Raven Rodgers"/>
    <s v="barbaradyer@carter.org"/>
    <n v="923152050708"/>
    <x v="6"/>
    <s v="Pakistan"/>
    <x v="1"/>
    <n v="3"/>
    <n v="3889"/>
    <n v="11667"/>
    <x v="4"/>
    <x v="6"/>
    <x v="3"/>
  </r>
  <r>
    <s v="PK-100977"/>
    <x v="25"/>
    <s v="Christopher Wong"/>
    <s v="linda87@yahoo.com"/>
    <n v="923017427536"/>
    <x v="7"/>
    <s v="Pakistan"/>
    <x v="5"/>
    <n v="2"/>
    <n v="1804"/>
    <n v="3608"/>
    <x v="3"/>
    <x v="6"/>
    <x v="3"/>
  </r>
  <r>
    <s v="PK-100978"/>
    <x v="163"/>
    <s v="Francis Perkins"/>
    <s v="kayla32@yahoo.com"/>
    <n v="923170710379"/>
    <x v="2"/>
    <s v="Pakistan"/>
    <x v="4"/>
    <n v="4"/>
    <n v="14680"/>
    <n v="58720"/>
    <x v="3"/>
    <x v="4"/>
    <x v="0"/>
  </r>
  <r>
    <s v="PK-100979"/>
    <x v="47"/>
    <s v="Michelle Hicks"/>
    <s v="cyoung@hotmail.com"/>
    <n v="923359061910"/>
    <x v="4"/>
    <s v="Pakistan"/>
    <x v="2"/>
    <n v="5"/>
    <n v="6102"/>
    <n v="30510"/>
    <x v="5"/>
    <x v="2"/>
    <x v="2"/>
  </r>
  <r>
    <s v="PK-100980"/>
    <x v="73"/>
    <s v="Kristin Williams"/>
    <s v="miranda15@dawson-conley.com"/>
    <n v="923114697627"/>
    <x v="5"/>
    <s v="Pakistan"/>
    <x v="1"/>
    <n v="4"/>
    <n v="2893"/>
    <n v="11572"/>
    <x v="0"/>
    <x v="6"/>
    <x v="2"/>
  </r>
  <r>
    <s v="PK-100981"/>
    <x v="280"/>
    <s v="Jennifer Rogers"/>
    <s v="sarahbrown@gmail.com"/>
    <n v="923491372163"/>
    <x v="7"/>
    <s v="Pakistan"/>
    <x v="3"/>
    <n v="4"/>
    <n v="9140"/>
    <n v="36560"/>
    <x v="2"/>
    <x v="5"/>
    <x v="1"/>
  </r>
  <r>
    <s v="PK-100982"/>
    <x v="198"/>
    <s v="Amy Cruz"/>
    <s v="hoganjoshua@hayes.net"/>
    <n v="923399615729"/>
    <x v="7"/>
    <s v="Pakistan"/>
    <x v="4"/>
    <n v="4"/>
    <n v="1167"/>
    <n v="4668"/>
    <x v="4"/>
    <x v="0"/>
    <x v="2"/>
  </r>
  <r>
    <s v="PK-100983"/>
    <x v="299"/>
    <s v="Michelle Gillespie"/>
    <s v="hallbrian@yahoo.com"/>
    <n v="923014940494"/>
    <x v="8"/>
    <s v="Pakistan"/>
    <x v="0"/>
    <n v="1"/>
    <n v="14115"/>
    <n v="14115"/>
    <x v="2"/>
    <x v="0"/>
    <x v="1"/>
  </r>
  <r>
    <s v="PK-100984"/>
    <x v="69"/>
    <s v="John Jordan"/>
    <s v="qreed@gmail.com"/>
    <n v="923280198193"/>
    <x v="4"/>
    <s v="Pakistan"/>
    <x v="5"/>
    <n v="3"/>
    <n v="6016"/>
    <n v="18048"/>
    <x v="5"/>
    <x v="4"/>
    <x v="2"/>
  </r>
  <r>
    <s v="PK-100985"/>
    <x v="274"/>
    <s v="John Smith"/>
    <s v="margaret41@hotmail.com"/>
    <n v="923165950949"/>
    <x v="5"/>
    <s v="Pakistan"/>
    <x v="1"/>
    <n v="2"/>
    <n v="7531"/>
    <n v="15062"/>
    <x v="0"/>
    <x v="5"/>
    <x v="0"/>
  </r>
  <r>
    <s v="PK-100986"/>
    <x v="70"/>
    <s v="Kathy Moore"/>
    <s v="ptaylor@gmail.com"/>
    <n v="923480280806"/>
    <x v="2"/>
    <s v="Pakistan"/>
    <x v="0"/>
    <n v="1"/>
    <n v="1280"/>
    <n v="1280"/>
    <x v="2"/>
    <x v="2"/>
    <x v="0"/>
  </r>
  <r>
    <s v="PK-100987"/>
    <x v="242"/>
    <s v="Alexis Clark"/>
    <s v="michellehawkins@gmail.com"/>
    <n v="923350253108"/>
    <x v="3"/>
    <s v="Pakistan"/>
    <x v="4"/>
    <n v="3"/>
    <n v="11739"/>
    <n v="35217"/>
    <x v="0"/>
    <x v="6"/>
    <x v="1"/>
  </r>
  <r>
    <s v="PK-100988"/>
    <x v="252"/>
    <s v="Lori Moore"/>
    <s v="dennissmith@yahoo.com"/>
    <n v="923002377615"/>
    <x v="5"/>
    <s v="Pakistan"/>
    <x v="1"/>
    <n v="2"/>
    <n v="11036"/>
    <n v="22072"/>
    <x v="2"/>
    <x v="6"/>
    <x v="1"/>
  </r>
  <r>
    <s v="PK-100989"/>
    <x v="188"/>
    <s v="Brian Pierce"/>
    <s v="michealharrison@gmail.com"/>
    <n v="923039690127"/>
    <x v="3"/>
    <s v="Pakistan"/>
    <x v="4"/>
    <n v="4"/>
    <n v="3725"/>
    <n v="14900"/>
    <x v="0"/>
    <x v="2"/>
    <x v="3"/>
  </r>
  <r>
    <s v="PK-100990"/>
    <x v="160"/>
    <s v="Jessica Allen"/>
    <s v="charlesross@strickland-roberts.com"/>
    <n v="923455924276"/>
    <x v="1"/>
    <s v="Pakistan"/>
    <x v="0"/>
    <n v="2"/>
    <n v="1255"/>
    <n v="2510"/>
    <x v="1"/>
    <x v="4"/>
    <x v="1"/>
  </r>
  <r>
    <s v="PK-100991"/>
    <x v="48"/>
    <s v="Jeffrey Newman"/>
    <s v="nelsonlindsay@gmail.com"/>
    <n v="923400531357"/>
    <x v="2"/>
    <s v="Pakistan"/>
    <x v="4"/>
    <n v="1"/>
    <n v="14781"/>
    <n v="14781"/>
    <x v="0"/>
    <x v="4"/>
    <x v="3"/>
  </r>
  <r>
    <s v="PK-100992"/>
    <x v="300"/>
    <s v="Tammy Moore"/>
    <s v="eric18@johnson.com"/>
    <n v="923251084044"/>
    <x v="8"/>
    <s v="Pakistan"/>
    <x v="1"/>
    <n v="2"/>
    <n v="7390"/>
    <n v="14780"/>
    <x v="1"/>
    <x v="0"/>
    <x v="3"/>
  </r>
  <r>
    <s v="PK-100993"/>
    <x v="337"/>
    <s v="Denise Carlson"/>
    <s v="stewartjon@hotmail.com"/>
    <n v="923359767070"/>
    <x v="6"/>
    <s v="Pakistan"/>
    <x v="4"/>
    <n v="2"/>
    <n v="14735"/>
    <n v="29470"/>
    <x v="3"/>
    <x v="6"/>
    <x v="2"/>
  </r>
  <r>
    <s v="PK-100994"/>
    <x v="111"/>
    <s v="Gregg Arnold"/>
    <s v="jerome61@gmail.com"/>
    <n v="923225363198"/>
    <x v="5"/>
    <s v="Pakistan"/>
    <x v="3"/>
    <n v="4"/>
    <n v="3424"/>
    <n v="13696"/>
    <x v="5"/>
    <x v="3"/>
    <x v="2"/>
  </r>
  <r>
    <s v="PK-100995"/>
    <x v="218"/>
    <s v="Eric Garcia"/>
    <s v="johnrichardson@yahoo.com"/>
    <n v="923254686838"/>
    <x v="4"/>
    <s v="Pakistan"/>
    <x v="5"/>
    <n v="1"/>
    <n v="14348"/>
    <n v="14348"/>
    <x v="4"/>
    <x v="4"/>
    <x v="1"/>
  </r>
  <r>
    <s v="PK-100996"/>
    <x v="171"/>
    <s v="Kyle Gonzalez"/>
    <s v="sarah99@hotmail.com"/>
    <n v="923116502446"/>
    <x v="4"/>
    <s v="Pakistan"/>
    <x v="3"/>
    <n v="4"/>
    <n v="7910"/>
    <n v="31640"/>
    <x v="5"/>
    <x v="5"/>
    <x v="1"/>
  </r>
  <r>
    <s v="PK-100997"/>
    <x v="334"/>
    <s v="Michael Collins"/>
    <s v="ulawson@hotmail.com"/>
    <n v="923173552292"/>
    <x v="6"/>
    <s v="Pakistan"/>
    <x v="4"/>
    <n v="2"/>
    <n v="10113"/>
    <n v="20226"/>
    <x v="5"/>
    <x v="4"/>
    <x v="3"/>
  </r>
  <r>
    <s v="PK-100998"/>
    <x v="338"/>
    <s v="Katelyn Lyons"/>
    <s v="robertdavis@warren.org"/>
    <n v="923023550804"/>
    <x v="7"/>
    <s v="Pakistan"/>
    <x v="4"/>
    <n v="1"/>
    <n v="9225"/>
    <n v="9225"/>
    <x v="2"/>
    <x v="7"/>
    <x v="1"/>
  </r>
  <r>
    <s v="PK-100999"/>
    <x v="165"/>
    <s v="Robert Soto"/>
    <s v="csmall@chambers-dean.biz"/>
    <n v="923356904777"/>
    <x v="5"/>
    <s v="Pakistan"/>
    <x v="3"/>
    <n v="5"/>
    <n v="11531"/>
    <n v="57655"/>
    <x v="3"/>
    <x v="2"/>
    <x v="2"/>
  </r>
  <r>
    <s v="PK-101000"/>
    <x v="133"/>
    <s v="Linda Phillips"/>
    <s v="lopezanthony@black-cole.com"/>
    <n v="923292872720"/>
    <x v="3"/>
    <s v="Pakistan"/>
    <x v="0"/>
    <n v="3"/>
    <n v="6148"/>
    <n v="18444"/>
    <x v="1"/>
    <x v="6"/>
    <x v="1"/>
  </r>
  <r>
    <s v="PK-101001"/>
    <x v="62"/>
    <s v="Alexandra Fuller"/>
    <s v="kennethlarsen@yahoo.com"/>
    <n v="923103641983"/>
    <x v="4"/>
    <s v="Pakistan"/>
    <x v="5"/>
    <n v="2"/>
    <n v="8385"/>
    <n v="16770"/>
    <x v="4"/>
    <x v="6"/>
    <x v="1"/>
  </r>
  <r>
    <s v="PK-101002"/>
    <x v="293"/>
    <s v="Jon Hall"/>
    <s v="barbara16@anderson.com"/>
    <n v="923324069701"/>
    <x v="5"/>
    <s v="Pakistan"/>
    <x v="4"/>
    <n v="4"/>
    <n v="7941"/>
    <n v="31764"/>
    <x v="3"/>
    <x v="1"/>
    <x v="1"/>
  </r>
  <r>
    <s v="PK-101003"/>
    <x v="2"/>
    <s v="Bonnie Clark"/>
    <s v="williamwells@yahoo.com"/>
    <n v="923013178493"/>
    <x v="2"/>
    <s v="Pakistan"/>
    <x v="3"/>
    <n v="2"/>
    <n v="4759"/>
    <n v="9518"/>
    <x v="5"/>
    <x v="1"/>
    <x v="1"/>
  </r>
  <r>
    <s v="PK-101004"/>
    <x v="27"/>
    <s v="Hector Henry"/>
    <s v="vtrujillo@schmitt.com"/>
    <n v="923443857630"/>
    <x v="2"/>
    <s v="Pakistan"/>
    <x v="3"/>
    <n v="4"/>
    <n v="2267"/>
    <n v="9068"/>
    <x v="3"/>
    <x v="4"/>
    <x v="1"/>
  </r>
  <r>
    <s v="PK-101005"/>
    <x v="97"/>
    <s v="Nicole Phillips"/>
    <s v="brianward@hotmail.com"/>
    <n v="923237003690"/>
    <x v="8"/>
    <s v="Pakistan"/>
    <x v="3"/>
    <n v="1"/>
    <n v="13037"/>
    <n v="13037"/>
    <x v="1"/>
    <x v="6"/>
    <x v="2"/>
  </r>
  <r>
    <s v="PK-101006"/>
    <x v="312"/>
    <s v="Brittany Barker"/>
    <s v="markrichardson@yahoo.com"/>
    <n v="923308860955"/>
    <x v="8"/>
    <s v="Pakistan"/>
    <x v="2"/>
    <n v="1"/>
    <n v="5084"/>
    <n v="5084"/>
    <x v="5"/>
    <x v="7"/>
    <x v="1"/>
  </r>
  <r>
    <s v="PK-101007"/>
    <x v="14"/>
    <s v="Deborah Acevedo"/>
    <s v="lorischmidt@norris.info"/>
    <n v="923005544282"/>
    <x v="0"/>
    <s v="Pakistan"/>
    <x v="3"/>
    <n v="3"/>
    <n v="11054"/>
    <n v="33162"/>
    <x v="4"/>
    <x v="2"/>
    <x v="3"/>
  </r>
  <r>
    <s v="PK-101008"/>
    <x v="268"/>
    <s v="Kristen Obrien"/>
    <s v="kevingarcia@hotmail.com"/>
    <n v="923138453470"/>
    <x v="8"/>
    <s v="Pakistan"/>
    <x v="2"/>
    <n v="5"/>
    <n v="5393"/>
    <n v="26965"/>
    <x v="5"/>
    <x v="1"/>
    <x v="1"/>
  </r>
  <r>
    <s v="PK-101009"/>
    <x v="72"/>
    <s v="Caitlyn Jennings"/>
    <s v="hallleslie@buck.org"/>
    <n v="923132656374"/>
    <x v="6"/>
    <s v="Pakistan"/>
    <x v="2"/>
    <n v="1"/>
    <n v="12443"/>
    <n v="12443"/>
    <x v="5"/>
    <x v="2"/>
    <x v="3"/>
  </r>
  <r>
    <s v="PK-101010"/>
    <x v="243"/>
    <s v="Steven Velazquez"/>
    <s v="dhunt@carter.com"/>
    <n v="923190495519"/>
    <x v="3"/>
    <s v="Pakistan"/>
    <x v="4"/>
    <n v="5"/>
    <n v="1075"/>
    <n v="5375"/>
    <x v="2"/>
    <x v="5"/>
    <x v="3"/>
  </r>
  <r>
    <s v="PK-101011"/>
    <x v="326"/>
    <s v="Karen Pacheco"/>
    <s v="carpenterholly@hotmail.com"/>
    <n v="923388073119"/>
    <x v="8"/>
    <s v="Pakistan"/>
    <x v="3"/>
    <n v="2"/>
    <n v="4396"/>
    <n v="8792"/>
    <x v="4"/>
    <x v="5"/>
    <x v="1"/>
  </r>
  <r>
    <s v="PK-101012"/>
    <x v="316"/>
    <s v="Nicholas Zimmerman"/>
    <s v="joy32@rodriguez-mccarthy.com"/>
    <n v="923112923145"/>
    <x v="8"/>
    <s v="Pakistan"/>
    <x v="1"/>
    <n v="5"/>
    <n v="1072"/>
    <n v="5360"/>
    <x v="5"/>
    <x v="1"/>
    <x v="0"/>
  </r>
  <r>
    <s v="PK-101013"/>
    <x v="110"/>
    <s v="Kevin Thompson"/>
    <s v="oyates@gmail.com"/>
    <n v="923102550826"/>
    <x v="5"/>
    <s v="Pakistan"/>
    <x v="2"/>
    <n v="1"/>
    <n v="12926"/>
    <n v="12926"/>
    <x v="0"/>
    <x v="5"/>
    <x v="3"/>
  </r>
  <r>
    <s v="PK-101014"/>
    <x v="44"/>
    <s v="Sharon Carpenter MD"/>
    <s v="laurahoffman@richards.net"/>
    <n v="923485930549"/>
    <x v="2"/>
    <s v="Pakistan"/>
    <x v="0"/>
    <n v="3"/>
    <n v="7672"/>
    <n v="23016"/>
    <x v="3"/>
    <x v="6"/>
    <x v="2"/>
  </r>
  <r>
    <s v="PK-101015"/>
    <x v="274"/>
    <s v="Mrs. Kelly Sims"/>
    <s v="bradleyhenderson@yahoo.com"/>
    <n v="923476269562"/>
    <x v="1"/>
    <s v="Pakistan"/>
    <x v="3"/>
    <n v="4"/>
    <n v="3713"/>
    <n v="14852"/>
    <x v="2"/>
    <x v="5"/>
    <x v="3"/>
  </r>
  <r>
    <s v="PK-101016"/>
    <x v="41"/>
    <s v="Frank Wells"/>
    <s v="nicolewilliams@murphy-gonzales.com"/>
    <n v="923423980210"/>
    <x v="2"/>
    <s v="Pakistan"/>
    <x v="2"/>
    <n v="5"/>
    <n v="7237"/>
    <n v="36185"/>
    <x v="1"/>
    <x v="1"/>
    <x v="1"/>
  </r>
  <r>
    <s v="PK-101017"/>
    <x v="190"/>
    <s v="James Rice"/>
    <s v="carlossmith@williams.com"/>
    <n v="923446850734"/>
    <x v="5"/>
    <s v="Pakistan"/>
    <x v="2"/>
    <n v="1"/>
    <n v="1534"/>
    <n v="1534"/>
    <x v="4"/>
    <x v="0"/>
    <x v="2"/>
  </r>
  <r>
    <s v="PK-101018"/>
    <x v="168"/>
    <s v="Linda Clark"/>
    <s v="jonathansmith@schroeder-cunningham.com"/>
    <n v="923384121474"/>
    <x v="7"/>
    <s v="Pakistan"/>
    <x v="2"/>
    <n v="1"/>
    <n v="4569"/>
    <n v="4569"/>
    <x v="2"/>
    <x v="7"/>
    <x v="2"/>
  </r>
  <r>
    <s v="PK-101019"/>
    <x v="161"/>
    <s v="Monica Smith"/>
    <s v="echang@yahoo.com"/>
    <n v="923113834456"/>
    <x v="6"/>
    <s v="Pakistan"/>
    <x v="5"/>
    <n v="1"/>
    <n v="4776"/>
    <n v="4776"/>
    <x v="2"/>
    <x v="5"/>
    <x v="3"/>
  </r>
  <r>
    <s v="PK-101020"/>
    <x v="303"/>
    <s v="Roger Kelly"/>
    <s v="gerald26@yahoo.com"/>
    <n v="923106785260"/>
    <x v="8"/>
    <s v="Pakistan"/>
    <x v="3"/>
    <n v="3"/>
    <n v="8152"/>
    <n v="24456"/>
    <x v="3"/>
    <x v="2"/>
    <x v="3"/>
  </r>
  <r>
    <s v="PK-101021"/>
    <x v="67"/>
    <s v="Lisa Smith"/>
    <s v="mcalderon@hotmail.com"/>
    <n v="923221415277"/>
    <x v="0"/>
    <s v="Pakistan"/>
    <x v="1"/>
    <n v="5"/>
    <n v="14859"/>
    <n v="74295"/>
    <x v="5"/>
    <x v="2"/>
    <x v="1"/>
  </r>
  <r>
    <s v="PK-101022"/>
    <x v="106"/>
    <s v="William Martinez"/>
    <s v="kimberly29@benson.org"/>
    <n v="923173212058"/>
    <x v="4"/>
    <s v="Pakistan"/>
    <x v="3"/>
    <n v="4"/>
    <n v="13440"/>
    <n v="53760"/>
    <x v="5"/>
    <x v="1"/>
    <x v="0"/>
  </r>
  <r>
    <s v="PK-101023"/>
    <x v="168"/>
    <s v="Alexandra Beasley"/>
    <s v="kking@martin-weaver.com"/>
    <n v="923107388365"/>
    <x v="2"/>
    <s v="Pakistan"/>
    <x v="2"/>
    <n v="1"/>
    <n v="4094"/>
    <n v="4094"/>
    <x v="3"/>
    <x v="6"/>
    <x v="2"/>
  </r>
  <r>
    <s v="PK-101024"/>
    <x v="339"/>
    <s v="Julia Aguirre"/>
    <s v="westjoseph@hotmail.com"/>
    <n v="923025479767"/>
    <x v="0"/>
    <s v="Pakistan"/>
    <x v="2"/>
    <n v="5"/>
    <n v="11268"/>
    <n v="56340"/>
    <x v="1"/>
    <x v="0"/>
    <x v="1"/>
  </r>
  <r>
    <s v="PK-101025"/>
    <x v="338"/>
    <s v="Timothy Riley DDS"/>
    <s v="emilymiller@williams.biz"/>
    <n v="923470433688"/>
    <x v="5"/>
    <s v="Pakistan"/>
    <x v="5"/>
    <n v="1"/>
    <n v="1879"/>
    <n v="1879"/>
    <x v="4"/>
    <x v="0"/>
    <x v="3"/>
  </r>
  <r>
    <s v="PK-101026"/>
    <x v="277"/>
    <s v="Jody Miller"/>
    <s v="wbell@yahoo.com"/>
    <n v="923020270034"/>
    <x v="5"/>
    <s v="Pakistan"/>
    <x v="5"/>
    <n v="1"/>
    <n v="9560"/>
    <n v="9560"/>
    <x v="0"/>
    <x v="4"/>
    <x v="2"/>
  </r>
  <r>
    <s v="PK-101027"/>
    <x v="340"/>
    <s v="Collin Butler"/>
    <s v="kyle02@hotmail.com"/>
    <n v="923484449009"/>
    <x v="9"/>
    <s v="Pakistan"/>
    <x v="0"/>
    <n v="2"/>
    <n v="8497"/>
    <n v="16994"/>
    <x v="3"/>
    <x v="3"/>
    <x v="1"/>
  </r>
  <r>
    <s v="PK-101028"/>
    <x v="97"/>
    <s v="Angelica Williams"/>
    <s v="harrisamy@gmail.com"/>
    <n v="923099125526"/>
    <x v="2"/>
    <s v="Pakistan"/>
    <x v="4"/>
    <n v="1"/>
    <n v="7264"/>
    <n v="7264"/>
    <x v="2"/>
    <x v="0"/>
    <x v="1"/>
  </r>
  <r>
    <s v="PK-101029"/>
    <x v="129"/>
    <s v="Paul Martin"/>
    <s v="donaldwashington@pruitt-yoder.com"/>
    <n v="923384062516"/>
    <x v="7"/>
    <s v="Pakistan"/>
    <x v="2"/>
    <n v="2"/>
    <n v="7769"/>
    <n v="15538"/>
    <x v="5"/>
    <x v="7"/>
    <x v="0"/>
  </r>
  <r>
    <s v="PK-101030"/>
    <x v="272"/>
    <s v="Andres Bender"/>
    <s v="joseph71@yahoo.com"/>
    <n v="923130580175"/>
    <x v="8"/>
    <s v="Pakistan"/>
    <x v="5"/>
    <n v="2"/>
    <n v="13205"/>
    <n v="26410"/>
    <x v="4"/>
    <x v="4"/>
    <x v="1"/>
  </r>
  <r>
    <s v="PK-101031"/>
    <x v="341"/>
    <s v="Donna Davis"/>
    <s v="alex62@norris.com"/>
    <n v="923430795507"/>
    <x v="0"/>
    <s v="Pakistan"/>
    <x v="4"/>
    <n v="4"/>
    <n v="6132"/>
    <n v="24528"/>
    <x v="4"/>
    <x v="5"/>
    <x v="2"/>
  </r>
  <r>
    <s v="PK-101032"/>
    <x v="300"/>
    <s v="Amanda Sanchez"/>
    <s v="jonesricardo@mills.com"/>
    <n v="923194932090"/>
    <x v="9"/>
    <s v="Pakistan"/>
    <x v="1"/>
    <n v="5"/>
    <n v="1523"/>
    <n v="7615"/>
    <x v="4"/>
    <x v="6"/>
    <x v="2"/>
  </r>
  <r>
    <s v="PK-101033"/>
    <x v="1"/>
    <s v="Matthew Edwards"/>
    <s v="lopezcory@rodriguez.com"/>
    <n v="923127197088"/>
    <x v="3"/>
    <s v="Pakistan"/>
    <x v="2"/>
    <n v="5"/>
    <n v="7974"/>
    <n v="39870"/>
    <x v="5"/>
    <x v="4"/>
    <x v="0"/>
  </r>
  <r>
    <s v="PK-101034"/>
    <x v="17"/>
    <s v="Daniel Thompson"/>
    <s v="richard30@hotmail.com"/>
    <n v="923229687687"/>
    <x v="4"/>
    <s v="Pakistan"/>
    <x v="2"/>
    <n v="2"/>
    <n v="5186"/>
    <n v="10372"/>
    <x v="0"/>
    <x v="6"/>
    <x v="3"/>
  </r>
  <r>
    <s v="PK-101035"/>
    <x v="325"/>
    <s v="Carolyn Moss"/>
    <s v="charlottewise@brown.com"/>
    <n v="923358114882"/>
    <x v="2"/>
    <s v="Pakistan"/>
    <x v="5"/>
    <n v="2"/>
    <n v="5321"/>
    <n v="10642"/>
    <x v="0"/>
    <x v="0"/>
    <x v="0"/>
  </r>
  <r>
    <s v="PK-101036"/>
    <x v="337"/>
    <s v="Elizabeth Mitchell"/>
    <s v="eperez@yahoo.com"/>
    <n v="923219641645"/>
    <x v="8"/>
    <s v="Pakistan"/>
    <x v="2"/>
    <n v="4"/>
    <n v="8217"/>
    <n v="32868"/>
    <x v="1"/>
    <x v="6"/>
    <x v="2"/>
  </r>
  <r>
    <s v="PK-101037"/>
    <x v="253"/>
    <s v="Karen Stone"/>
    <s v="jennifer54@patterson-thomas.com"/>
    <n v="923463648220"/>
    <x v="8"/>
    <s v="Pakistan"/>
    <x v="2"/>
    <n v="1"/>
    <n v="14687"/>
    <n v="14687"/>
    <x v="1"/>
    <x v="3"/>
    <x v="3"/>
  </r>
  <r>
    <s v="PK-101038"/>
    <x v="79"/>
    <s v="Douglas Brock"/>
    <s v="corycampbell@bauer-salas.info"/>
    <n v="923441505860"/>
    <x v="2"/>
    <s v="Pakistan"/>
    <x v="0"/>
    <n v="1"/>
    <n v="1954"/>
    <n v="1954"/>
    <x v="3"/>
    <x v="6"/>
    <x v="2"/>
  </r>
  <r>
    <s v="PK-101039"/>
    <x v="278"/>
    <s v="Kimberly Avila"/>
    <s v="jennifer91@hotmail.com"/>
    <n v="923359542499"/>
    <x v="9"/>
    <s v="Pakistan"/>
    <x v="3"/>
    <n v="2"/>
    <n v="2793"/>
    <n v="5586"/>
    <x v="5"/>
    <x v="2"/>
    <x v="3"/>
  </r>
  <r>
    <s v="PK-101040"/>
    <x v="250"/>
    <s v="Jason Wright"/>
    <s v="lbarnett@yahoo.com"/>
    <n v="923290378615"/>
    <x v="1"/>
    <s v="Pakistan"/>
    <x v="4"/>
    <n v="4"/>
    <n v="1094"/>
    <n v="4376"/>
    <x v="4"/>
    <x v="5"/>
    <x v="1"/>
  </r>
  <r>
    <s v="PK-101041"/>
    <x v="329"/>
    <s v="Jill Green"/>
    <s v="powersanthony@cox.com"/>
    <n v="923477788101"/>
    <x v="6"/>
    <s v="Pakistan"/>
    <x v="5"/>
    <n v="5"/>
    <n v="1543"/>
    <n v="7715"/>
    <x v="4"/>
    <x v="0"/>
    <x v="3"/>
  </r>
  <r>
    <s v="PK-101042"/>
    <x v="91"/>
    <s v="Andrea Henderson"/>
    <s v="gfox@yahoo.com"/>
    <n v="923320672038"/>
    <x v="0"/>
    <s v="Pakistan"/>
    <x v="4"/>
    <n v="1"/>
    <n v="2415"/>
    <n v="2415"/>
    <x v="5"/>
    <x v="2"/>
    <x v="0"/>
  </r>
  <r>
    <s v="PK-101043"/>
    <x v="124"/>
    <s v="Rose Jackson"/>
    <s v="abigail35@gmail.com"/>
    <n v="923377806455"/>
    <x v="5"/>
    <s v="Pakistan"/>
    <x v="1"/>
    <n v="1"/>
    <n v="2850"/>
    <n v="2850"/>
    <x v="1"/>
    <x v="5"/>
    <x v="2"/>
  </r>
  <r>
    <s v="PK-101044"/>
    <x v="220"/>
    <s v="Jennifer Perez"/>
    <s v="maria57@yahoo.com"/>
    <n v="923131463334"/>
    <x v="8"/>
    <s v="Pakistan"/>
    <x v="3"/>
    <n v="2"/>
    <n v="11215"/>
    <n v="22430"/>
    <x v="2"/>
    <x v="2"/>
    <x v="0"/>
  </r>
  <r>
    <s v="PK-101045"/>
    <x v="294"/>
    <s v="Kristy Aguilar"/>
    <s v="angel59@hopkins.net"/>
    <n v="923252799049"/>
    <x v="1"/>
    <s v="Pakistan"/>
    <x v="1"/>
    <n v="2"/>
    <n v="13368"/>
    <n v="26736"/>
    <x v="1"/>
    <x v="2"/>
    <x v="3"/>
  </r>
  <r>
    <s v="PK-101046"/>
    <x v="302"/>
    <s v="Harry Davis"/>
    <s v="jason73@hotmail.com"/>
    <n v="923135550666"/>
    <x v="9"/>
    <s v="Pakistan"/>
    <x v="3"/>
    <n v="2"/>
    <n v="1689"/>
    <n v="3378"/>
    <x v="2"/>
    <x v="3"/>
    <x v="3"/>
  </r>
  <r>
    <s v="PK-101047"/>
    <x v="211"/>
    <s v="Ashley Vasquez"/>
    <s v="lewiserika@wilson.com"/>
    <n v="923254034796"/>
    <x v="7"/>
    <s v="Pakistan"/>
    <x v="3"/>
    <n v="3"/>
    <n v="8168"/>
    <n v="24504"/>
    <x v="2"/>
    <x v="3"/>
    <x v="3"/>
  </r>
  <r>
    <s v="PK-101048"/>
    <x v="212"/>
    <s v="Tina Peck"/>
    <s v="cartertamara@yahoo.com"/>
    <n v="923498213883"/>
    <x v="3"/>
    <s v="Pakistan"/>
    <x v="2"/>
    <n v="3"/>
    <n v="2469"/>
    <n v="7407"/>
    <x v="1"/>
    <x v="2"/>
    <x v="2"/>
  </r>
  <r>
    <s v="PK-101049"/>
    <x v="317"/>
    <s v="Bryan Zimmerman"/>
    <s v="pottstiffany@schmitt.biz"/>
    <n v="923115465454"/>
    <x v="4"/>
    <s v="Pakistan"/>
    <x v="2"/>
    <n v="4"/>
    <n v="5968"/>
    <n v="23872"/>
    <x v="3"/>
    <x v="3"/>
    <x v="1"/>
  </r>
  <r>
    <s v="PK-101050"/>
    <x v="46"/>
    <s v="Benjamin Hunter"/>
    <s v="barrettmichelle@morris.biz"/>
    <n v="923254672073"/>
    <x v="5"/>
    <s v="Pakistan"/>
    <x v="0"/>
    <n v="5"/>
    <n v="1272"/>
    <n v="6360"/>
    <x v="5"/>
    <x v="0"/>
    <x v="0"/>
  </r>
  <r>
    <s v="PK-101051"/>
    <x v="131"/>
    <s v="Michael Smith"/>
    <s v="wjackson@gmail.com"/>
    <n v="923283374537"/>
    <x v="6"/>
    <s v="Pakistan"/>
    <x v="1"/>
    <n v="4"/>
    <n v="9411"/>
    <n v="37644"/>
    <x v="5"/>
    <x v="7"/>
    <x v="1"/>
  </r>
  <r>
    <s v="PK-101052"/>
    <x v="215"/>
    <s v="Matthew Goodman"/>
    <s v="jenniferknapp@rodriguez.org"/>
    <n v="923489618051"/>
    <x v="7"/>
    <s v="Pakistan"/>
    <x v="0"/>
    <n v="3"/>
    <n v="9819"/>
    <n v="29457"/>
    <x v="2"/>
    <x v="6"/>
    <x v="0"/>
  </r>
  <r>
    <s v="PK-101053"/>
    <x v="196"/>
    <s v="Abigail Giles"/>
    <s v="dsantos@garcia.org"/>
    <n v="923173010622"/>
    <x v="8"/>
    <s v="Pakistan"/>
    <x v="3"/>
    <n v="1"/>
    <n v="7607"/>
    <n v="7607"/>
    <x v="2"/>
    <x v="3"/>
    <x v="2"/>
  </r>
  <r>
    <s v="PK-101054"/>
    <x v="342"/>
    <s v="Emily Martinez"/>
    <s v="garzakatelyn@leblanc.com"/>
    <n v="923211484180"/>
    <x v="1"/>
    <s v="Pakistan"/>
    <x v="2"/>
    <n v="4"/>
    <n v="2496"/>
    <n v="9984"/>
    <x v="2"/>
    <x v="3"/>
    <x v="2"/>
  </r>
  <r>
    <s v="PK-101055"/>
    <x v="22"/>
    <s v="Shawn Klein"/>
    <s v="adamking@nichols.com"/>
    <n v="923120065412"/>
    <x v="2"/>
    <s v="Pakistan"/>
    <x v="5"/>
    <n v="3"/>
    <n v="8497"/>
    <n v="25491"/>
    <x v="3"/>
    <x v="6"/>
    <x v="0"/>
  </r>
  <r>
    <s v="PK-101056"/>
    <x v="8"/>
    <s v="Amy Adams"/>
    <s v="joan32@allison.com"/>
    <n v="923275321726"/>
    <x v="7"/>
    <s v="Pakistan"/>
    <x v="3"/>
    <n v="3"/>
    <n v="3877"/>
    <n v="11631"/>
    <x v="2"/>
    <x v="3"/>
    <x v="2"/>
  </r>
  <r>
    <s v="PK-101057"/>
    <x v="183"/>
    <s v="Johnny Sims"/>
    <s v="robinsonnicholas@ward-lee.biz"/>
    <n v="923093443452"/>
    <x v="7"/>
    <s v="Pakistan"/>
    <x v="2"/>
    <n v="2"/>
    <n v="10959"/>
    <n v="21918"/>
    <x v="5"/>
    <x v="1"/>
    <x v="1"/>
  </r>
  <r>
    <s v="PK-101058"/>
    <x v="109"/>
    <s v="Tracy Underwood"/>
    <s v="ibrown@yahoo.com"/>
    <n v="923259083485"/>
    <x v="7"/>
    <s v="Pakistan"/>
    <x v="5"/>
    <n v="3"/>
    <n v="2923"/>
    <n v="8769"/>
    <x v="4"/>
    <x v="7"/>
    <x v="2"/>
  </r>
  <r>
    <s v="PK-101059"/>
    <x v="202"/>
    <s v="Audrey Drake"/>
    <s v="meganjohnson@yahoo.com"/>
    <n v="923122460491"/>
    <x v="9"/>
    <s v="Pakistan"/>
    <x v="2"/>
    <n v="4"/>
    <n v="4954"/>
    <n v="19816"/>
    <x v="4"/>
    <x v="6"/>
    <x v="3"/>
  </r>
  <r>
    <s v="PK-101060"/>
    <x v="343"/>
    <s v="Greg Vargas"/>
    <s v="igonzales@vazquez.org"/>
    <n v="923340050279"/>
    <x v="1"/>
    <s v="Pakistan"/>
    <x v="4"/>
    <n v="2"/>
    <n v="2467"/>
    <n v="4934"/>
    <x v="0"/>
    <x v="3"/>
    <x v="0"/>
  </r>
  <r>
    <s v="PK-101061"/>
    <x v="184"/>
    <s v="Jeremy Boyd"/>
    <s v="ronaldsanchez@reid-ponce.com"/>
    <n v="923450354455"/>
    <x v="3"/>
    <s v="Pakistan"/>
    <x v="3"/>
    <n v="1"/>
    <n v="12031"/>
    <n v="12031"/>
    <x v="4"/>
    <x v="6"/>
    <x v="1"/>
  </r>
  <r>
    <s v="PK-101062"/>
    <x v="100"/>
    <s v="Hayley Freeman"/>
    <s v="tanyajohnson@martin.com"/>
    <n v="923162926981"/>
    <x v="5"/>
    <s v="Pakistan"/>
    <x v="3"/>
    <n v="2"/>
    <n v="13836"/>
    <n v="27672"/>
    <x v="3"/>
    <x v="7"/>
    <x v="3"/>
  </r>
  <r>
    <s v="PK-101063"/>
    <x v="5"/>
    <s v="Hannah Navarro"/>
    <s v="fschultz@hotmail.com"/>
    <n v="923219913072"/>
    <x v="2"/>
    <s v="Pakistan"/>
    <x v="4"/>
    <n v="4"/>
    <n v="7031"/>
    <n v="28124"/>
    <x v="2"/>
    <x v="4"/>
    <x v="2"/>
  </r>
  <r>
    <s v="PK-101064"/>
    <x v="290"/>
    <s v="Amanda Guerrero"/>
    <s v="nthomas@dean.com"/>
    <n v="923012726742"/>
    <x v="3"/>
    <s v="Pakistan"/>
    <x v="1"/>
    <n v="4"/>
    <n v="14573"/>
    <n v="58292"/>
    <x v="2"/>
    <x v="2"/>
    <x v="3"/>
  </r>
  <r>
    <s v="PK-101065"/>
    <x v="48"/>
    <s v="Steven King"/>
    <s v="christineevans@gmail.com"/>
    <n v="923216018784"/>
    <x v="6"/>
    <s v="Pakistan"/>
    <x v="0"/>
    <n v="4"/>
    <n v="12576"/>
    <n v="50304"/>
    <x v="4"/>
    <x v="0"/>
    <x v="3"/>
  </r>
  <r>
    <s v="PK-101066"/>
    <x v="330"/>
    <s v="David Perez"/>
    <s v="parrishkatie@moore-lewis.com"/>
    <n v="923486494962"/>
    <x v="3"/>
    <s v="Pakistan"/>
    <x v="5"/>
    <n v="5"/>
    <n v="9861"/>
    <n v="49305"/>
    <x v="0"/>
    <x v="5"/>
    <x v="0"/>
  </r>
  <r>
    <s v="PK-101067"/>
    <x v="29"/>
    <s v="Richard Sanchez"/>
    <s v="tylersydney@yahoo.com"/>
    <n v="923380457574"/>
    <x v="1"/>
    <s v="Pakistan"/>
    <x v="1"/>
    <n v="1"/>
    <n v="6955"/>
    <n v="6955"/>
    <x v="3"/>
    <x v="0"/>
    <x v="0"/>
  </r>
  <r>
    <s v="PK-101068"/>
    <x v="132"/>
    <s v="Edwin Burgess"/>
    <s v="thomasryan@moss-rodriguez.com"/>
    <n v="923060004091"/>
    <x v="3"/>
    <s v="Pakistan"/>
    <x v="3"/>
    <n v="2"/>
    <n v="2813"/>
    <n v="5626"/>
    <x v="1"/>
    <x v="5"/>
    <x v="1"/>
  </r>
  <r>
    <s v="PK-101069"/>
    <x v="297"/>
    <s v="Jacob Barajas"/>
    <s v="xwilliams@yahoo.com"/>
    <n v="923262719954"/>
    <x v="9"/>
    <s v="Pakistan"/>
    <x v="5"/>
    <n v="1"/>
    <n v="3285"/>
    <n v="3285"/>
    <x v="1"/>
    <x v="3"/>
    <x v="1"/>
  </r>
  <r>
    <s v="PK-101070"/>
    <x v="344"/>
    <s v="Karen Marshall"/>
    <s v="earnold@meyer.com"/>
    <n v="923278108289"/>
    <x v="6"/>
    <s v="Pakistan"/>
    <x v="4"/>
    <n v="5"/>
    <n v="8103"/>
    <n v="40515"/>
    <x v="2"/>
    <x v="4"/>
    <x v="2"/>
  </r>
  <r>
    <s v="PK-101071"/>
    <x v="328"/>
    <s v="Nicole Rodriguez"/>
    <s v="cathyjones@moore.org"/>
    <n v="923348057971"/>
    <x v="2"/>
    <s v="Pakistan"/>
    <x v="3"/>
    <n v="4"/>
    <n v="5417"/>
    <n v="21668"/>
    <x v="1"/>
    <x v="6"/>
    <x v="2"/>
  </r>
  <r>
    <s v="PK-101072"/>
    <x v="223"/>
    <s v="Wendy Walker"/>
    <s v="williamsveronica@yahoo.com"/>
    <n v="923453356512"/>
    <x v="9"/>
    <s v="Pakistan"/>
    <x v="3"/>
    <n v="5"/>
    <n v="9556"/>
    <n v="47780"/>
    <x v="3"/>
    <x v="2"/>
    <x v="1"/>
  </r>
  <r>
    <s v="PK-101073"/>
    <x v="2"/>
    <s v="Charles Bell"/>
    <s v="kaufmankim@parker.net"/>
    <n v="923023132082"/>
    <x v="5"/>
    <s v="Pakistan"/>
    <x v="2"/>
    <n v="1"/>
    <n v="7102"/>
    <n v="7102"/>
    <x v="3"/>
    <x v="1"/>
    <x v="1"/>
  </r>
  <r>
    <s v="PK-101074"/>
    <x v="30"/>
    <s v="Claudia Huff"/>
    <s v="walkercatherine@jones.com"/>
    <n v="923020559223"/>
    <x v="1"/>
    <s v="Pakistan"/>
    <x v="3"/>
    <n v="4"/>
    <n v="10386"/>
    <n v="41544"/>
    <x v="5"/>
    <x v="1"/>
    <x v="3"/>
  </r>
  <r>
    <s v="PK-101075"/>
    <x v="345"/>
    <s v="Donald Stewart"/>
    <s v="jennaward@yahoo.com"/>
    <n v="923345604334"/>
    <x v="3"/>
    <s v="Pakistan"/>
    <x v="5"/>
    <n v="2"/>
    <n v="1125"/>
    <n v="2250"/>
    <x v="4"/>
    <x v="2"/>
    <x v="3"/>
  </r>
  <r>
    <s v="PK-101076"/>
    <x v="64"/>
    <s v="Samuel Castro"/>
    <s v="melissa27@odonnell.net"/>
    <n v="923468053457"/>
    <x v="9"/>
    <s v="Pakistan"/>
    <x v="4"/>
    <n v="3"/>
    <n v="12166"/>
    <n v="36498"/>
    <x v="5"/>
    <x v="5"/>
    <x v="0"/>
  </r>
  <r>
    <s v="PK-101077"/>
    <x v="20"/>
    <s v="Kevin Gibbs"/>
    <s v="richardlam@gmail.com"/>
    <n v="923422925148"/>
    <x v="5"/>
    <s v="Pakistan"/>
    <x v="1"/>
    <n v="3"/>
    <n v="9432"/>
    <n v="28296"/>
    <x v="3"/>
    <x v="4"/>
    <x v="2"/>
  </r>
  <r>
    <s v="PK-101078"/>
    <x v="42"/>
    <s v="Jeffery Sheppard"/>
    <s v="mcneilryan@hudson.com"/>
    <n v="923274933515"/>
    <x v="0"/>
    <s v="Pakistan"/>
    <x v="4"/>
    <n v="2"/>
    <n v="7877"/>
    <n v="15754"/>
    <x v="4"/>
    <x v="0"/>
    <x v="1"/>
  </r>
  <r>
    <s v="PK-101079"/>
    <x v="346"/>
    <s v="Autumn Donovan"/>
    <s v="wilsonchristina@tate-dixon.com"/>
    <n v="923260729431"/>
    <x v="6"/>
    <s v="Pakistan"/>
    <x v="2"/>
    <n v="5"/>
    <n v="11449"/>
    <n v="57245"/>
    <x v="5"/>
    <x v="1"/>
    <x v="0"/>
  </r>
  <r>
    <s v="PK-101080"/>
    <x v="52"/>
    <s v="James Anderson"/>
    <s v="zrobinson@hotmail.com"/>
    <n v="923477900634"/>
    <x v="6"/>
    <s v="Pakistan"/>
    <x v="2"/>
    <n v="5"/>
    <n v="1933"/>
    <n v="9665"/>
    <x v="3"/>
    <x v="5"/>
    <x v="3"/>
  </r>
  <r>
    <s v="PK-101081"/>
    <x v="347"/>
    <s v="April Olson"/>
    <s v="xreed@lambert.com"/>
    <n v="923320026304"/>
    <x v="1"/>
    <s v="Pakistan"/>
    <x v="1"/>
    <n v="3"/>
    <n v="1554"/>
    <n v="4662"/>
    <x v="1"/>
    <x v="0"/>
    <x v="1"/>
  </r>
  <r>
    <s v="PK-101082"/>
    <x v="191"/>
    <s v="Laura Blackburn"/>
    <s v="emurray@yahoo.com"/>
    <n v="923371911318"/>
    <x v="3"/>
    <s v="Pakistan"/>
    <x v="4"/>
    <n v="3"/>
    <n v="8859"/>
    <n v="26577"/>
    <x v="2"/>
    <x v="5"/>
    <x v="2"/>
  </r>
  <r>
    <s v="PK-101083"/>
    <x v="111"/>
    <s v="Edward Branch MD"/>
    <s v="nicholas16@gmail.com"/>
    <n v="923207785421"/>
    <x v="7"/>
    <s v="Pakistan"/>
    <x v="2"/>
    <n v="1"/>
    <n v="4584"/>
    <n v="4584"/>
    <x v="4"/>
    <x v="3"/>
    <x v="2"/>
  </r>
  <r>
    <s v="PK-101084"/>
    <x v="128"/>
    <s v="Timothy Mccarthy"/>
    <s v="barnesjustin@deleon.com"/>
    <n v="923073669740"/>
    <x v="1"/>
    <s v="Pakistan"/>
    <x v="0"/>
    <n v="4"/>
    <n v="11204"/>
    <n v="44816"/>
    <x v="2"/>
    <x v="0"/>
    <x v="0"/>
  </r>
  <r>
    <s v="PK-101085"/>
    <x v="103"/>
    <s v="Samantha Medina"/>
    <s v="andersonerica@lewis.com"/>
    <n v="923283057973"/>
    <x v="7"/>
    <s v="Pakistan"/>
    <x v="5"/>
    <n v="2"/>
    <n v="1526"/>
    <n v="3052"/>
    <x v="0"/>
    <x v="5"/>
    <x v="0"/>
  </r>
  <r>
    <s v="PK-101086"/>
    <x v="306"/>
    <s v="Jonathan Hernandez"/>
    <s v="guzmanjames@hotmail.com"/>
    <n v="923011458348"/>
    <x v="1"/>
    <s v="Pakistan"/>
    <x v="4"/>
    <n v="3"/>
    <n v="2993"/>
    <n v="8979"/>
    <x v="0"/>
    <x v="3"/>
    <x v="2"/>
  </r>
  <r>
    <s v="PK-101087"/>
    <x v="292"/>
    <s v="Lisa Hanson"/>
    <s v="zjimenez@johnson.com"/>
    <n v="923108777303"/>
    <x v="6"/>
    <s v="Pakistan"/>
    <x v="4"/>
    <n v="2"/>
    <n v="9406"/>
    <n v="18812"/>
    <x v="3"/>
    <x v="7"/>
    <x v="3"/>
  </r>
  <r>
    <s v="PK-101088"/>
    <x v="75"/>
    <s v="Jonathan Morrison"/>
    <s v="mitchell65@jackson.biz"/>
    <n v="923196867107"/>
    <x v="7"/>
    <s v="Pakistan"/>
    <x v="1"/>
    <n v="1"/>
    <n v="5446"/>
    <n v="5446"/>
    <x v="2"/>
    <x v="1"/>
    <x v="0"/>
  </r>
  <r>
    <s v="PK-101089"/>
    <x v="267"/>
    <s v="Connie Morrison"/>
    <s v="ycurry@berger.biz"/>
    <n v="923308533253"/>
    <x v="8"/>
    <s v="Pakistan"/>
    <x v="5"/>
    <n v="2"/>
    <n v="5223"/>
    <n v="10446"/>
    <x v="1"/>
    <x v="4"/>
    <x v="0"/>
  </r>
  <r>
    <s v="PK-101090"/>
    <x v="32"/>
    <s v="Richard Lee"/>
    <s v="steven36@gmail.com"/>
    <n v="923130728671"/>
    <x v="6"/>
    <s v="Pakistan"/>
    <x v="2"/>
    <n v="4"/>
    <n v="2584"/>
    <n v="10336"/>
    <x v="4"/>
    <x v="5"/>
    <x v="2"/>
  </r>
  <r>
    <s v="PK-101091"/>
    <x v="201"/>
    <s v="James Hogan"/>
    <s v="jennymartin@hotmail.com"/>
    <n v="923474916388"/>
    <x v="6"/>
    <s v="Pakistan"/>
    <x v="4"/>
    <n v="4"/>
    <n v="13667"/>
    <n v="54668"/>
    <x v="5"/>
    <x v="2"/>
    <x v="1"/>
  </r>
  <r>
    <s v="PK-101092"/>
    <x v="181"/>
    <s v="William Mueller"/>
    <s v="shane07@yahoo.com"/>
    <n v="923211729574"/>
    <x v="8"/>
    <s v="Pakistan"/>
    <x v="2"/>
    <n v="4"/>
    <n v="12804"/>
    <n v="51216"/>
    <x v="5"/>
    <x v="0"/>
    <x v="0"/>
  </r>
  <r>
    <s v="PK-101093"/>
    <x v="207"/>
    <s v="Lee Taylor"/>
    <s v="hawkinsmichael@davis.com"/>
    <n v="923164118724"/>
    <x v="8"/>
    <s v="Pakistan"/>
    <x v="4"/>
    <n v="4"/>
    <n v="4692"/>
    <n v="18768"/>
    <x v="5"/>
    <x v="3"/>
    <x v="2"/>
  </r>
  <r>
    <s v="PK-101094"/>
    <x v="119"/>
    <s v="Eric Stone"/>
    <s v="jessicastevens@martinez.net"/>
    <n v="923402967101"/>
    <x v="4"/>
    <s v="Pakistan"/>
    <x v="1"/>
    <n v="3"/>
    <n v="10781"/>
    <n v="32343"/>
    <x v="5"/>
    <x v="1"/>
    <x v="0"/>
  </r>
  <r>
    <s v="PK-101095"/>
    <x v="300"/>
    <s v="Kenneth Rowland"/>
    <s v="carrie99@gmail.com"/>
    <n v="923228134615"/>
    <x v="5"/>
    <s v="Pakistan"/>
    <x v="5"/>
    <n v="2"/>
    <n v="11816"/>
    <n v="23632"/>
    <x v="5"/>
    <x v="5"/>
    <x v="1"/>
  </r>
  <r>
    <s v="PK-101096"/>
    <x v="167"/>
    <s v="Maria Farley"/>
    <s v="sbond@atkinson.com"/>
    <n v="923123302694"/>
    <x v="6"/>
    <s v="Pakistan"/>
    <x v="2"/>
    <n v="1"/>
    <n v="10257"/>
    <n v="10257"/>
    <x v="0"/>
    <x v="1"/>
    <x v="1"/>
  </r>
  <r>
    <s v="PK-101097"/>
    <x v="204"/>
    <s v="Felicia Stephens"/>
    <s v="douglas27@yahoo.com"/>
    <n v="923473089923"/>
    <x v="4"/>
    <s v="Pakistan"/>
    <x v="5"/>
    <n v="5"/>
    <n v="3708"/>
    <n v="18540"/>
    <x v="4"/>
    <x v="6"/>
    <x v="1"/>
  </r>
  <r>
    <s v="PK-101098"/>
    <x v="144"/>
    <s v="Michael Hull"/>
    <s v="patriciarichardson@gmail.com"/>
    <n v="923417751437"/>
    <x v="1"/>
    <s v="Pakistan"/>
    <x v="3"/>
    <n v="3"/>
    <n v="10643"/>
    <n v="31929"/>
    <x v="4"/>
    <x v="7"/>
    <x v="0"/>
  </r>
  <r>
    <s v="PK-101099"/>
    <x v="233"/>
    <s v="Kayla Banks"/>
    <s v="qalvarez@murray-carr.com"/>
    <n v="923320086857"/>
    <x v="7"/>
    <s v="Pakistan"/>
    <x v="1"/>
    <n v="4"/>
    <n v="14686"/>
    <n v="58744"/>
    <x v="5"/>
    <x v="5"/>
    <x v="0"/>
  </r>
  <r>
    <s v="PK-101100"/>
    <x v="91"/>
    <s v="Gary Brown"/>
    <s v="huangjoshua@yahoo.com"/>
    <n v="923288157559"/>
    <x v="2"/>
    <s v="Pakistan"/>
    <x v="1"/>
    <n v="4"/>
    <n v="5157"/>
    <n v="20628"/>
    <x v="3"/>
    <x v="1"/>
    <x v="0"/>
  </r>
  <r>
    <s v="PK-101101"/>
    <x v="133"/>
    <s v="Mary Arellano"/>
    <s v="desiree89@perez.net"/>
    <n v="923413219808"/>
    <x v="5"/>
    <s v="Pakistan"/>
    <x v="2"/>
    <n v="2"/>
    <n v="2554"/>
    <n v="5108"/>
    <x v="2"/>
    <x v="1"/>
    <x v="2"/>
  </r>
  <r>
    <s v="PK-101102"/>
    <x v="178"/>
    <s v="Adam Myers"/>
    <s v="eric01@gmail.com"/>
    <n v="923238753896"/>
    <x v="2"/>
    <s v="Pakistan"/>
    <x v="1"/>
    <n v="2"/>
    <n v="3147"/>
    <n v="6294"/>
    <x v="0"/>
    <x v="3"/>
    <x v="0"/>
  </r>
  <r>
    <s v="PK-101103"/>
    <x v="153"/>
    <s v="Rachel Morales"/>
    <s v="kevingonzalez@taylor.org"/>
    <n v="923375436009"/>
    <x v="8"/>
    <s v="Pakistan"/>
    <x v="3"/>
    <n v="1"/>
    <n v="5550"/>
    <n v="5550"/>
    <x v="3"/>
    <x v="2"/>
    <x v="2"/>
  </r>
  <r>
    <s v="PK-101104"/>
    <x v="55"/>
    <s v="David Torres"/>
    <s v="kaitlyn67@gmail.com"/>
    <n v="923050857569"/>
    <x v="8"/>
    <s v="Pakistan"/>
    <x v="0"/>
    <n v="5"/>
    <n v="14505"/>
    <n v="72525"/>
    <x v="0"/>
    <x v="5"/>
    <x v="2"/>
  </r>
  <r>
    <s v="PK-101105"/>
    <x v="201"/>
    <s v="Jennifer Tucker"/>
    <s v="donna20@hotmail.com"/>
    <n v="923016882775"/>
    <x v="8"/>
    <s v="Pakistan"/>
    <x v="1"/>
    <n v="2"/>
    <n v="10410"/>
    <n v="20820"/>
    <x v="2"/>
    <x v="5"/>
    <x v="3"/>
  </r>
  <r>
    <s v="PK-101106"/>
    <x v="205"/>
    <s v="Angelica Nolan"/>
    <s v="michelleturner@yahoo.com"/>
    <n v="923490179938"/>
    <x v="4"/>
    <s v="Pakistan"/>
    <x v="4"/>
    <n v="4"/>
    <n v="5054"/>
    <n v="20216"/>
    <x v="5"/>
    <x v="5"/>
    <x v="3"/>
  </r>
  <r>
    <s v="PK-101107"/>
    <x v="297"/>
    <s v="Angela Woods"/>
    <s v="judymaynard@pacheco.com"/>
    <n v="923031547241"/>
    <x v="5"/>
    <s v="Pakistan"/>
    <x v="3"/>
    <n v="2"/>
    <n v="1059"/>
    <n v="2118"/>
    <x v="1"/>
    <x v="1"/>
    <x v="1"/>
  </r>
  <r>
    <s v="PK-101108"/>
    <x v="316"/>
    <s v="Lisa Johnson"/>
    <s v="jrice@nunez-nicholson.com"/>
    <n v="923371901778"/>
    <x v="7"/>
    <s v="Pakistan"/>
    <x v="3"/>
    <n v="5"/>
    <n v="4357"/>
    <n v="21785"/>
    <x v="5"/>
    <x v="3"/>
    <x v="1"/>
  </r>
  <r>
    <s v="PK-101109"/>
    <x v="348"/>
    <s v="Rachel Kane"/>
    <s v="james76@robinson.com"/>
    <n v="923069482713"/>
    <x v="9"/>
    <s v="Pakistan"/>
    <x v="2"/>
    <n v="5"/>
    <n v="3332"/>
    <n v="16660"/>
    <x v="4"/>
    <x v="5"/>
    <x v="2"/>
  </r>
  <r>
    <s v="PK-101110"/>
    <x v="349"/>
    <s v="Christopher Willis"/>
    <s v="christopher11@pruitt.info"/>
    <n v="923248389452"/>
    <x v="5"/>
    <s v="Pakistan"/>
    <x v="2"/>
    <n v="4"/>
    <n v="6124"/>
    <n v="24496"/>
    <x v="1"/>
    <x v="3"/>
    <x v="2"/>
  </r>
  <r>
    <s v="PK-101111"/>
    <x v="89"/>
    <s v="Thomas Moore"/>
    <s v="smiller@yahoo.com"/>
    <n v="923422935670"/>
    <x v="2"/>
    <s v="Pakistan"/>
    <x v="3"/>
    <n v="2"/>
    <n v="8089"/>
    <n v="16178"/>
    <x v="1"/>
    <x v="5"/>
    <x v="1"/>
  </r>
  <r>
    <s v="PK-101112"/>
    <x v="137"/>
    <s v="Caitlin Evans"/>
    <s v="btorres@hill-gutierrez.com"/>
    <n v="923202832401"/>
    <x v="7"/>
    <s v="Pakistan"/>
    <x v="5"/>
    <n v="1"/>
    <n v="2058"/>
    <n v="2058"/>
    <x v="3"/>
    <x v="6"/>
    <x v="0"/>
  </r>
  <r>
    <s v="PK-101113"/>
    <x v="95"/>
    <s v="Teresa Vance"/>
    <s v="jesus40@gmail.com"/>
    <n v="923352673471"/>
    <x v="5"/>
    <s v="Pakistan"/>
    <x v="5"/>
    <n v="2"/>
    <n v="10143"/>
    <n v="20286"/>
    <x v="3"/>
    <x v="1"/>
    <x v="3"/>
  </r>
  <r>
    <s v="PK-101114"/>
    <x v="7"/>
    <s v="John Morrison"/>
    <s v="kelsey67@johnson-clark.com"/>
    <n v="923340030258"/>
    <x v="6"/>
    <s v="Pakistan"/>
    <x v="3"/>
    <n v="3"/>
    <n v="1903"/>
    <n v="5709"/>
    <x v="3"/>
    <x v="0"/>
    <x v="2"/>
  </r>
  <r>
    <s v="PK-101115"/>
    <x v="178"/>
    <s v="Sarah Alvarez"/>
    <s v="austinwhite@hughes.com"/>
    <n v="923069961796"/>
    <x v="7"/>
    <s v="Pakistan"/>
    <x v="4"/>
    <n v="3"/>
    <n v="7905"/>
    <n v="23715"/>
    <x v="4"/>
    <x v="1"/>
    <x v="0"/>
  </r>
  <r>
    <s v="PK-101116"/>
    <x v="156"/>
    <s v="Laura Case"/>
    <s v="troycole@ball.org"/>
    <n v="923299654370"/>
    <x v="6"/>
    <s v="Pakistan"/>
    <x v="5"/>
    <n v="4"/>
    <n v="12934"/>
    <n v="51736"/>
    <x v="3"/>
    <x v="4"/>
    <x v="1"/>
  </r>
  <r>
    <s v="PK-101117"/>
    <x v="28"/>
    <s v="Carl Monroe"/>
    <s v="taylorward@gmail.com"/>
    <n v="923221607785"/>
    <x v="7"/>
    <s v="Pakistan"/>
    <x v="0"/>
    <n v="1"/>
    <n v="9634"/>
    <n v="9634"/>
    <x v="0"/>
    <x v="6"/>
    <x v="3"/>
  </r>
  <r>
    <s v="PK-101118"/>
    <x v="230"/>
    <s v="Robert Wilson"/>
    <s v="tyler07@duncan.com"/>
    <n v="923297326569"/>
    <x v="8"/>
    <s v="Pakistan"/>
    <x v="2"/>
    <n v="2"/>
    <n v="6653"/>
    <n v="13306"/>
    <x v="3"/>
    <x v="6"/>
    <x v="0"/>
  </r>
  <r>
    <s v="PK-101119"/>
    <x v="292"/>
    <s v="Michele Moore"/>
    <s v="veronicaramirez@gmail.com"/>
    <n v="923230083770"/>
    <x v="3"/>
    <s v="Pakistan"/>
    <x v="0"/>
    <n v="4"/>
    <n v="5654"/>
    <n v="22616"/>
    <x v="1"/>
    <x v="1"/>
    <x v="3"/>
  </r>
  <r>
    <s v="PK-101120"/>
    <x v="149"/>
    <s v="Pamela Joseph"/>
    <s v="christopheraguilar@hotmail.com"/>
    <n v="923077344199"/>
    <x v="9"/>
    <s v="Pakistan"/>
    <x v="4"/>
    <n v="1"/>
    <n v="14790"/>
    <n v="14790"/>
    <x v="4"/>
    <x v="6"/>
    <x v="3"/>
  </r>
  <r>
    <s v="PK-101121"/>
    <x v="77"/>
    <s v="Jeremy Abbott"/>
    <s v="qryan@murphy-gaines.com"/>
    <n v="923020947485"/>
    <x v="3"/>
    <s v="Pakistan"/>
    <x v="5"/>
    <n v="4"/>
    <n v="4290"/>
    <n v="17160"/>
    <x v="3"/>
    <x v="6"/>
    <x v="0"/>
  </r>
  <r>
    <s v="PK-101122"/>
    <x v="255"/>
    <s v="Matthew Cantu"/>
    <s v="coopererin@gmail.com"/>
    <n v="923055596944"/>
    <x v="6"/>
    <s v="Pakistan"/>
    <x v="0"/>
    <n v="4"/>
    <n v="13502"/>
    <n v="54008"/>
    <x v="5"/>
    <x v="2"/>
    <x v="0"/>
  </r>
  <r>
    <s v="PK-101123"/>
    <x v="213"/>
    <s v="Michael Hayes"/>
    <s v="lunamichael@hendricks.com"/>
    <n v="923231750758"/>
    <x v="5"/>
    <s v="Pakistan"/>
    <x v="2"/>
    <n v="1"/>
    <n v="4809"/>
    <n v="4809"/>
    <x v="4"/>
    <x v="3"/>
    <x v="0"/>
  </r>
  <r>
    <s v="PK-101124"/>
    <x v="137"/>
    <s v="Mary Weaver"/>
    <s v="edwardsanthony@yahoo.com"/>
    <n v="923330320748"/>
    <x v="3"/>
    <s v="Pakistan"/>
    <x v="3"/>
    <n v="5"/>
    <n v="4581"/>
    <n v="22905"/>
    <x v="3"/>
    <x v="3"/>
    <x v="3"/>
  </r>
  <r>
    <s v="PK-101125"/>
    <x v="323"/>
    <s v="Christopher Wright"/>
    <s v="lisamoore@yahoo.com"/>
    <n v="923148379567"/>
    <x v="7"/>
    <s v="Pakistan"/>
    <x v="5"/>
    <n v="5"/>
    <n v="1781"/>
    <n v="8905"/>
    <x v="3"/>
    <x v="6"/>
    <x v="2"/>
  </r>
  <r>
    <s v="PK-101126"/>
    <x v="34"/>
    <s v="Jeanne Leblanc"/>
    <s v="elizabeth53@hotmail.com"/>
    <n v="923433657756"/>
    <x v="6"/>
    <s v="Pakistan"/>
    <x v="0"/>
    <n v="4"/>
    <n v="5011"/>
    <n v="20044"/>
    <x v="2"/>
    <x v="3"/>
    <x v="0"/>
  </r>
  <r>
    <s v="PK-101127"/>
    <x v="172"/>
    <s v="Alex Calhoun"/>
    <s v="alexis35@yahoo.com"/>
    <n v="923067061987"/>
    <x v="9"/>
    <s v="Pakistan"/>
    <x v="5"/>
    <n v="2"/>
    <n v="5338"/>
    <n v="10676"/>
    <x v="1"/>
    <x v="3"/>
    <x v="2"/>
  </r>
  <r>
    <s v="PK-101128"/>
    <x v="0"/>
    <s v="Nicole Lucero"/>
    <s v="leemark@gmail.com"/>
    <n v="923364652019"/>
    <x v="7"/>
    <s v="Pakistan"/>
    <x v="5"/>
    <n v="4"/>
    <n v="5603"/>
    <n v="22412"/>
    <x v="3"/>
    <x v="3"/>
    <x v="1"/>
  </r>
  <r>
    <s v="PK-101129"/>
    <x v="144"/>
    <s v="Robert Reynolds"/>
    <s v="jasonwalsh@jackson.com"/>
    <n v="923021417921"/>
    <x v="2"/>
    <s v="Pakistan"/>
    <x v="1"/>
    <n v="4"/>
    <n v="2649"/>
    <n v="10596"/>
    <x v="0"/>
    <x v="2"/>
    <x v="3"/>
  </r>
  <r>
    <s v="PK-101130"/>
    <x v="114"/>
    <s v="Chase Gutierrez"/>
    <s v="martinezdaniel@gmail.com"/>
    <n v="923180718407"/>
    <x v="6"/>
    <s v="Pakistan"/>
    <x v="5"/>
    <n v="2"/>
    <n v="5600"/>
    <n v="11200"/>
    <x v="4"/>
    <x v="0"/>
    <x v="3"/>
  </r>
  <r>
    <s v="PK-101131"/>
    <x v="316"/>
    <s v="Melissa Hendrix"/>
    <s v="howardhannah@avila.biz"/>
    <n v="923032762304"/>
    <x v="7"/>
    <s v="Pakistan"/>
    <x v="4"/>
    <n v="3"/>
    <n v="4708"/>
    <n v="14124"/>
    <x v="5"/>
    <x v="5"/>
    <x v="1"/>
  </r>
  <r>
    <s v="PK-101132"/>
    <x v="163"/>
    <s v="Isaac Miller"/>
    <s v="connie92@meyer.com"/>
    <n v="923065647085"/>
    <x v="6"/>
    <s v="Pakistan"/>
    <x v="1"/>
    <n v="2"/>
    <n v="8269"/>
    <n v="16538"/>
    <x v="4"/>
    <x v="2"/>
    <x v="3"/>
  </r>
  <r>
    <s v="PK-101133"/>
    <x v="134"/>
    <s v="Patrick Ryan"/>
    <s v="adriana79@hotmail.com"/>
    <n v="923053168702"/>
    <x v="2"/>
    <s v="Pakistan"/>
    <x v="4"/>
    <n v="5"/>
    <n v="13600"/>
    <n v="68000"/>
    <x v="3"/>
    <x v="7"/>
    <x v="2"/>
  </r>
  <r>
    <s v="PK-101134"/>
    <x v="349"/>
    <s v="Kathy Harrison"/>
    <s v="conleyaustin@hotmail.com"/>
    <n v="923401188158"/>
    <x v="0"/>
    <s v="Pakistan"/>
    <x v="4"/>
    <n v="1"/>
    <n v="5347"/>
    <n v="5347"/>
    <x v="2"/>
    <x v="5"/>
    <x v="2"/>
  </r>
  <r>
    <s v="PK-101135"/>
    <x v="130"/>
    <s v="Anthony Rodriguez"/>
    <s v="josejohnson@peters.net"/>
    <n v="923422671916"/>
    <x v="7"/>
    <s v="Pakistan"/>
    <x v="0"/>
    <n v="1"/>
    <n v="6592"/>
    <n v="6592"/>
    <x v="3"/>
    <x v="1"/>
    <x v="2"/>
  </r>
  <r>
    <s v="PK-101136"/>
    <x v="291"/>
    <s v="Felicia White"/>
    <s v="cwilliams@washington.biz"/>
    <n v="923333934490"/>
    <x v="0"/>
    <s v="Pakistan"/>
    <x v="2"/>
    <n v="2"/>
    <n v="7892"/>
    <n v="15784"/>
    <x v="2"/>
    <x v="0"/>
    <x v="1"/>
  </r>
  <r>
    <s v="PK-101137"/>
    <x v="145"/>
    <s v="Charles Whitehead"/>
    <s v="judithfoster@yahoo.com"/>
    <n v="923295293228"/>
    <x v="5"/>
    <s v="Pakistan"/>
    <x v="2"/>
    <n v="4"/>
    <n v="13465"/>
    <n v="53860"/>
    <x v="0"/>
    <x v="7"/>
    <x v="3"/>
  </r>
  <r>
    <s v="PK-101138"/>
    <x v="169"/>
    <s v="Joe Sims"/>
    <s v="phyllis06@gmail.com"/>
    <n v="923134765541"/>
    <x v="5"/>
    <s v="Pakistan"/>
    <x v="0"/>
    <n v="3"/>
    <n v="6554"/>
    <n v="19662"/>
    <x v="2"/>
    <x v="5"/>
    <x v="2"/>
  </r>
  <r>
    <s v="PK-101139"/>
    <x v="120"/>
    <s v="Jesse Ritter"/>
    <s v="gsmith@hotmail.com"/>
    <n v="923255338090"/>
    <x v="2"/>
    <s v="Pakistan"/>
    <x v="0"/>
    <n v="4"/>
    <n v="10856"/>
    <n v="43424"/>
    <x v="3"/>
    <x v="0"/>
    <x v="3"/>
  </r>
  <r>
    <s v="PK-101140"/>
    <x v="119"/>
    <s v="Henry Jackson"/>
    <s v="ymyers@peterson-luna.com"/>
    <n v="923419554568"/>
    <x v="1"/>
    <s v="Pakistan"/>
    <x v="5"/>
    <n v="1"/>
    <n v="10444"/>
    <n v="10444"/>
    <x v="4"/>
    <x v="3"/>
    <x v="3"/>
  </r>
  <r>
    <s v="PK-101141"/>
    <x v="184"/>
    <s v="Shannon Wolf"/>
    <s v="morarobert@gmail.com"/>
    <n v="923074939242"/>
    <x v="6"/>
    <s v="Pakistan"/>
    <x v="5"/>
    <n v="3"/>
    <n v="6050"/>
    <n v="18150"/>
    <x v="2"/>
    <x v="2"/>
    <x v="3"/>
  </r>
  <r>
    <s v="PK-101142"/>
    <x v="215"/>
    <s v="Brittany Little"/>
    <s v="michael51@yahoo.com"/>
    <n v="923095057135"/>
    <x v="3"/>
    <s v="Pakistan"/>
    <x v="3"/>
    <n v="2"/>
    <n v="2382"/>
    <n v="4764"/>
    <x v="4"/>
    <x v="7"/>
    <x v="2"/>
  </r>
  <r>
    <s v="PK-101143"/>
    <x v="135"/>
    <s v="Russell Bishop"/>
    <s v="smithmeghan@hotmail.com"/>
    <n v="923164513693"/>
    <x v="0"/>
    <s v="Pakistan"/>
    <x v="0"/>
    <n v="1"/>
    <n v="1850"/>
    <n v="1850"/>
    <x v="1"/>
    <x v="3"/>
    <x v="0"/>
  </r>
  <r>
    <s v="PK-101144"/>
    <x v="203"/>
    <s v="Richard Clark"/>
    <s v="matthew72@lamb.com"/>
    <n v="923022935751"/>
    <x v="4"/>
    <s v="Pakistan"/>
    <x v="2"/>
    <n v="3"/>
    <n v="10495"/>
    <n v="31485"/>
    <x v="5"/>
    <x v="2"/>
    <x v="1"/>
  </r>
  <r>
    <s v="PK-101145"/>
    <x v="196"/>
    <s v="Luis Vaughn"/>
    <s v="dgiles@gmail.com"/>
    <n v="923347860342"/>
    <x v="5"/>
    <s v="Pakistan"/>
    <x v="3"/>
    <n v="3"/>
    <n v="14211"/>
    <n v="42633"/>
    <x v="4"/>
    <x v="2"/>
    <x v="1"/>
  </r>
  <r>
    <s v="PK-101146"/>
    <x v="141"/>
    <s v="Rachel Chavez"/>
    <s v="tburns@lopez-cardenas.org"/>
    <n v="923444640633"/>
    <x v="8"/>
    <s v="Pakistan"/>
    <x v="1"/>
    <n v="3"/>
    <n v="11496"/>
    <n v="34488"/>
    <x v="0"/>
    <x v="3"/>
    <x v="1"/>
  </r>
  <r>
    <s v="PK-101147"/>
    <x v="119"/>
    <s v="Jennifer Montoya"/>
    <s v="david75@gmail.com"/>
    <n v="923216201869"/>
    <x v="2"/>
    <s v="Pakistan"/>
    <x v="2"/>
    <n v="3"/>
    <n v="11188"/>
    <n v="33564"/>
    <x v="4"/>
    <x v="2"/>
    <x v="3"/>
  </r>
  <r>
    <s v="PK-101148"/>
    <x v="116"/>
    <s v="Ryan Parrish"/>
    <s v="hjacobs@mack.com"/>
    <n v="923437891650"/>
    <x v="1"/>
    <s v="Pakistan"/>
    <x v="4"/>
    <n v="1"/>
    <n v="5655"/>
    <n v="5655"/>
    <x v="0"/>
    <x v="1"/>
    <x v="0"/>
  </r>
  <r>
    <s v="PK-101149"/>
    <x v="246"/>
    <s v="Troy Walker"/>
    <s v="pbutler@patterson-flores.com"/>
    <n v="923060855212"/>
    <x v="8"/>
    <s v="Pakistan"/>
    <x v="0"/>
    <n v="2"/>
    <n v="10319"/>
    <n v="20638"/>
    <x v="3"/>
    <x v="1"/>
    <x v="2"/>
  </r>
  <r>
    <s v="PK-101150"/>
    <x v="344"/>
    <s v="Cody Martinez"/>
    <s v="christyjohnson@perez-gonzalez.com"/>
    <n v="923361537277"/>
    <x v="0"/>
    <s v="Pakistan"/>
    <x v="2"/>
    <n v="5"/>
    <n v="13552"/>
    <n v="67760"/>
    <x v="1"/>
    <x v="0"/>
    <x v="0"/>
  </r>
  <r>
    <s v="PK-101151"/>
    <x v="182"/>
    <s v="Dennis Brown"/>
    <s v="keith84@patel.biz"/>
    <n v="923338360373"/>
    <x v="8"/>
    <s v="Pakistan"/>
    <x v="5"/>
    <n v="3"/>
    <n v="4010"/>
    <n v="12030"/>
    <x v="3"/>
    <x v="7"/>
    <x v="1"/>
  </r>
  <r>
    <s v="PK-101152"/>
    <x v="334"/>
    <s v="Kevin Torres"/>
    <s v="joshuadonaldson@callahan.org"/>
    <n v="923481678382"/>
    <x v="7"/>
    <s v="Pakistan"/>
    <x v="0"/>
    <n v="1"/>
    <n v="3178"/>
    <n v="3178"/>
    <x v="4"/>
    <x v="4"/>
    <x v="1"/>
  </r>
  <r>
    <s v="PK-101153"/>
    <x v="288"/>
    <s v="Dale Smith MD"/>
    <s v="jasongamble@gmail.com"/>
    <n v="923412732066"/>
    <x v="9"/>
    <s v="Pakistan"/>
    <x v="3"/>
    <n v="4"/>
    <n v="10177"/>
    <n v="40708"/>
    <x v="5"/>
    <x v="1"/>
    <x v="1"/>
  </r>
  <r>
    <s v="PK-101154"/>
    <x v="334"/>
    <s v="Melissa Dawson"/>
    <s v="cynthiajenkins@gmail.com"/>
    <n v="923098673459"/>
    <x v="5"/>
    <s v="Pakistan"/>
    <x v="0"/>
    <n v="3"/>
    <n v="3930"/>
    <n v="11790"/>
    <x v="3"/>
    <x v="2"/>
    <x v="3"/>
  </r>
  <r>
    <s v="PK-101155"/>
    <x v="311"/>
    <s v="Craig Chan"/>
    <s v="snowmegan@hotmail.com"/>
    <n v="923138305578"/>
    <x v="5"/>
    <s v="Pakistan"/>
    <x v="1"/>
    <n v="4"/>
    <n v="8818"/>
    <n v="35272"/>
    <x v="3"/>
    <x v="5"/>
    <x v="2"/>
  </r>
  <r>
    <s v="PK-101156"/>
    <x v="66"/>
    <s v="Keith Christian"/>
    <s v="michael60@brady.com"/>
    <n v="923050217927"/>
    <x v="9"/>
    <s v="Pakistan"/>
    <x v="5"/>
    <n v="4"/>
    <n v="13679"/>
    <n v="54716"/>
    <x v="3"/>
    <x v="4"/>
    <x v="1"/>
  </r>
  <r>
    <s v="PK-101157"/>
    <x v="171"/>
    <s v="Kevin Smith"/>
    <s v="paulkaitlin@yahoo.com"/>
    <n v="923334987222"/>
    <x v="5"/>
    <s v="Pakistan"/>
    <x v="0"/>
    <n v="1"/>
    <n v="5133"/>
    <n v="5133"/>
    <x v="3"/>
    <x v="4"/>
    <x v="3"/>
  </r>
  <r>
    <s v="PK-101158"/>
    <x v="219"/>
    <s v="Bradley Walker"/>
    <s v="carolynjones@price-smith.com"/>
    <n v="923330106625"/>
    <x v="4"/>
    <s v="Pakistan"/>
    <x v="1"/>
    <n v="1"/>
    <n v="14809"/>
    <n v="14809"/>
    <x v="0"/>
    <x v="3"/>
    <x v="2"/>
  </r>
  <r>
    <s v="PK-101159"/>
    <x v="262"/>
    <s v="Elizabeth Hanson"/>
    <s v="cmiller@simpson-bass.net"/>
    <n v="923110226337"/>
    <x v="7"/>
    <s v="Pakistan"/>
    <x v="5"/>
    <n v="4"/>
    <n v="12880"/>
    <n v="51520"/>
    <x v="5"/>
    <x v="3"/>
    <x v="1"/>
  </r>
  <r>
    <s v="PK-101160"/>
    <x v="266"/>
    <s v="Laurie Price"/>
    <s v="micheal58@yahoo.com"/>
    <n v="923401650196"/>
    <x v="2"/>
    <s v="Pakistan"/>
    <x v="4"/>
    <n v="1"/>
    <n v="7374"/>
    <n v="7374"/>
    <x v="5"/>
    <x v="2"/>
    <x v="0"/>
  </r>
  <r>
    <s v="PK-101161"/>
    <x v="47"/>
    <s v="George Oliver"/>
    <s v="hendricksalec@yahoo.com"/>
    <n v="923024166997"/>
    <x v="6"/>
    <s v="Pakistan"/>
    <x v="4"/>
    <n v="5"/>
    <n v="8703"/>
    <n v="43515"/>
    <x v="2"/>
    <x v="7"/>
    <x v="3"/>
  </r>
  <r>
    <s v="PK-101162"/>
    <x v="208"/>
    <s v="Spencer Henry"/>
    <s v="mayojonathan@stevenson.com"/>
    <n v="923079846577"/>
    <x v="6"/>
    <s v="Pakistan"/>
    <x v="4"/>
    <n v="5"/>
    <n v="6625"/>
    <n v="33125"/>
    <x v="4"/>
    <x v="2"/>
    <x v="1"/>
  </r>
  <r>
    <s v="PK-101163"/>
    <x v="14"/>
    <s v="Michael Saunders"/>
    <s v="lberg@hernandez-wright.biz"/>
    <n v="923275118322"/>
    <x v="5"/>
    <s v="Pakistan"/>
    <x v="3"/>
    <n v="1"/>
    <n v="12440"/>
    <n v="12440"/>
    <x v="3"/>
    <x v="1"/>
    <x v="0"/>
  </r>
  <r>
    <s v="PK-101164"/>
    <x v="98"/>
    <s v="Lisa Jimenez"/>
    <s v="xthomas@macias.org"/>
    <n v="923091818893"/>
    <x v="7"/>
    <s v="Pakistan"/>
    <x v="5"/>
    <n v="5"/>
    <n v="1175"/>
    <n v="5875"/>
    <x v="1"/>
    <x v="2"/>
    <x v="2"/>
  </r>
  <r>
    <s v="PK-101165"/>
    <x v="301"/>
    <s v="Eric Camacho"/>
    <s v="williamlynch@gmail.com"/>
    <n v="923325500249"/>
    <x v="5"/>
    <s v="Pakistan"/>
    <x v="5"/>
    <n v="2"/>
    <n v="8412"/>
    <n v="16824"/>
    <x v="0"/>
    <x v="0"/>
    <x v="3"/>
  </r>
  <r>
    <s v="PK-101166"/>
    <x v="195"/>
    <s v="Jason Hernandez"/>
    <s v="ricky16@gmail.com"/>
    <n v="923102283358"/>
    <x v="7"/>
    <s v="Pakistan"/>
    <x v="4"/>
    <n v="5"/>
    <n v="10888"/>
    <n v="54440"/>
    <x v="3"/>
    <x v="2"/>
    <x v="1"/>
  </r>
  <r>
    <s v="PK-101167"/>
    <x v="316"/>
    <s v="Victoria Barnes"/>
    <s v="thomasrobert@hotmail.com"/>
    <n v="923027886433"/>
    <x v="8"/>
    <s v="Pakistan"/>
    <x v="5"/>
    <n v="4"/>
    <n v="12785"/>
    <n v="51140"/>
    <x v="4"/>
    <x v="2"/>
    <x v="0"/>
  </r>
  <r>
    <s v="PK-101168"/>
    <x v="106"/>
    <s v="Brandon Bailey"/>
    <s v="griffithrobert@hotmail.com"/>
    <n v="923075630906"/>
    <x v="4"/>
    <s v="Pakistan"/>
    <x v="0"/>
    <n v="5"/>
    <n v="12522"/>
    <n v="62610"/>
    <x v="0"/>
    <x v="3"/>
    <x v="0"/>
  </r>
  <r>
    <s v="PK-101169"/>
    <x v="170"/>
    <s v="Nathan Myers"/>
    <s v="anthony06@bell-luna.org"/>
    <n v="923080086296"/>
    <x v="7"/>
    <s v="Pakistan"/>
    <x v="4"/>
    <n v="3"/>
    <n v="4042"/>
    <n v="12126"/>
    <x v="4"/>
    <x v="2"/>
    <x v="1"/>
  </r>
  <r>
    <s v="PK-101170"/>
    <x v="350"/>
    <s v="Theresa Castro"/>
    <s v="christinathompson@simmons.com"/>
    <n v="923265252537"/>
    <x v="2"/>
    <s v="Pakistan"/>
    <x v="1"/>
    <n v="1"/>
    <n v="10400"/>
    <n v="10400"/>
    <x v="4"/>
    <x v="1"/>
    <x v="1"/>
  </r>
  <r>
    <s v="PK-101171"/>
    <x v="125"/>
    <s v="Keith Nunez"/>
    <s v="andrew71@yahoo.com"/>
    <n v="923165095268"/>
    <x v="0"/>
    <s v="Pakistan"/>
    <x v="3"/>
    <n v="1"/>
    <n v="4074"/>
    <n v="4074"/>
    <x v="5"/>
    <x v="4"/>
    <x v="0"/>
  </r>
  <r>
    <s v="PK-101172"/>
    <x v="263"/>
    <s v="Sandra Baker"/>
    <s v="laurawalker@fox.com"/>
    <n v="923210685513"/>
    <x v="0"/>
    <s v="Pakistan"/>
    <x v="1"/>
    <n v="2"/>
    <n v="2321"/>
    <n v="4642"/>
    <x v="1"/>
    <x v="4"/>
    <x v="3"/>
  </r>
  <r>
    <s v="PK-101173"/>
    <x v="232"/>
    <s v="Kathy Jones"/>
    <s v="ryan43@carrillo.biz"/>
    <n v="923243373952"/>
    <x v="2"/>
    <s v="Pakistan"/>
    <x v="4"/>
    <n v="1"/>
    <n v="7833"/>
    <n v="7833"/>
    <x v="2"/>
    <x v="0"/>
    <x v="2"/>
  </r>
  <r>
    <s v="PK-101174"/>
    <x v="148"/>
    <s v="Danielle Smith"/>
    <s v="brentpalmer@mueller.com"/>
    <n v="923410255153"/>
    <x v="6"/>
    <s v="Pakistan"/>
    <x v="3"/>
    <n v="4"/>
    <n v="2856"/>
    <n v="11424"/>
    <x v="0"/>
    <x v="5"/>
    <x v="2"/>
  </r>
  <r>
    <s v="PK-101175"/>
    <x v="291"/>
    <s v="Darius Miller"/>
    <s v="tscott@robertson-ochoa.com"/>
    <n v="923307702418"/>
    <x v="8"/>
    <s v="Pakistan"/>
    <x v="3"/>
    <n v="1"/>
    <n v="4004"/>
    <n v="4004"/>
    <x v="0"/>
    <x v="7"/>
    <x v="2"/>
  </r>
  <r>
    <s v="PK-101176"/>
    <x v="340"/>
    <s v="Ian Higgins"/>
    <s v="davidjohnston@lewis-hart.com"/>
    <n v="923268582229"/>
    <x v="0"/>
    <s v="Pakistan"/>
    <x v="5"/>
    <n v="4"/>
    <n v="1972"/>
    <n v="7888"/>
    <x v="3"/>
    <x v="6"/>
    <x v="0"/>
  </r>
  <r>
    <s v="PK-101177"/>
    <x v="132"/>
    <s v="Stephen Fox"/>
    <s v="joshua91@hotmail.com"/>
    <n v="923348689192"/>
    <x v="8"/>
    <s v="Pakistan"/>
    <x v="0"/>
    <n v="4"/>
    <n v="3761"/>
    <n v="15044"/>
    <x v="0"/>
    <x v="3"/>
    <x v="1"/>
  </r>
  <r>
    <s v="PK-101178"/>
    <x v="62"/>
    <s v="Tyler Harvey"/>
    <s v="mevans@diaz.com"/>
    <n v="923003824342"/>
    <x v="9"/>
    <s v="Pakistan"/>
    <x v="4"/>
    <n v="5"/>
    <n v="8495"/>
    <n v="42475"/>
    <x v="5"/>
    <x v="7"/>
    <x v="1"/>
  </r>
  <r>
    <s v="PK-101179"/>
    <x v="307"/>
    <s v="Donald Clark"/>
    <s v="colleenpeck@chase.com"/>
    <n v="923098180747"/>
    <x v="1"/>
    <s v="Pakistan"/>
    <x v="5"/>
    <n v="4"/>
    <n v="7970"/>
    <n v="31880"/>
    <x v="0"/>
    <x v="1"/>
    <x v="3"/>
  </r>
  <r>
    <s v="PK-101180"/>
    <x v="90"/>
    <s v="Candace Woodard"/>
    <s v="mmiranda@collins-reyes.com"/>
    <n v="923127042048"/>
    <x v="0"/>
    <s v="Pakistan"/>
    <x v="0"/>
    <n v="2"/>
    <n v="14347"/>
    <n v="28694"/>
    <x v="3"/>
    <x v="1"/>
    <x v="0"/>
  </r>
  <r>
    <s v="PK-101181"/>
    <x v="351"/>
    <s v="Mario Mcneil"/>
    <s v="watsonmary@dickerson-baker.org"/>
    <n v="923276813212"/>
    <x v="1"/>
    <s v="Pakistan"/>
    <x v="4"/>
    <n v="2"/>
    <n v="6754"/>
    <n v="13508"/>
    <x v="0"/>
    <x v="1"/>
    <x v="2"/>
  </r>
  <r>
    <s v="PK-101182"/>
    <x v="329"/>
    <s v="Jessica Todd"/>
    <s v="melinda56@gmail.com"/>
    <n v="923252050774"/>
    <x v="8"/>
    <s v="Pakistan"/>
    <x v="0"/>
    <n v="5"/>
    <n v="12719"/>
    <n v="63595"/>
    <x v="0"/>
    <x v="3"/>
    <x v="2"/>
  </r>
  <r>
    <s v="PK-101183"/>
    <x v="39"/>
    <s v="Ryan Mckinney"/>
    <s v="charlessmith@gmail.com"/>
    <n v="923303324412"/>
    <x v="3"/>
    <s v="Pakistan"/>
    <x v="1"/>
    <n v="4"/>
    <n v="10033"/>
    <n v="40132"/>
    <x v="0"/>
    <x v="5"/>
    <x v="3"/>
  </r>
  <r>
    <s v="PK-101184"/>
    <x v="142"/>
    <s v="Tammy Stark"/>
    <s v="osalazar@lucas.com"/>
    <n v="923494858732"/>
    <x v="2"/>
    <s v="Pakistan"/>
    <x v="0"/>
    <n v="3"/>
    <n v="12164"/>
    <n v="36492"/>
    <x v="4"/>
    <x v="5"/>
    <x v="3"/>
  </r>
  <r>
    <s v="PK-101185"/>
    <x v="163"/>
    <s v="Vanessa Bartlett"/>
    <s v="brownchristina@yahoo.com"/>
    <n v="923159926286"/>
    <x v="1"/>
    <s v="Pakistan"/>
    <x v="3"/>
    <n v="2"/>
    <n v="1189"/>
    <n v="2378"/>
    <x v="2"/>
    <x v="2"/>
    <x v="2"/>
  </r>
  <r>
    <s v="PK-101186"/>
    <x v="233"/>
    <s v="Pamela Sanchez"/>
    <s v="megan57@mercado-collins.com"/>
    <n v="923426208714"/>
    <x v="2"/>
    <s v="Pakistan"/>
    <x v="0"/>
    <n v="4"/>
    <n v="4426"/>
    <n v="17704"/>
    <x v="3"/>
    <x v="4"/>
    <x v="1"/>
  </r>
  <r>
    <s v="PK-101187"/>
    <x v="293"/>
    <s v="Kenneth Rubio"/>
    <s v="ryan21@gmail.com"/>
    <n v="923136250890"/>
    <x v="2"/>
    <s v="Pakistan"/>
    <x v="3"/>
    <n v="2"/>
    <n v="7221"/>
    <n v="14442"/>
    <x v="2"/>
    <x v="7"/>
    <x v="0"/>
  </r>
  <r>
    <s v="PK-101188"/>
    <x v="272"/>
    <s v="Joseph Hayden"/>
    <s v="lyonsbrianna@gmail.com"/>
    <n v="923125753272"/>
    <x v="4"/>
    <s v="Pakistan"/>
    <x v="4"/>
    <n v="2"/>
    <n v="5635"/>
    <n v="11270"/>
    <x v="0"/>
    <x v="7"/>
    <x v="1"/>
  </r>
  <r>
    <s v="PK-101189"/>
    <x v="174"/>
    <s v="Tammy Davis"/>
    <s v="bcarter@gmail.com"/>
    <n v="923106037364"/>
    <x v="5"/>
    <s v="Pakistan"/>
    <x v="5"/>
    <n v="2"/>
    <n v="9220"/>
    <n v="18440"/>
    <x v="5"/>
    <x v="7"/>
    <x v="0"/>
  </r>
  <r>
    <s v="PK-101190"/>
    <x v="69"/>
    <s v="Dylan Sheppard"/>
    <s v="ronaldjohnston@berry-davis.com"/>
    <n v="923049481953"/>
    <x v="9"/>
    <s v="Pakistan"/>
    <x v="3"/>
    <n v="4"/>
    <n v="14280"/>
    <n v="57120"/>
    <x v="4"/>
    <x v="3"/>
    <x v="1"/>
  </r>
  <r>
    <s v="PK-101191"/>
    <x v="216"/>
    <s v="Samantha Floyd"/>
    <s v="burnsdavid@hotmail.com"/>
    <n v="923448369906"/>
    <x v="4"/>
    <s v="Pakistan"/>
    <x v="5"/>
    <n v="1"/>
    <n v="2440"/>
    <n v="2440"/>
    <x v="4"/>
    <x v="2"/>
    <x v="3"/>
  </r>
  <r>
    <s v="PK-101192"/>
    <x v="104"/>
    <s v="Lauren Graham"/>
    <s v="martinezcynthia@yahoo.com"/>
    <n v="923436219252"/>
    <x v="6"/>
    <s v="Pakistan"/>
    <x v="5"/>
    <n v="4"/>
    <n v="2015"/>
    <n v="8060"/>
    <x v="1"/>
    <x v="3"/>
    <x v="3"/>
  </r>
  <r>
    <s v="PK-101193"/>
    <x v="324"/>
    <s v="Tyler Gardner"/>
    <s v="alexandergarcia@henry.org"/>
    <n v="923105104694"/>
    <x v="0"/>
    <s v="Pakistan"/>
    <x v="0"/>
    <n v="3"/>
    <n v="14874"/>
    <n v="44622"/>
    <x v="0"/>
    <x v="7"/>
    <x v="1"/>
  </r>
  <r>
    <s v="PK-101194"/>
    <x v="53"/>
    <s v="Larry Young Jr."/>
    <s v="andrea10@carter.com"/>
    <n v="923055950767"/>
    <x v="1"/>
    <s v="Pakistan"/>
    <x v="1"/>
    <n v="2"/>
    <n v="5050"/>
    <n v="10100"/>
    <x v="4"/>
    <x v="1"/>
    <x v="0"/>
  </r>
  <r>
    <s v="PK-101195"/>
    <x v="322"/>
    <s v="Matthew Bradford"/>
    <s v="greenmichael@hotmail.com"/>
    <n v="923420754299"/>
    <x v="4"/>
    <s v="Pakistan"/>
    <x v="3"/>
    <n v="5"/>
    <n v="1447"/>
    <n v="7235"/>
    <x v="1"/>
    <x v="4"/>
    <x v="0"/>
  </r>
  <r>
    <s v="PK-101196"/>
    <x v="264"/>
    <s v="Michael Thomas"/>
    <s v="dawnnewton@salinas.biz"/>
    <n v="923250593448"/>
    <x v="8"/>
    <s v="Pakistan"/>
    <x v="1"/>
    <n v="1"/>
    <n v="12628"/>
    <n v="12628"/>
    <x v="4"/>
    <x v="2"/>
    <x v="2"/>
  </r>
  <r>
    <s v="PK-101197"/>
    <x v="193"/>
    <s v="Danielle Mcclure"/>
    <s v="bfarrell@hotmail.com"/>
    <n v="923359614595"/>
    <x v="5"/>
    <s v="Pakistan"/>
    <x v="5"/>
    <n v="3"/>
    <n v="14659"/>
    <n v="43977"/>
    <x v="0"/>
    <x v="5"/>
    <x v="2"/>
  </r>
  <r>
    <s v="PK-101198"/>
    <x v="195"/>
    <s v="Peter Arnold"/>
    <s v="howarddenise@green-daniel.com"/>
    <n v="923368437126"/>
    <x v="8"/>
    <s v="Pakistan"/>
    <x v="5"/>
    <n v="1"/>
    <n v="9419"/>
    <n v="9419"/>
    <x v="5"/>
    <x v="1"/>
    <x v="3"/>
  </r>
  <r>
    <s v="PK-101199"/>
    <x v="77"/>
    <s v="Randy Greene"/>
    <s v="jill23@hall.com"/>
    <n v="923212860288"/>
    <x v="9"/>
    <s v="Pakistan"/>
    <x v="2"/>
    <n v="1"/>
    <n v="9139"/>
    <n v="9139"/>
    <x v="1"/>
    <x v="3"/>
    <x v="1"/>
  </r>
  <r>
    <s v="PK-101200"/>
    <x v="174"/>
    <s v="Darren Schaefer"/>
    <s v="lisa91@gmail.com"/>
    <n v="923202657082"/>
    <x v="5"/>
    <s v="Pakistan"/>
    <x v="5"/>
    <n v="2"/>
    <n v="6635"/>
    <n v="13270"/>
    <x v="3"/>
    <x v="0"/>
    <x v="3"/>
  </r>
  <r>
    <s v="PK-101201"/>
    <x v="144"/>
    <s v="Mitchell Freeman"/>
    <s v="eric51@miller.com"/>
    <n v="923316433188"/>
    <x v="1"/>
    <s v="Pakistan"/>
    <x v="4"/>
    <n v="3"/>
    <n v="1733"/>
    <n v="5199"/>
    <x v="0"/>
    <x v="6"/>
    <x v="1"/>
  </r>
  <r>
    <s v="PK-101202"/>
    <x v="186"/>
    <s v="Edward Vega"/>
    <s v="qmonroe@yahoo.com"/>
    <n v="923454893790"/>
    <x v="6"/>
    <s v="Pakistan"/>
    <x v="1"/>
    <n v="5"/>
    <n v="8495"/>
    <n v="42475"/>
    <x v="1"/>
    <x v="2"/>
    <x v="3"/>
  </r>
  <r>
    <s v="PK-101203"/>
    <x v="191"/>
    <s v="Mrs. Angela Gardner"/>
    <s v="ygardner@mason.com"/>
    <n v="923112956674"/>
    <x v="2"/>
    <s v="Pakistan"/>
    <x v="3"/>
    <n v="1"/>
    <n v="4151"/>
    <n v="4151"/>
    <x v="1"/>
    <x v="7"/>
    <x v="2"/>
  </r>
  <r>
    <s v="PK-101204"/>
    <x v="49"/>
    <s v="Joshua Henderson"/>
    <s v="nmccoy@gmail.com"/>
    <n v="923069786373"/>
    <x v="7"/>
    <s v="Pakistan"/>
    <x v="2"/>
    <n v="2"/>
    <n v="9353"/>
    <n v="18706"/>
    <x v="4"/>
    <x v="4"/>
    <x v="0"/>
  </r>
  <r>
    <s v="PK-101205"/>
    <x v="157"/>
    <s v="Richard Pierce"/>
    <s v="troy63@hotmail.com"/>
    <n v="923072780500"/>
    <x v="8"/>
    <s v="Pakistan"/>
    <x v="1"/>
    <n v="3"/>
    <n v="3646"/>
    <n v="10938"/>
    <x v="1"/>
    <x v="1"/>
    <x v="1"/>
  </r>
  <r>
    <s v="PK-101206"/>
    <x v="229"/>
    <s v="Angela Gonzalez"/>
    <s v="kevin69@gmail.com"/>
    <n v="923088144520"/>
    <x v="4"/>
    <s v="Pakistan"/>
    <x v="0"/>
    <n v="2"/>
    <n v="4779"/>
    <n v="9558"/>
    <x v="2"/>
    <x v="3"/>
    <x v="3"/>
  </r>
  <r>
    <s v="PK-101207"/>
    <x v="326"/>
    <s v="Donald Sexton"/>
    <s v="justinbentley@gmail.com"/>
    <n v="923243312447"/>
    <x v="5"/>
    <s v="Pakistan"/>
    <x v="5"/>
    <n v="4"/>
    <n v="4696"/>
    <n v="18784"/>
    <x v="0"/>
    <x v="0"/>
    <x v="0"/>
  </r>
  <r>
    <s v="PK-101208"/>
    <x v="96"/>
    <s v="Lisa Soto"/>
    <s v="angelbarrett@george.com"/>
    <n v="923286979945"/>
    <x v="8"/>
    <s v="Pakistan"/>
    <x v="1"/>
    <n v="2"/>
    <n v="8856"/>
    <n v="17712"/>
    <x v="5"/>
    <x v="6"/>
    <x v="3"/>
  </r>
  <r>
    <s v="PK-101209"/>
    <x v="128"/>
    <s v="Andrew Dalton"/>
    <s v="shortjacob@sanchez.org"/>
    <n v="923492692511"/>
    <x v="7"/>
    <s v="Pakistan"/>
    <x v="2"/>
    <n v="2"/>
    <n v="3934"/>
    <n v="7868"/>
    <x v="3"/>
    <x v="6"/>
    <x v="2"/>
  </r>
  <r>
    <s v="PK-101210"/>
    <x v="221"/>
    <s v="Jacqueline Young"/>
    <s v="smcclure@alvarado.com"/>
    <n v="923171150088"/>
    <x v="0"/>
    <s v="Pakistan"/>
    <x v="4"/>
    <n v="3"/>
    <n v="2477"/>
    <n v="7431"/>
    <x v="2"/>
    <x v="6"/>
    <x v="2"/>
  </r>
  <r>
    <s v="PK-101211"/>
    <x v="150"/>
    <s v="Danielle Gray"/>
    <s v="reneejohnson@smith.com"/>
    <n v="923456938678"/>
    <x v="8"/>
    <s v="Pakistan"/>
    <x v="4"/>
    <n v="3"/>
    <n v="14262"/>
    <n v="42786"/>
    <x v="3"/>
    <x v="5"/>
    <x v="0"/>
  </r>
  <r>
    <s v="PK-101212"/>
    <x v="352"/>
    <s v="Connor Diaz"/>
    <s v="yherring@lee-bell.com"/>
    <n v="923442347308"/>
    <x v="9"/>
    <s v="Pakistan"/>
    <x v="0"/>
    <n v="2"/>
    <n v="6552"/>
    <n v="13104"/>
    <x v="3"/>
    <x v="6"/>
    <x v="0"/>
  </r>
  <r>
    <s v="PK-101213"/>
    <x v="259"/>
    <s v="Carla Collins"/>
    <s v="fmanning@yahoo.com"/>
    <n v="923200349454"/>
    <x v="6"/>
    <s v="Pakistan"/>
    <x v="4"/>
    <n v="5"/>
    <n v="4855"/>
    <n v="24275"/>
    <x v="1"/>
    <x v="7"/>
    <x v="2"/>
  </r>
  <r>
    <s v="PK-101214"/>
    <x v="160"/>
    <s v="Kristin Carroll"/>
    <s v="joshua52@rasmussen.com"/>
    <n v="923322654460"/>
    <x v="7"/>
    <s v="Pakistan"/>
    <x v="3"/>
    <n v="2"/>
    <n v="11896"/>
    <n v="23792"/>
    <x v="5"/>
    <x v="6"/>
    <x v="2"/>
  </r>
  <r>
    <s v="PK-101215"/>
    <x v="72"/>
    <s v="Christina Adams"/>
    <s v="david64@arnold.com"/>
    <n v="923336885338"/>
    <x v="9"/>
    <s v="Pakistan"/>
    <x v="4"/>
    <n v="5"/>
    <n v="5207"/>
    <n v="26035"/>
    <x v="3"/>
    <x v="0"/>
    <x v="1"/>
  </r>
  <r>
    <s v="PK-101216"/>
    <x v="334"/>
    <s v="Amy Hampton"/>
    <s v="rodney65@gmail.com"/>
    <n v="923494528861"/>
    <x v="0"/>
    <s v="Pakistan"/>
    <x v="0"/>
    <n v="4"/>
    <n v="3917"/>
    <n v="15668"/>
    <x v="0"/>
    <x v="4"/>
    <x v="3"/>
  </r>
  <r>
    <s v="PK-101217"/>
    <x v="50"/>
    <s v="Destiny Campbell"/>
    <s v="shannonwallace@gray-woods.net"/>
    <n v="923373069292"/>
    <x v="2"/>
    <s v="Pakistan"/>
    <x v="0"/>
    <n v="1"/>
    <n v="6796"/>
    <n v="6796"/>
    <x v="5"/>
    <x v="6"/>
    <x v="2"/>
  </r>
  <r>
    <s v="PK-101218"/>
    <x v="244"/>
    <s v="Alejandro Smith"/>
    <s v="ncarroll@preston-lloyd.info"/>
    <n v="923227322830"/>
    <x v="0"/>
    <s v="Pakistan"/>
    <x v="3"/>
    <n v="1"/>
    <n v="5930"/>
    <n v="5930"/>
    <x v="2"/>
    <x v="7"/>
    <x v="1"/>
  </r>
  <r>
    <s v="PK-101219"/>
    <x v="167"/>
    <s v="Sara Marquez"/>
    <s v="danieljohnson@hotmail.com"/>
    <n v="923400462578"/>
    <x v="3"/>
    <s v="Pakistan"/>
    <x v="5"/>
    <n v="2"/>
    <n v="5381"/>
    <n v="10762"/>
    <x v="4"/>
    <x v="4"/>
    <x v="2"/>
  </r>
  <r>
    <s v="PK-101220"/>
    <x v="32"/>
    <s v="Michael Chang"/>
    <s v="usmith@benton-shepard.net"/>
    <n v="923342494409"/>
    <x v="0"/>
    <s v="Pakistan"/>
    <x v="5"/>
    <n v="1"/>
    <n v="2919"/>
    <n v="2919"/>
    <x v="2"/>
    <x v="7"/>
    <x v="1"/>
  </r>
  <r>
    <s v="PK-101221"/>
    <x v="106"/>
    <s v="Adam Lowe"/>
    <s v="onixon@contreras.com"/>
    <n v="923060546984"/>
    <x v="2"/>
    <s v="Pakistan"/>
    <x v="4"/>
    <n v="5"/>
    <n v="3335"/>
    <n v="16675"/>
    <x v="3"/>
    <x v="4"/>
    <x v="2"/>
  </r>
  <r>
    <s v="PK-101222"/>
    <x v="87"/>
    <s v="Stacey Burton"/>
    <s v="williamwhite@boyle.com"/>
    <n v="923004110438"/>
    <x v="7"/>
    <s v="Pakistan"/>
    <x v="4"/>
    <n v="2"/>
    <n v="11157"/>
    <n v="22314"/>
    <x v="3"/>
    <x v="6"/>
    <x v="3"/>
  </r>
  <r>
    <s v="PK-101223"/>
    <x v="140"/>
    <s v="Brittany Gray"/>
    <s v="nsoto@yahoo.com"/>
    <n v="923224649249"/>
    <x v="0"/>
    <s v="Pakistan"/>
    <x v="2"/>
    <n v="2"/>
    <n v="13340"/>
    <n v="26680"/>
    <x v="0"/>
    <x v="3"/>
    <x v="2"/>
  </r>
  <r>
    <s v="PK-101224"/>
    <x v="286"/>
    <s v="Joseph Buchanan"/>
    <s v="emilygreen@hotmail.com"/>
    <n v="923248178983"/>
    <x v="0"/>
    <s v="Pakistan"/>
    <x v="2"/>
    <n v="5"/>
    <n v="9459"/>
    <n v="47295"/>
    <x v="4"/>
    <x v="3"/>
    <x v="1"/>
  </r>
  <r>
    <s v="PK-101225"/>
    <x v="129"/>
    <s v="John James"/>
    <s v="gibsonmichael@johnson.com"/>
    <n v="923353738474"/>
    <x v="8"/>
    <s v="Pakistan"/>
    <x v="2"/>
    <n v="1"/>
    <n v="14453"/>
    <n v="14453"/>
    <x v="5"/>
    <x v="7"/>
    <x v="0"/>
  </r>
  <r>
    <s v="PK-101226"/>
    <x v="308"/>
    <s v="Tyler Erickson"/>
    <s v="lejackie@summers.com"/>
    <n v="923325077814"/>
    <x v="6"/>
    <s v="Pakistan"/>
    <x v="0"/>
    <n v="2"/>
    <n v="13161"/>
    <n v="26322"/>
    <x v="0"/>
    <x v="4"/>
    <x v="1"/>
  </r>
  <r>
    <s v="PK-101227"/>
    <x v="247"/>
    <s v="Tanya Kline"/>
    <s v="plee@aguilar.com"/>
    <n v="923452320395"/>
    <x v="4"/>
    <s v="Pakistan"/>
    <x v="5"/>
    <n v="3"/>
    <n v="14134"/>
    <n v="42402"/>
    <x v="0"/>
    <x v="7"/>
    <x v="3"/>
  </r>
  <r>
    <s v="PK-101228"/>
    <x v="342"/>
    <s v="Larry York"/>
    <s v="ilyons@coleman.info"/>
    <n v="923298980703"/>
    <x v="8"/>
    <s v="Pakistan"/>
    <x v="3"/>
    <n v="1"/>
    <n v="10071"/>
    <n v="10071"/>
    <x v="1"/>
    <x v="3"/>
    <x v="1"/>
  </r>
  <r>
    <s v="PK-101229"/>
    <x v="83"/>
    <s v="Evan Smith"/>
    <s v="izhang@yahoo.com"/>
    <n v="923355028038"/>
    <x v="0"/>
    <s v="Pakistan"/>
    <x v="2"/>
    <n v="5"/>
    <n v="5571"/>
    <n v="27855"/>
    <x v="1"/>
    <x v="6"/>
    <x v="3"/>
  </r>
  <r>
    <s v="PK-101230"/>
    <x v="141"/>
    <s v="Mary Gallagher"/>
    <s v="andreabarnett@yahoo.com"/>
    <n v="923370136397"/>
    <x v="2"/>
    <s v="Pakistan"/>
    <x v="0"/>
    <n v="4"/>
    <n v="8817"/>
    <n v="35268"/>
    <x v="3"/>
    <x v="7"/>
    <x v="3"/>
  </r>
  <r>
    <s v="PK-101231"/>
    <x v="18"/>
    <s v="Gabriel Norris"/>
    <s v="dodsonwillie@gmail.com"/>
    <n v="923174586585"/>
    <x v="0"/>
    <s v="Pakistan"/>
    <x v="5"/>
    <n v="2"/>
    <n v="4915"/>
    <n v="9830"/>
    <x v="3"/>
    <x v="5"/>
    <x v="3"/>
  </r>
  <r>
    <s v="PK-101232"/>
    <x v="177"/>
    <s v="Shirley Perez"/>
    <s v="rosebrenda@hotmail.com"/>
    <n v="923433952425"/>
    <x v="8"/>
    <s v="Pakistan"/>
    <x v="5"/>
    <n v="4"/>
    <n v="3358"/>
    <n v="13432"/>
    <x v="3"/>
    <x v="3"/>
    <x v="3"/>
  </r>
  <r>
    <s v="PK-101233"/>
    <x v="213"/>
    <s v="Kristine Downs"/>
    <s v="melinda72@hicks.com"/>
    <n v="923149398378"/>
    <x v="4"/>
    <s v="Pakistan"/>
    <x v="3"/>
    <n v="1"/>
    <n v="11490"/>
    <n v="11490"/>
    <x v="2"/>
    <x v="3"/>
    <x v="0"/>
  </r>
  <r>
    <s v="PK-101234"/>
    <x v="273"/>
    <s v="Hannah Scott"/>
    <s v="smithamy@jones-long.com"/>
    <n v="923194952516"/>
    <x v="6"/>
    <s v="Pakistan"/>
    <x v="1"/>
    <n v="4"/>
    <n v="5888"/>
    <n v="23552"/>
    <x v="3"/>
    <x v="6"/>
    <x v="0"/>
  </r>
  <r>
    <s v="PK-101235"/>
    <x v="47"/>
    <s v="David Best"/>
    <s v="dodsonphillip@yahoo.com"/>
    <n v="923419354399"/>
    <x v="2"/>
    <s v="Pakistan"/>
    <x v="2"/>
    <n v="3"/>
    <n v="7671"/>
    <n v="23013"/>
    <x v="2"/>
    <x v="2"/>
    <x v="3"/>
  </r>
  <r>
    <s v="PK-101236"/>
    <x v="276"/>
    <s v="Charles Smith"/>
    <s v="pbarber@gmail.com"/>
    <n v="923194916047"/>
    <x v="7"/>
    <s v="Pakistan"/>
    <x v="5"/>
    <n v="4"/>
    <n v="11622"/>
    <n v="46488"/>
    <x v="4"/>
    <x v="0"/>
    <x v="3"/>
  </r>
  <r>
    <s v="PK-101237"/>
    <x v="174"/>
    <s v="Justin Parker"/>
    <s v="opoole@gmail.com"/>
    <n v="923386838402"/>
    <x v="3"/>
    <s v="Pakistan"/>
    <x v="3"/>
    <n v="4"/>
    <n v="10421"/>
    <n v="41684"/>
    <x v="2"/>
    <x v="0"/>
    <x v="0"/>
  </r>
  <r>
    <s v="PK-101238"/>
    <x v="352"/>
    <s v="John Cuevas"/>
    <s v="alexandra22@yahoo.com"/>
    <n v="923236070573"/>
    <x v="7"/>
    <s v="Pakistan"/>
    <x v="3"/>
    <n v="4"/>
    <n v="11050"/>
    <n v="44200"/>
    <x v="3"/>
    <x v="1"/>
    <x v="2"/>
  </r>
  <r>
    <s v="PK-101239"/>
    <x v="299"/>
    <s v="Victoria Rogers"/>
    <s v="spayne@erickson-rodriguez.info"/>
    <n v="923486960400"/>
    <x v="1"/>
    <s v="Pakistan"/>
    <x v="2"/>
    <n v="3"/>
    <n v="8452"/>
    <n v="25356"/>
    <x v="5"/>
    <x v="3"/>
    <x v="1"/>
  </r>
  <r>
    <s v="PK-101240"/>
    <x v="176"/>
    <s v="Shawn Allen"/>
    <s v="kennethgarcia@hotmail.com"/>
    <n v="923319577522"/>
    <x v="6"/>
    <s v="Pakistan"/>
    <x v="2"/>
    <n v="1"/>
    <n v="2292"/>
    <n v="2292"/>
    <x v="4"/>
    <x v="1"/>
    <x v="3"/>
  </r>
  <r>
    <s v="PK-101241"/>
    <x v="140"/>
    <s v="Damon Anderson"/>
    <s v="pmalone@spencer-odom.org"/>
    <n v="923381700061"/>
    <x v="2"/>
    <s v="Pakistan"/>
    <x v="1"/>
    <n v="3"/>
    <n v="12073"/>
    <n v="36219"/>
    <x v="5"/>
    <x v="0"/>
    <x v="0"/>
  </r>
  <r>
    <s v="PK-101242"/>
    <x v="327"/>
    <s v="Thomas Jenkins"/>
    <s v="krystalanderson@mccormick-williamson.org"/>
    <n v="923031059253"/>
    <x v="0"/>
    <s v="Pakistan"/>
    <x v="0"/>
    <n v="4"/>
    <n v="6749"/>
    <n v="26996"/>
    <x v="5"/>
    <x v="3"/>
    <x v="2"/>
  </r>
  <r>
    <s v="PK-101243"/>
    <x v="327"/>
    <s v="Mark Norman"/>
    <s v="torresmarvin@smith-bentley.info"/>
    <n v="923405289557"/>
    <x v="6"/>
    <s v="Pakistan"/>
    <x v="3"/>
    <n v="1"/>
    <n v="5555"/>
    <n v="5555"/>
    <x v="1"/>
    <x v="7"/>
    <x v="1"/>
  </r>
  <r>
    <s v="PK-101244"/>
    <x v="234"/>
    <s v="Morgan Berry"/>
    <s v="garyrussell@yahoo.com"/>
    <n v="923078231407"/>
    <x v="3"/>
    <s v="Pakistan"/>
    <x v="2"/>
    <n v="5"/>
    <n v="6118"/>
    <n v="30590"/>
    <x v="2"/>
    <x v="4"/>
    <x v="3"/>
  </r>
  <r>
    <s v="PK-101245"/>
    <x v="62"/>
    <s v="Michael Stephens"/>
    <s v="orich@moss.com"/>
    <n v="923047089172"/>
    <x v="5"/>
    <s v="Pakistan"/>
    <x v="2"/>
    <n v="3"/>
    <n v="3735"/>
    <n v="11205"/>
    <x v="2"/>
    <x v="6"/>
    <x v="1"/>
  </r>
  <r>
    <s v="PK-101246"/>
    <x v="353"/>
    <s v="Kevin Martin"/>
    <s v="iortiz@yahoo.com"/>
    <n v="923161183438"/>
    <x v="4"/>
    <s v="Pakistan"/>
    <x v="0"/>
    <n v="2"/>
    <n v="2590"/>
    <n v="5180"/>
    <x v="3"/>
    <x v="0"/>
    <x v="1"/>
  </r>
  <r>
    <s v="PK-101247"/>
    <x v="24"/>
    <s v="Tony Haynes"/>
    <s v="deannamartinez@johnson.com"/>
    <n v="923025733073"/>
    <x v="1"/>
    <s v="Pakistan"/>
    <x v="2"/>
    <n v="4"/>
    <n v="3635"/>
    <n v="14540"/>
    <x v="4"/>
    <x v="7"/>
    <x v="2"/>
  </r>
  <r>
    <s v="PK-101248"/>
    <x v="20"/>
    <s v="Jeffrey Mclaughlin"/>
    <s v="stacycooper@hotmail.com"/>
    <n v="923497239271"/>
    <x v="7"/>
    <s v="Pakistan"/>
    <x v="1"/>
    <n v="1"/>
    <n v="1350"/>
    <n v="1350"/>
    <x v="3"/>
    <x v="2"/>
    <x v="0"/>
  </r>
  <r>
    <s v="PK-101249"/>
    <x v="162"/>
    <s v="Jennifer Norman"/>
    <s v="smithclaire@anderson-scott.com"/>
    <n v="923371889327"/>
    <x v="4"/>
    <s v="Pakistan"/>
    <x v="0"/>
    <n v="1"/>
    <n v="13684"/>
    <n v="13684"/>
    <x v="3"/>
    <x v="4"/>
    <x v="3"/>
  </r>
  <r>
    <s v="PK-101250"/>
    <x v="329"/>
    <s v="Lisa Williams"/>
    <s v="christopherhill@lee.info"/>
    <n v="923241552081"/>
    <x v="8"/>
    <s v="Pakistan"/>
    <x v="4"/>
    <n v="2"/>
    <n v="9587"/>
    <n v="19174"/>
    <x v="5"/>
    <x v="1"/>
    <x v="3"/>
  </r>
  <r>
    <s v="PK-101251"/>
    <x v="253"/>
    <s v="Martha Stark"/>
    <s v="wilsonelizabeth@mclaughlin.info"/>
    <n v="923306782606"/>
    <x v="7"/>
    <s v="Pakistan"/>
    <x v="2"/>
    <n v="2"/>
    <n v="13799"/>
    <n v="27598"/>
    <x v="4"/>
    <x v="2"/>
    <x v="2"/>
  </r>
  <r>
    <s v="PK-101252"/>
    <x v="320"/>
    <s v="Keith Lopez"/>
    <s v="john04@jordan-malone.biz"/>
    <n v="923337553055"/>
    <x v="1"/>
    <s v="Pakistan"/>
    <x v="4"/>
    <n v="1"/>
    <n v="10608"/>
    <n v="10608"/>
    <x v="3"/>
    <x v="4"/>
    <x v="1"/>
  </r>
  <r>
    <s v="PK-101253"/>
    <x v="175"/>
    <s v="Karen Palmer"/>
    <s v="rosariophilip@gmail.com"/>
    <n v="923271522850"/>
    <x v="0"/>
    <s v="Pakistan"/>
    <x v="2"/>
    <n v="4"/>
    <n v="3957"/>
    <n v="15828"/>
    <x v="2"/>
    <x v="7"/>
    <x v="0"/>
  </r>
  <r>
    <s v="PK-101254"/>
    <x v="231"/>
    <s v="William Cox"/>
    <s v="kari11@brown.org"/>
    <n v="923074248390"/>
    <x v="6"/>
    <s v="Pakistan"/>
    <x v="5"/>
    <n v="5"/>
    <n v="4055"/>
    <n v="20275"/>
    <x v="1"/>
    <x v="2"/>
    <x v="2"/>
  </r>
  <r>
    <s v="PK-101255"/>
    <x v="192"/>
    <s v="Christine Hicks"/>
    <s v="jeffrey79@mckay-evans.com"/>
    <n v="923375571532"/>
    <x v="0"/>
    <s v="Pakistan"/>
    <x v="2"/>
    <n v="5"/>
    <n v="4428"/>
    <n v="22140"/>
    <x v="0"/>
    <x v="3"/>
    <x v="0"/>
  </r>
  <r>
    <s v="PK-101256"/>
    <x v="223"/>
    <s v="Julie Wyatt"/>
    <s v="webstermichelle@hotmail.com"/>
    <n v="923492327186"/>
    <x v="0"/>
    <s v="Pakistan"/>
    <x v="2"/>
    <n v="2"/>
    <n v="11294"/>
    <n v="22588"/>
    <x v="3"/>
    <x v="4"/>
    <x v="2"/>
  </r>
  <r>
    <s v="PK-101257"/>
    <x v="114"/>
    <s v="Steven Lynch"/>
    <s v="lindseychristensen@hotmail.com"/>
    <n v="923318340163"/>
    <x v="5"/>
    <s v="Pakistan"/>
    <x v="0"/>
    <n v="3"/>
    <n v="11170"/>
    <n v="33510"/>
    <x v="0"/>
    <x v="6"/>
    <x v="2"/>
  </r>
  <r>
    <s v="PK-101258"/>
    <x v="229"/>
    <s v="Katrina Johnson"/>
    <s v="npeters@ryan-eaton.com"/>
    <n v="923391031871"/>
    <x v="3"/>
    <s v="Pakistan"/>
    <x v="3"/>
    <n v="4"/>
    <n v="5715"/>
    <n v="22860"/>
    <x v="0"/>
    <x v="4"/>
    <x v="1"/>
  </r>
  <r>
    <s v="PK-101259"/>
    <x v="345"/>
    <s v="Robert Smith"/>
    <s v="warnerrobert@hotmail.com"/>
    <n v="923143148187"/>
    <x v="1"/>
    <s v="Pakistan"/>
    <x v="2"/>
    <n v="3"/>
    <n v="4522"/>
    <n v="13566"/>
    <x v="3"/>
    <x v="4"/>
    <x v="3"/>
  </r>
  <r>
    <s v="PK-101260"/>
    <x v="354"/>
    <s v="Kristine Jones"/>
    <s v="duncankaren@hotmail.com"/>
    <n v="923335010237"/>
    <x v="6"/>
    <s v="Pakistan"/>
    <x v="4"/>
    <n v="4"/>
    <n v="13185"/>
    <n v="52740"/>
    <x v="5"/>
    <x v="0"/>
    <x v="1"/>
  </r>
  <r>
    <s v="PK-101261"/>
    <x v="201"/>
    <s v="Mr. Brandon Smith"/>
    <s v="jacksonerika@gmail.com"/>
    <n v="923464497043"/>
    <x v="8"/>
    <s v="Pakistan"/>
    <x v="3"/>
    <n v="4"/>
    <n v="8922"/>
    <n v="35688"/>
    <x v="3"/>
    <x v="1"/>
    <x v="0"/>
  </r>
  <r>
    <s v="PK-101262"/>
    <x v="220"/>
    <s v="Sergio Green"/>
    <s v="greg53@hotmail.com"/>
    <n v="923148922668"/>
    <x v="6"/>
    <s v="Pakistan"/>
    <x v="2"/>
    <n v="1"/>
    <n v="12872"/>
    <n v="12872"/>
    <x v="5"/>
    <x v="0"/>
    <x v="1"/>
  </r>
  <r>
    <s v="PK-101263"/>
    <x v="222"/>
    <s v="Ashlee Wagner"/>
    <s v="nicholsolivia@hotmail.com"/>
    <n v="923445962070"/>
    <x v="2"/>
    <s v="Pakistan"/>
    <x v="5"/>
    <n v="5"/>
    <n v="2025"/>
    <n v="10125"/>
    <x v="4"/>
    <x v="0"/>
    <x v="2"/>
  </r>
  <r>
    <s v="PK-101264"/>
    <x v="133"/>
    <s v="Leslie Higgins"/>
    <s v="kbryan@yahoo.com"/>
    <n v="923382818014"/>
    <x v="4"/>
    <s v="Pakistan"/>
    <x v="4"/>
    <n v="4"/>
    <n v="7902"/>
    <n v="31608"/>
    <x v="2"/>
    <x v="6"/>
    <x v="2"/>
  </r>
  <r>
    <s v="PK-101265"/>
    <x v="107"/>
    <s v="Toni Garcia"/>
    <s v="beckkatherine@morrow.com"/>
    <n v="923204562460"/>
    <x v="8"/>
    <s v="Pakistan"/>
    <x v="5"/>
    <n v="1"/>
    <n v="14222"/>
    <n v="14222"/>
    <x v="5"/>
    <x v="2"/>
    <x v="3"/>
  </r>
  <r>
    <s v="PK-101266"/>
    <x v="137"/>
    <s v="Deborah Vasquez"/>
    <s v="turnerharry@weber-mitchell.com"/>
    <n v="923160782124"/>
    <x v="1"/>
    <s v="Pakistan"/>
    <x v="1"/>
    <n v="5"/>
    <n v="14873"/>
    <n v="74365"/>
    <x v="0"/>
    <x v="5"/>
    <x v="3"/>
  </r>
  <r>
    <s v="PK-101267"/>
    <x v="297"/>
    <s v="Richard Smith"/>
    <s v="richardbailey@richardson.com"/>
    <n v="923112289090"/>
    <x v="3"/>
    <s v="Pakistan"/>
    <x v="3"/>
    <n v="2"/>
    <n v="2193"/>
    <n v="4386"/>
    <x v="3"/>
    <x v="3"/>
    <x v="3"/>
  </r>
  <r>
    <s v="PK-101268"/>
    <x v="31"/>
    <s v="Carlos Williams"/>
    <s v="leecollins@hotmail.com"/>
    <n v="923318440502"/>
    <x v="1"/>
    <s v="Pakistan"/>
    <x v="0"/>
    <n v="5"/>
    <n v="12797"/>
    <n v="63985"/>
    <x v="3"/>
    <x v="4"/>
    <x v="3"/>
  </r>
  <r>
    <s v="PK-101269"/>
    <x v="355"/>
    <s v="Stacey Harvey"/>
    <s v="jbarrett@smith.net"/>
    <n v="923387180369"/>
    <x v="4"/>
    <s v="Pakistan"/>
    <x v="3"/>
    <n v="1"/>
    <n v="14528"/>
    <n v="14528"/>
    <x v="1"/>
    <x v="7"/>
    <x v="2"/>
  </r>
  <r>
    <s v="PK-101270"/>
    <x v="152"/>
    <s v="Lindsey Patel"/>
    <s v="jenniferlawson@graham-harrison.com"/>
    <n v="923360694449"/>
    <x v="9"/>
    <s v="Pakistan"/>
    <x v="5"/>
    <n v="5"/>
    <n v="12151"/>
    <n v="60755"/>
    <x v="5"/>
    <x v="5"/>
    <x v="0"/>
  </r>
  <r>
    <s v="PK-101271"/>
    <x v="243"/>
    <s v="Ashley Payne"/>
    <s v="troyrice@morris.com"/>
    <n v="923056887431"/>
    <x v="3"/>
    <s v="Pakistan"/>
    <x v="5"/>
    <n v="5"/>
    <n v="10741"/>
    <n v="53705"/>
    <x v="3"/>
    <x v="7"/>
    <x v="3"/>
  </r>
  <r>
    <s v="PK-101272"/>
    <x v="297"/>
    <s v="Megan Moore"/>
    <s v="laura87@gmail.com"/>
    <n v="923320442351"/>
    <x v="0"/>
    <s v="Pakistan"/>
    <x v="0"/>
    <n v="4"/>
    <n v="5669"/>
    <n v="22676"/>
    <x v="0"/>
    <x v="7"/>
    <x v="0"/>
  </r>
  <r>
    <s v="PK-101273"/>
    <x v="258"/>
    <s v="Jody Hernandez"/>
    <s v="catherine50@randall-bryant.com"/>
    <n v="923288153301"/>
    <x v="8"/>
    <s v="Pakistan"/>
    <x v="5"/>
    <n v="2"/>
    <n v="3869"/>
    <n v="7738"/>
    <x v="3"/>
    <x v="2"/>
    <x v="1"/>
  </r>
  <r>
    <s v="PK-101274"/>
    <x v="331"/>
    <s v="Melissa Smith"/>
    <s v="tanner09@jensen.biz"/>
    <n v="923195281931"/>
    <x v="0"/>
    <s v="Pakistan"/>
    <x v="3"/>
    <n v="3"/>
    <n v="12736"/>
    <n v="38208"/>
    <x v="3"/>
    <x v="5"/>
    <x v="0"/>
  </r>
  <r>
    <s v="PK-101275"/>
    <x v="135"/>
    <s v="Monica Young"/>
    <s v="zklein@ramirez-villa.net"/>
    <n v="923476304542"/>
    <x v="2"/>
    <s v="Pakistan"/>
    <x v="3"/>
    <n v="3"/>
    <n v="5542"/>
    <n v="16626"/>
    <x v="4"/>
    <x v="6"/>
    <x v="0"/>
  </r>
  <r>
    <s v="PK-101276"/>
    <x v="235"/>
    <s v="Karen Davis"/>
    <s v="villarrealjoseph@peterson.com"/>
    <n v="923315366084"/>
    <x v="9"/>
    <s v="Pakistan"/>
    <x v="1"/>
    <n v="3"/>
    <n v="11016"/>
    <n v="33048"/>
    <x v="4"/>
    <x v="4"/>
    <x v="2"/>
  </r>
  <r>
    <s v="PK-101277"/>
    <x v="92"/>
    <s v="Monica Castro"/>
    <s v="morganlauren@watson.biz"/>
    <n v="923308207593"/>
    <x v="3"/>
    <s v="Pakistan"/>
    <x v="5"/>
    <n v="4"/>
    <n v="9923"/>
    <n v="39692"/>
    <x v="1"/>
    <x v="3"/>
    <x v="2"/>
  </r>
  <r>
    <s v="PK-101278"/>
    <x v="110"/>
    <s v="Cameron Williams"/>
    <s v="rday@gmail.com"/>
    <n v="923491318052"/>
    <x v="5"/>
    <s v="Pakistan"/>
    <x v="1"/>
    <n v="5"/>
    <n v="12267"/>
    <n v="61335"/>
    <x v="5"/>
    <x v="6"/>
    <x v="2"/>
  </r>
  <r>
    <s v="PK-101279"/>
    <x v="325"/>
    <s v="Spencer Norman"/>
    <s v="diana19@yahoo.com"/>
    <n v="923104224431"/>
    <x v="0"/>
    <s v="Pakistan"/>
    <x v="5"/>
    <n v="1"/>
    <n v="5226"/>
    <n v="5226"/>
    <x v="0"/>
    <x v="4"/>
    <x v="2"/>
  </r>
  <r>
    <s v="PK-101280"/>
    <x v="175"/>
    <s v="Alicia Garcia"/>
    <s v="uschaefer@hotmail.com"/>
    <n v="923164226247"/>
    <x v="0"/>
    <s v="Pakistan"/>
    <x v="2"/>
    <n v="2"/>
    <n v="1079"/>
    <n v="2158"/>
    <x v="5"/>
    <x v="6"/>
    <x v="2"/>
  </r>
  <r>
    <s v="PK-101281"/>
    <x v="280"/>
    <s v="Cindy Camacho"/>
    <s v="gmurray@thomas.com"/>
    <n v="923076511540"/>
    <x v="6"/>
    <s v="Pakistan"/>
    <x v="1"/>
    <n v="3"/>
    <n v="7040"/>
    <n v="21120"/>
    <x v="1"/>
    <x v="4"/>
    <x v="1"/>
  </r>
  <r>
    <s v="PK-101282"/>
    <x v="151"/>
    <s v="Deborah Owens"/>
    <s v="pamela24@yahoo.com"/>
    <n v="923119489343"/>
    <x v="5"/>
    <s v="Pakistan"/>
    <x v="3"/>
    <n v="3"/>
    <n v="9310"/>
    <n v="27930"/>
    <x v="2"/>
    <x v="7"/>
    <x v="0"/>
  </r>
  <r>
    <s v="PK-101283"/>
    <x v="344"/>
    <s v="Robert Jones"/>
    <s v="jenkinsharry@yahoo.com"/>
    <n v="923237585155"/>
    <x v="7"/>
    <s v="Pakistan"/>
    <x v="5"/>
    <n v="4"/>
    <n v="9763"/>
    <n v="39052"/>
    <x v="2"/>
    <x v="2"/>
    <x v="0"/>
  </r>
  <r>
    <s v="PK-101284"/>
    <x v="34"/>
    <s v="Kelly Smith"/>
    <s v="gouldfrank@gmail.com"/>
    <n v="923452386821"/>
    <x v="3"/>
    <s v="Pakistan"/>
    <x v="5"/>
    <n v="5"/>
    <n v="13797"/>
    <n v="68985"/>
    <x v="3"/>
    <x v="2"/>
    <x v="3"/>
  </r>
  <r>
    <s v="PK-101285"/>
    <x v="232"/>
    <s v="Monica Mcguire"/>
    <s v="dale32@montoya.net"/>
    <n v="923439553330"/>
    <x v="1"/>
    <s v="Pakistan"/>
    <x v="3"/>
    <n v="1"/>
    <n v="7792"/>
    <n v="7792"/>
    <x v="2"/>
    <x v="1"/>
    <x v="1"/>
  </r>
  <r>
    <s v="PK-101286"/>
    <x v="273"/>
    <s v="Breanna Hall"/>
    <s v="matthewanderson@howell.info"/>
    <n v="923319980107"/>
    <x v="0"/>
    <s v="Pakistan"/>
    <x v="3"/>
    <n v="3"/>
    <n v="11229"/>
    <n v="33687"/>
    <x v="5"/>
    <x v="6"/>
    <x v="0"/>
  </r>
  <r>
    <s v="PK-101287"/>
    <x v="341"/>
    <s v="George Robertson"/>
    <s v="samantha02@yahoo.com"/>
    <n v="923414834795"/>
    <x v="4"/>
    <s v="Pakistan"/>
    <x v="4"/>
    <n v="5"/>
    <n v="4123"/>
    <n v="20615"/>
    <x v="0"/>
    <x v="5"/>
    <x v="0"/>
  </r>
  <r>
    <s v="PK-101288"/>
    <x v="18"/>
    <s v="Bernard Robertson"/>
    <s v="jsantana@kennedy-palmer.com"/>
    <n v="923418581321"/>
    <x v="1"/>
    <s v="Pakistan"/>
    <x v="5"/>
    <n v="1"/>
    <n v="5378"/>
    <n v="5378"/>
    <x v="4"/>
    <x v="1"/>
    <x v="3"/>
  </r>
  <r>
    <s v="PK-101289"/>
    <x v="49"/>
    <s v="Denise Sloan"/>
    <s v="fergusonbeverly@gmail.com"/>
    <n v="923324516445"/>
    <x v="7"/>
    <s v="Pakistan"/>
    <x v="3"/>
    <n v="1"/>
    <n v="8983"/>
    <n v="8983"/>
    <x v="3"/>
    <x v="2"/>
    <x v="0"/>
  </r>
  <r>
    <s v="PK-101290"/>
    <x v="245"/>
    <s v="Amy Cummings"/>
    <s v="woodslori@reed.info"/>
    <n v="923069143176"/>
    <x v="3"/>
    <s v="Pakistan"/>
    <x v="2"/>
    <n v="3"/>
    <n v="4203"/>
    <n v="12609"/>
    <x v="2"/>
    <x v="0"/>
    <x v="0"/>
  </r>
  <r>
    <s v="PK-101291"/>
    <x v="73"/>
    <s v="Andrew Wilson"/>
    <s v="johnny36@taylor.com"/>
    <n v="923061508911"/>
    <x v="2"/>
    <s v="Pakistan"/>
    <x v="4"/>
    <n v="4"/>
    <n v="9646"/>
    <n v="38584"/>
    <x v="3"/>
    <x v="3"/>
    <x v="2"/>
  </r>
  <r>
    <s v="PK-101292"/>
    <x v="114"/>
    <s v="Brandy Bentley"/>
    <s v="twarren@hotmail.com"/>
    <n v="923377176254"/>
    <x v="5"/>
    <s v="Pakistan"/>
    <x v="3"/>
    <n v="2"/>
    <n v="7664"/>
    <n v="15328"/>
    <x v="2"/>
    <x v="3"/>
    <x v="0"/>
  </r>
  <r>
    <s v="PK-101293"/>
    <x v="213"/>
    <s v="Frank Davis"/>
    <s v="nalexander@hotmail.com"/>
    <n v="923045079146"/>
    <x v="1"/>
    <s v="Pakistan"/>
    <x v="5"/>
    <n v="2"/>
    <n v="10890"/>
    <n v="21780"/>
    <x v="1"/>
    <x v="7"/>
    <x v="1"/>
  </r>
  <r>
    <s v="PK-101294"/>
    <x v="50"/>
    <s v="Marc Johnson"/>
    <s v="ashleycarpenter@hotmail.com"/>
    <n v="923383075307"/>
    <x v="3"/>
    <s v="Pakistan"/>
    <x v="5"/>
    <n v="2"/>
    <n v="13817"/>
    <n v="27634"/>
    <x v="4"/>
    <x v="4"/>
    <x v="2"/>
  </r>
  <r>
    <s v="PK-101295"/>
    <x v="66"/>
    <s v="Brianna Miller"/>
    <s v="nmccarty@gmail.com"/>
    <n v="923184011184"/>
    <x v="3"/>
    <s v="Pakistan"/>
    <x v="0"/>
    <n v="2"/>
    <n v="14096"/>
    <n v="28192"/>
    <x v="4"/>
    <x v="3"/>
    <x v="2"/>
  </r>
  <r>
    <s v="PK-101296"/>
    <x v="356"/>
    <s v="Gabriel Wilson"/>
    <s v="glenn25@yahoo.com"/>
    <n v="923265187461"/>
    <x v="1"/>
    <s v="Pakistan"/>
    <x v="0"/>
    <n v="3"/>
    <n v="10492"/>
    <n v="31476"/>
    <x v="5"/>
    <x v="5"/>
    <x v="3"/>
  </r>
  <r>
    <s v="PK-101297"/>
    <x v="262"/>
    <s v="Raymond Soto"/>
    <s v="megan39@hotmail.com"/>
    <n v="923374096212"/>
    <x v="5"/>
    <s v="Pakistan"/>
    <x v="2"/>
    <n v="2"/>
    <n v="9795"/>
    <n v="19590"/>
    <x v="4"/>
    <x v="6"/>
    <x v="1"/>
  </r>
  <r>
    <s v="PK-101298"/>
    <x v="111"/>
    <s v="Gregory Jackson"/>
    <s v="dle@moore.com"/>
    <n v="923144668674"/>
    <x v="7"/>
    <s v="Pakistan"/>
    <x v="4"/>
    <n v="3"/>
    <n v="8706"/>
    <n v="26118"/>
    <x v="1"/>
    <x v="3"/>
    <x v="1"/>
  </r>
  <r>
    <s v="PK-101299"/>
    <x v="234"/>
    <s v="Kristy Bartlett"/>
    <s v="matthew30@salazar.com"/>
    <n v="923089389243"/>
    <x v="7"/>
    <s v="Pakistan"/>
    <x v="5"/>
    <n v="3"/>
    <n v="10295"/>
    <n v="30885"/>
    <x v="5"/>
    <x v="0"/>
    <x v="2"/>
  </r>
  <r>
    <s v="PK-101300"/>
    <x v="123"/>
    <s v="Lucas Allen"/>
    <s v="mgoodman@yahoo.com"/>
    <n v="923194498415"/>
    <x v="5"/>
    <s v="Pakistan"/>
    <x v="3"/>
    <n v="1"/>
    <n v="9494"/>
    <n v="9494"/>
    <x v="1"/>
    <x v="0"/>
    <x v="0"/>
  </r>
  <r>
    <s v="PK-101301"/>
    <x v="190"/>
    <s v="Andrew Smith"/>
    <s v="michaelmarshall@gmail.com"/>
    <n v="923100660202"/>
    <x v="7"/>
    <s v="Pakistan"/>
    <x v="2"/>
    <n v="4"/>
    <n v="7839"/>
    <n v="31356"/>
    <x v="5"/>
    <x v="0"/>
    <x v="3"/>
  </r>
  <r>
    <s v="PK-101302"/>
    <x v="351"/>
    <s v="Whitney Thompson"/>
    <s v="laurenmathis@becker.com"/>
    <n v="923390163875"/>
    <x v="7"/>
    <s v="Pakistan"/>
    <x v="1"/>
    <n v="1"/>
    <n v="8030"/>
    <n v="8030"/>
    <x v="1"/>
    <x v="4"/>
    <x v="2"/>
  </r>
  <r>
    <s v="PK-101303"/>
    <x v="219"/>
    <s v="David Rodriguez"/>
    <s v="bentleyherbert@hotmail.com"/>
    <n v="923072817624"/>
    <x v="2"/>
    <s v="Pakistan"/>
    <x v="1"/>
    <n v="4"/>
    <n v="9099"/>
    <n v="36396"/>
    <x v="5"/>
    <x v="4"/>
    <x v="2"/>
  </r>
  <r>
    <s v="PK-101304"/>
    <x v="293"/>
    <s v="Justin Cruz"/>
    <s v="leemisty@miller.com"/>
    <n v="923238182530"/>
    <x v="4"/>
    <s v="Pakistan"/>
    <x v="3"/>
    <n v="3"/>
    <n v="11032"/>
    <n v="33096"/>
    <x v="0"/>
    <x v="0"/>
    <x v="2"/>
  </r>
  <r>
    <s v="PK-101305"/>
    <x v="12"/>
    <s v="Valerie Kennedy"/>
    <s v="vharris@adams.com"/>
    <n v="923238018427"/>
    <x v="5"/>
    <s v="Pakistan"/>
    <x v="0"/>
    <n v="5"/>
    <n v="12172"/>
    <n v="60860"/>
    <x v="5"/>
    <x v="0"/>
    <x v="3"/>
  </r>
  <r>
    <s v="PK-101306"/>
    <x v="242"/>
    <s v="Michael Riddle"/>
    <s v="karina63@gmail.com"/>
    <n v="923296981765"/>
    <x v="0"/>
    <s v="Pakistan"/>
    <x v="5"/>
    <n v="5"/>
    <n v="14631"/>
    <n v="73155"/>
    <x v="2"/>
    <x v="4"/>
    <x v="1"/>
  </r>
  <r>
    <s v="PK-101307"/>
    <x v="148"/>
    <s v="Mr. Tyler Velazquez Jr."/>
    <s v="nlindsey@torres.com"/>
    <n v="923154738712"/>
    <x v="5"/>
    <s v="Pakistan"/>
    <x v="5"/>
    <n v="5"/>
    <n v="5781"/>
    <n v="28905"/>
    <x v="0"/>
    <x v="6"/>
    <x v="3"/>
  </r>
  <r>
    <s v="PK-101308"/>
    <x v="267"/>
    <s v="Teresa Foster"/>
    <s v="kimjackson@garner.com"/>
    <n v="923073079764"/>
    <x v="5"/>
    <s v="Pakistan"/>
    <x v="5"/>
    <n v="2"/>
    <n v="8635"/>
    <n v="17270"/>
    <x v="0"/>
    <x v="2"/>
    <x v="2"/>
  </r>
  <r>
    <s v="PK-101309"/>
    <x v="331"/>
    <s v="Lisa Cruz"/>
    <s v="martinangelica@garcia.com"/>
    <n v="923497072342"/>
    <x v="3"/>
    <s v="Pakistan"/>
    <x v="1"/>
    <n v="1"/>
    <n v="14947"/>
    <n v="14947"/>
    <x v="0"/>
    <x v="5"/>
    <x v="3"/>
  </r>
  <r>
    <s v="PK-101310"/>
    <x v="314"/>
    <s v="Scott Griffith"/>
    <s v="zgreen@flores-baker.com"/>
    <n v="923095653926"/>
    <x v="9"/>
    <s v="Pakistan"/>
    <x v="1"/>
    <n v="4"/>
    <n v="14886"/>
    <n v="59544"/>
    <x v="3"/>
    <x v="1"/>
    <x v="2"/>
  </r>
  <r>
    <s v="PK-101311"/>
    <x v="15"/>
    <s v="Mark Garcia"/>
    <s v="snovak@hotmail.com"/>
    <n v="923489368690"/>
    <x v="0"/>
    <s v="Pakistan"/>
    <x v="3"/>
    <n v="5"/>
    <n v="9527"/>
    <n v="47635"/>
    <x v="3"/>
    <x v="0"/>
    <x v="0"/>
  </r>
  <r>
    <s v="PK-101312"/>
    <x v="116"/>
    <s v="Michael Edwards"/>
    <s v="gthompson@yahoo.com"/>
    <n v="923441879089"/>
    <x v="5"/>
    <s v="Pakistan"/>
    <x v="4"/>
    <n v="5"/>
    <n v="6101"/>
    <n v="30505"/>
    <x v="1"/>
    <x v="5"/>
    <x v="0"/>
  </r>
  <r>
    <s v="PK-101313"/>
    <x v="282"/>
    <s v="David Clark"/>
    <s v="tinagrimes@yahoo.com"/>
    <n v="923426414404"/>
    <x v="2"/>
    <s v="Pakistan"/>
    <x v="5"/>
    <n v="4"/>
    <n v="6334"/>
    <n v="25336"/>
    <x v="2"/>
    <x v="7"/>
    <x v="1"/>
  </r>
  <r>
    <s v="PK-101314"/>
    <x v="84"/>
    <s v="Nancy Cox"/>
    <s v="katherine60@hotmail.com"/>
    <n v="923499707353"/>
    <x v="6"/>
    <s v="Pakistan"/>
    <x v="3"/>
    <n v="4"/>
    <n v="5093"/>
    <n v="20372"/>
    <x v="3"/>
    <x v="1"/>
    <x v="0"/>
  </r>
  <r>
    <s v="PK-101315"/>
    <x v="39"/>
    <s v="Kelly Padilla"/>
    <s v="dcantu@gmail.com"/>
    <n v="923396420869"/>
    <x v="1"/>
    <s v="Pakistan"/>
    <x v="0"/>
    <n v="2"/>
    <n v="7516"/>
    <n v="15032"/>
    <x v="4"/>
    <x v="1"/>
    <x v="3"/>
  </r>
  <r>
    <s v="PK-101316"/>
    <x v="251"/>
    <s v="Angel Haas"/>
    <s v="ksullivan@hotmail.com"/>
    <n v="923389924371"/>
    <x v="0"/>
    <s v="Pakistan"/>
    <x v="5"/>
    <n v="5"/>
    <n v="5675"/>
    <n v="28375"/>
    <x v="4"/>
    <x v="5"/>
    <x v="3"/>
  </r>
  <r>
    <s v="PK-101317"/>
    <x v="176"/>
    <s v="Elizabeth Hanson"/>
    <s v="bhudson@gmail.com"/>
    <n v="923102849073"/>
    <x v="9"/>
    <s v="Pakistan"/>
    <x v="1"/>
    <n v="2"/>
    <n v="11770"/>
    <n v="23540"/>
    <x v="0"/>
    <x v="4"/>
    <x v="3"/>
  </r>
  <r>
    <s v="PK-101318"/>
    <x v="133"/>
    <s v="Peter Jacobs"/>
    <s v="wfrost@flowers.biz"/>
    <n v="923352383913"/>
    <x v="9"/>
    <s v="Pakistan"/>
    <x v="5"/>
    <n v="3"/>
    <n v="9489"/>
    <n v="28467"/>
    <x v="5"/>
    <x v="7"/>
    <x v="2"/>
  </r>
  <r>
    <s v="PK-101319"/>
    <x v="299"/>
    <s v="Michael Williams"/>
    <s v="allisonanthony@may.com"/>
    <n v="923122892773"/>
    <x v="2"/>
    <s v="Pakistan"/>
    <x v="3"/>
    <n v="5"/>
    <n v="4711"/>
    <n v="23555"/>
    <x v="5"/>
    <x v="1"/>
    <x v="2"/>
  </r>
  <r>
    <s v="PK-101320"/>
    <x v="23"/>
    <s v="Tanya Stevenson"/>
    <s v="conwaymichelle@hotmail.com"/>
    <n v="923092911244"/>
    <x v="2"/>
    <s v="Pakistan"/>
    <x v="5"/>
    <n v="1"/>
    <n v="5255"/>
    <n v="5255"/>
    <x v="0"/>
    <x v="0"/>
    <x v="3"/>
  </r>
  <r>
    <s v="PK-101321"/>
    <x v="44"/>
    <s v="Robert Rodriguez"/>
    <s v="steven10@gutierrez-hernandez.info"/>
    <n v="923392447081"/>
    <x v="6"/>
    <s v="Pakistan"/>
    <x v="5"/>
    <n v="4"/>
    <n v="12514"/>
    <n v="50056"/>
    <x v="3"/>
    <x v="2"/>
    <x v="1"/>
  </r>
  <r>
    <s v="PK-101322"/>
    <x v="106"/>
    <s v="Anthony Ramirez"/>
    <s v="nrobbins@mitchell.info"/>
    <n v="923335275176"/>
    <x v="0"/>
    <s v="Pakistan"/>
    <x v="3"/>
    <n v="4"/>
    <n v="6756"/>
    <n v="27024"/>
    <x v="2"/>
    <x v="5"/>
    <x v="3"/>
  </r>
  <r>
    <s v="PK-101323"/>
    <x v="280"/>
    <s v="Blake Patterson"/>
    <s v="robertskaylee@hotmail.com"/>
    <n v="923305677291"/>
    <x v="5"/>
    <s v="Pakistan"/>
    <x v="1"/>
    <n v="3"/>
    <n v="10652"/>
    <n v="31956"/>
    <x v="5"/>
    <x v="3"/>
    <x v="0"/>
  </r>
  <r>
    <s v="PK-101324"/>
    <x v="105"/>
    <s v="Mr. Brian Phillips MD"/>
    <s v="aimeeferguson@richardson.com"/>
    <n v="923228235820"/>
    <x v="4"/>
    <s v="Pakistan"/>
    <x v="5"/>
    <n v="5"/>
    <n v="12348"/>
    <n v="61740"/>
    <x v="2"/>
    <x v="7"/>
    <x v="1"/>
  </r>
  <r>
    <s v="PK-101325"/>
    <x v="330"/>
    <s v="Harold Johnson"/>
    <s v="fbray@hotmail.com"/>
    <n v="923057752405"/>
    <x v="7"/>
    <s v="Pakistan"/>
    <x v="4"/>
    <n v="4"/>
    <n v="6160"/>
    <n v="24640"/>
    <x v="3"/>
    <x v="5"/>
    <x v="3"/>
  </r>
  <r>
    <s v="PK-101326"/>
    <x v="82"/>
    <s v="Cynthia Smith"/>
    <s v="robert64@hotmail.com"/>
    <n v="923277623944"/>
    <x v="9"/>
    <s v="Pakistan"/>
    <x v="0"/>
    <n v="5"/>
    <n v="1739"/>
    <n v="8695"/>
    <x v="5"/>
    <x v="3"/>
    <x v="1"/>
  </r>
  <r>
    <s v="PK-101327"/>
    <x v="287"/>
    <s v="Richard Hartman"/>
    <s v="joneschristina@hotmail.com"/>
    <n v="923091500611"/>
    <x v="2"/>
    <s v="Pakistan"/>
    <x v="1"/>
    <n v="3"/>
    <n v="12894"/>
    <n v="38682"/>
    <x v="2"/>
    <x v="2"/>
    <x v="1"/>
  </r>
  <r>
    <s v="PK-101328"/>
    <x v="355"/>
    <s v="Cheryl Kidd"/>
    <s v="kevinwebster@sweeney.info"/>
    <n v="923097048895"/>
    <x v="6"/>
    <s v="Pakistan"/>
    <x v="3"/>
    <n v="4"/>
    <n v="1426"/>
    <n v="5704"/>
    <x v="5"/>
    <x v="2"/>
    <x v="1"/>
  </r>
  <r>
    <s v="PK-101329"/>
    <x v="246"/>
    <s v="Arthur Gonzalez"/>
    <s v="michaelmurphy@gmail.com"/>
    <n v="923119210982"/>
    <x v="2"/>
    <s v="Pakistan"/>
    <x v="4"/>
    <n v="3"/>
    <n v="6844"/>
    <n v="20532"/>
    <x v="3"/>
    <x v="6"/>
    <x v="2"/>
  </r>
  <r>
    <s v="PK-101330"/>
    <x v="65"/>
    <s v="Natalie Barker"/>
    <s v="browndonald@yahoo.com"/>
    <n v="923008655076"/>
    <x v="1"/>
    <s v="Pakistan"/>
    <x v="3"/>
    <n v="3"/>
    <n v="6065"/>
    <n v="18195"/>
    <x v="0"/>
    <x v="4"/>
    <x v="2"/>
  </r>
  <r>
    <s v="PK-101331"/>
    <x v="357"/>
    <s v="Michelle Smith"/>
    <s v="smunoz@yahoo.com"/>
    <n v="923067451304"/>
    <x v="7"/>
    <s v="Pakistan"/>
    <x v="4"/>
    <n v="2"/>
    <n v="8406"/>
    <n v="16812"/>
    <x v="4"/>
    <x v="3"/>
    <x v="1"/>
  </r>
  <r>
    <s v="PK-101332"/>
    <x v="195"/>
    <s v="Kelly Smith"/>
    <s v="melissamann@reese.com"/>
    <n v="923412436031"/>
    <x v="0"/>
    <s v="Pakistan"/>
    <x v="2"/>
    <n v="4"/>
    <n v="12049"/>
    <n v="48196"/>
    <x v="0"/>
    <x v="6"/>
    <x v="2"/>
  </r>
  <r>
    <s v="PK-101333"/>
    <x v="128"/>
    <s v="Sandra Welch"/>
    <s v="richardshannon@gmail.com"/>
    <n v="923176707611"/>
    <x v="0"/>
    <s v="Pakistan"/>
    <x v="4"/>
    <n v="2"/>
    <n v="9661"/>
    <n v="19322"/>
    <x v="3"/>
    <x v="2"/>
    <x v="0"/>
  </r>
  <r>
    <s v="PK-101334"/>
    <x v="209"/>
    <s v="Janice Phillips"/>
    <s v="ylee@yahoo.com"/>
    <n v="923034809497"/>
    <x v="6"/>
    <s v="Pakistan"/>
    <x v="0"/>
    <n v="2"/>
    <n v="11484"/>
    <n v="22968"/>
    <x v="0"/>
    <x v="7"/>
    <x v="1"/>
  </r>
  <r>
    <s v="PK-101335"/>
    <x v="88"/>
    <s v="Danielle Andrade"/>
    <s v="adamcarson@yahoo.com"/>
    <n v="923363221591"/>
    <x v="0"/>
    <s v="Pakistan"/>
    <x v="1"/>
    <n v="3"/>
    <n v="7053"/>
    <n v="21159"/>
    <x v="4"/>
    <x v="4"/>
    <x v="1"/>
  </r>
  <r>
    <s v="PK-101336"/>
    <x v="25"/>
    <s v="Kimberly Flores"/>
    <s v="spencercarroll@yahoo.com"/>
    <n v="923003715264"/>
    <x v="2"/>
    <s v="Pakistan"/>
    <x v="5"/>
    <n v="2"/>
    <n v="8093"/>
    <n v="16186"/>
    <x v="3"/>
    <x v="4"/>
    <x v="1"/>
  </r>
  <r>
    <s v="PK-101337"/>
    <x v="358"/>
    <s v="Michael Lane"/>
    <s v="ericaallen@hotmail.com"/>
    <n v="923072296621"/>
    <x v="8"/>
    <s v="Pakistan"/>
    <x v="3"/>
    <n v="3"/>
    <n v="3711"/>
    <n v="11133"/>
    <x v="1"/>
    <x v="4"/>
    <x v="0"/>
  </r>
  <r>
    <s v="PK-101338"/>
    <x v="131"/>
    <s v="Mr. Johnathan Holt IV"/>
    <s v="christopher23@hotmail.com"/>
    <n v="923458237848"/>
    <x v="4"/>
    <s v="Pakistan"/>
    <x v="3"/>
    <n v="3"/>
    <n v="14934"/>
    <n v="44802"/>
    <x v="5"/>
    <x v="5"/>
    <x v="0"/>
  </r>
  <r>
    <s v="PK-101339"/>
    <x v="112"/>
    <s v="John Dean"/>
    <s v="thompsonmary@turner.org"/>
    <n v="923070976030"/>
    <x v="3"/>
    <s v="Pakistan"/>
    <x v="2"/>
    <n v="1"/>
    <n v="13358"/>
    <n v="13358"/>
    <x v="0"/>
    <x v="5"/>
    <x v="1"/>
  </r>
  <r>
    <s v="PK-101340"/>
    <x v="302"/>
    <s v="Deanna Lee"/>
    <s v="epowell@hotmail.com"/>
    <n v="923223614332"/>
    <x v="1"/>
    <s v="Pakistan"/>
    <x v="2"/>
    <n v="5"/>
    <n v="5700"/>
    <n v="28500"/>
    <x v="5"/>
    <x v="1"/>
    <x v="0"/>
  </r>
  <r>
    <s v="PK-101341"/>
    <x v="212"/>
    <s v="Darren Moyer"/>
    <s v="yhopkins@yahoo.com"/>
    <n v="923443980547"/>
    <x v="8"/>
    <s v="Pakistan"/>
    <x v="4"/>
    <n v="4"/>
    <n v="8533"/>
    <n v="34132"/>
    <x v="0"/>
    <x v="6"/>
    <x v="3"/>
  </r>
  <r>
    <s v="PK-101342"/>
    <x v="330"/>
    <s v="Scott Torres"/>
    <s v="rebecca21@chambers-jackson.net"/>
    <n v="923065866275"/>
    <x v="8"/>
    <s v="Pakistan"/>
    <x v="3"/>
    <n v="2"/>
    <n v="14769"/>
    <n v="29538"/>
    <x v="1"/>
    <x v="5"/>
    <x v="0"/>
  </r>
  <r>
    <s v="PK-101343"/>
    <x v="226"/>
    <s v="Christina Cunningham"/>
    <s v="michael34@yahoo.com"/>
    <n v="923232668915"/>
    <x v="6"/>
    <s v="Pakistan"/>
    <x v="5"/>
    <n v="5"/>
    <n v="4435"/>
    <n v="22175"/>
    <x v="1"/>
    <x v="3"/>
    <x v="3"/>
  </r>
  <r>
    <s v="PK-101344"/>
    <x v="170"/>
    <s v="David Costa"/>
    <s v="robin92@vazquez.org"/>
    <n v="923412585972"/>
    <x v="4"/>
    <s v="Pakistan"/>
    <x v="3"/>
    <n v="2"/>
    <n v="12711"/>
    <n v="25422"/>
    <x v="5"/>
    <x v="2"/>
    <x v="0"/>
  </r>
  <r>
    <s v="PK-101345"/>
    <x v="57"/>
    <s v="Olivia Stewart"/>
    <s v="mstone@yahoo.com"/>
    <n v="923379712245"/>
    <x v="9"/>
    <s v="Pakistan"/>
    <x v="1"/>
    <n v="4"/>
    <n v="4337"/>
    <n v="17348"/>
    <x v="3"/>
    <x v="6"/>
    <x v="1"/>
  </r>
  <r>
    <s v="PK-101346"/>
    <x v="178"/>
    <s v="Michael Bryant"/>
    <s v="bridgesleslie@yahoo.com"/>
    <n v="923003297768"/>
    <x v="7"/>
    <s v="Pakistan"/>
    <x v="5"/>
    <n v="3"/>
    <n v="11679"/>
    <n v="35037"/>
    <x v="5"/>
    <x v="6"/>
    <x v="1"/>
  </r>
  <r>
    <s v="PK-101347"/>
    <x v="7"/>
    <s v="Ethan Luna"/>
    <s v="oclements@baker.com"/>
    <n v="923490989832"/>
    <x v="9"/>
    <s v="Pakistan"/>
    <x v="1"/>
    <n v="1"/>
    <n v="11886"/>
    <n v="11886"/>
    <x v="1"/>
    <x v="1"/>
    <x v="0"/>
  </r>
  <r>
    <s v="PK-101348"/>
    <x v="75"/>
    <s v="Taylor Villa"/>
    <s v="gomezbradley@donovan.net"/>
    <n v="923368953231"/>
    <x v="7"/>
    <s v="Pakistan"/>
    <x v="5"/>
    <n v="3"/>
    <n v="13218"/>
    <n v="39654"/>
    <x v="2"/>
    <x v="3"/>
    <x v="0"/>
  </r>
  <r>
    <s v="PK-101349"/>
    <x v="104"/>
    <s v="Jason Rice"/>
    <s v="mpena@miller.com"/>
    <n v="923464844354"/>
    <x v="9"/>
    <s v="Pakistan"/>
    <x v="5"/>
    <n v="4"/>
    <n v="14837"/>
    <n v="59348"/>
    <x v="2"/>
    <x v="5"/>
    <x v="3"/>
  </r>
  <r>
    <s v="PK-101350"/>
    <x v="315"/>
    <s v="Stanley Mendoza"/>
    <s v="nfigueroa@yahoo.com"/>
    <n v="923205698012"/>
    <x v="9"/>
    <s v="Pakistan"/>
    <x v="3"/>
    <n v="4"/>
    <n v="5247"/>
    <n v="20988"/>
    <x v="3"/>
    <x v="7"/>
    <x v="3"/>
  </r>
  <r>
    <s v="PK-101351"/>
    <x v="97"/>
    <s v="Dana Callahan"/>
    <s v="mallory44@robertson-hickman.info"/>
    <n v="923315727867"/>
    <x v="7"/>
    <s v="Pakistan"/>
    <x v="3"/>
    <n v="3"/>
    <n v="12322"/>
    <n v="36966"/>
    <x v="1"/>
    <x v="3"/>
    <x v="1"/>
  </r>
  <r>
    <s v="PK-101352"/>
    <x v="132"/>
    <s v="Christine Campbell"/>
    <s v="vincent03@jackson-sanchez.biz"/>
    <n v="923426394405"/>
    <x v="1"/>
    <s v="Pakistan"/>
    <x v="2"/>
    <n v="1"/>
    <n v="12737"/>
    <n v="12737"/>
    <x v="0"/>
    <x v="1"/>
    <x v="0"/>
  </r>
  <r>
    <s v="PK-101353"/>
    <x v="77"/>
    <s v="Ronald Adams"/>
    <s v="ewebster@gmail.com"/>
    <n v="923434989488"/>
    <x v="0"/>
    <s v="Pakistan"/>
    <x v="4"/>
    <n v="4"/>
    <n v="7229"/>
    <n v="28916"/>
    <x v="4"/>
    <x v="3"/>
    <x v="1"/>
  </r>
  <r>
    <s v="PK-101354"/>
    <x v="200"/>
    <s v="Mr. Seth Levine Jr."/>
    <s v="justin93@gmail.com"/>
    <n v="923280539818"/>
    <x v="4"/>
    <s v="Pakistan"/>
    <x v="5"/>
    <n v="1"/>
    <n v="1867"/>
    <n v="1867"/>
    <x v="3"/>
    <x v="7"/>
    <x v="3"/>
  </r>
  <r>
    <s v="PK-101355"/>
    <x v="244"/>
    <s v="Bradley Guzman"/>
    <s v="prodriguez@yahoo.com"/>
    <n v="923189557153"/>
    <x v="0"/>
    <s v="Pakistan"/>
    <x v="1"/>
    <n v="2"/>
    <n v="2296"/>
    <n v="4592"/>
    <x v="3"/>
    <x v="1"/>
    <x v="3"/>
  </r>
  <r>
    <s v="PK-101356"/>
    <x v="8"/>
    <s v="Maria Summers"/>
    <s v="mgraves@hamilton.com"/>
    <n v="923385206544"/>
    <x v="1"/>
    <s v="Pakistan"/>
    <x v="5"/>
    <n v="4"/>
    <n v="14108"/>
    <n v="56432"/>
    <x v="5"/>
    <x v="5"/>
    <x v="1"/>
  </r>
  <r>
    <s v="PK-101357"/>
    <x v="188"/>
    <s v="Jerry Hale"/>
    <s v="virginia62@yahoo.com"/>
    <n v="923141076857"/>
    <x v="2"/>
    <s v="Pakistan"/>
    <x v="5"/>
    <n v="5"/>
    <n v="12342"/>
    <n v="61710"/>
    <x v="3"/>
    <x v="7"/>
    <x v="3"/>
  </r>
  <r>
    <s v="PK-101358"/>
    <x v="348"/>
    <s v="Jennifer Brooks"/>
    <s v="mark48@yahoo.com"/>
    <n v="923487220817"/>
    <x v="1"/>
    <s v="Pakistan"/>
    <x v="4"/>
    <n v="4"/>
    <n v="8092"/>
    <n v="32368"/>
    <x v="0"/>
    <x v="4"/>
    <x v="3"/>
  </r>
  <r>
    <s v="PK-101359"/>
    <x v="280"/>
    <s v="David Flowers"/>
    <s v="kimberly76@yahoo.com"/>
    <n v="923219640692"/>
    <x v="8"/>
    <s v="Pakistan"/>
    <x v="5"/>
    <n v="1"/>
    <n v="4866"/>
    <n v="4866"/>
    <x v="2"/>
    <x v="0"/>
    <x v="0"/>
  </r>
  <r>
    <s v="PK-101360"/>
    <x v="320"/>
    <s v="Julia Garcia"/>
    <s v="gsullivan@pearson.com"/>
    <n v="923344052989"/>
    <x v="3"/>
    <s v="Pakistan"/>
    <x v="0"/>
    <n v="1"/>
    <n v="3728"/>
    <n v="3728"/>
    <x v="5"/>
    <x v="4"/>
    <x v="0"/>
  </r>
  <r>
    <s v="PK-101361"/>
    <x v="304"/>
    <s v="Tina Brown"/>
    <s v="mwilson@hancock-bowman.biz"/>
    <n v="923164493126"/>
    <x v="6"/>
    <s v="Pakistan"/>
    <x v="4"/>
    <n v="3"/>
    <n v="10862"/>
    <n v="32586"/>
    <x v="5"/>
    <x v="1"/>
    <x v="1"/>
  </r>
  <r>
    <s v="PK-101362"/>
    <x v="347"/>
    <s v="Valerie Brown"/>
    <s v="mhartman@houston.com"/>
    <n v="923205304624"/>
    <x v="1"/>
    <s v="Pakistan"/>
    <x v="0"/>
    <n v="2"/>
    <n v="5071"/>
    <n v="10142"/>
    <x v="1"/>
    <x v="1"/>
    <x v="3"/>
  </r>
  <r>
    <s v="PK-101363"/>
    <x v="316"/>
    <s v="Brian Melendez"/>
    <s v="thomasrichardson@shea-walker.com"/>
    <n v="923127775930"/>
    <x v="2"/>
    <s v="Pakistan"/>
    <x v="0"/>
    <n v="2"/>
    <n v="5423"/>
    <n v="10846"/>
    <x v="3"/>
    <x v="5"/>
    <x v="0"/>
  </r>
  <r>
    <s v="PK-101364"/>
    <x v="189"/>
    <s v="Isaiah Jordan"/>
    <s v="aarnold@gmail.com"/>
    <n v="923235223079"/>
    <x v="3"/>
    <s v="Pakistan"/>
    <x v="5"/>
    <n v="4"/>
    <n v="9447"/>
    <n v="37788"/>
    <x v="3"/>
    <x v="1"/>
    <x v="3"/>
  </r>
  <r>
    <s v="PK-101365"/>
    <x v="73"/>
    <s v="Haley Miller"/>
    <s v="lauren43@harris.com"/>
    <n v="923119232400"/>
    <x v="8"/>
    <s v="Pakistan"/>
    <x v="2"/>
    <n v="2"/>
    <n v="5639"/>
    <n v="11278"/>
    <x v="3"/>
    <x v="4"/>
    <x v="0"/>
  </r>
  <r>
    <s v="PK-101366"/>
    <x v="349"/>
    <s v="Monica Douglas"/>
    <s v="xjefferson@gmail.com"/>
    <n v="923223912914"/>
    <x v="5"/>
    <s v="Pakistan"/>
    <x v="1"/>
    <n v="3"/>
    <n v="3855"/>
    <n v="11565"/>
    <x v="2"/>
    <x v="1"/>
    <x v="3"/>
  </r>
  <r>
    <s v="PK-101367"/>
    <x v="221"/>
    <s v="Robin Crosby"/>
    <s v="laura51@gmail.com"/>
    <n v="923323076894"/>
    <x v="4"/>
    <s v="Pakistan"/>
    <x v="2"/>
    <n v="3"/>
    <n v="11891"/>
    <n v="35673"/>
    <x v="0"/>
    <x v="3"/>
    <x v="0"/>
  </r>
  <r>
    <s v="PK-101368"/>
    <x v="31"/>
    <s v="Elaine Wang"/>
    <s v="pstein@hotmail.com"/>
    <n v="923027344450"/>
    <x v="0"/>
    <s v="Pakistan"/>
    <x v="0"/>
    <n v="1"/>
    <n v="7668"/>
    <n v="7668"/>
    <x v="2"/>
    <x v="6"/>
    <x v="1"/>
  </r>
  <r>
    <s v="PK-101369"/>
    <x v="67"/>
    <s v="Debbie Moore"/>
    <s v="vharris@king-webb.com"/>
    <n v="923409765378"/>
    <x v="3"/>
    <s v="Pakistan"/>
    <x v="2"/>
    <n v="5"/>
    <n v="4825"/>
    <n v="24125"/>
    <x v="3"/>
    <x v="5"/>
    <x v="3"/>
  </r>
  <r>
    <s v="PK-101370"/>
    <x v="131"/>
    <s v="Cindy Olsen"/>
    <s v="jacksonrebekah@rodriguez-garcia.com"/>
    <n v="923307585238"/>
    <x v="4"/>
    <s v="Pakistan"/>
    <x v="0"/>
    <n v="2"/>
    <n v="7321"/>
    <n v="14642"/>
    <x v="4"/>
    <x v="2"/>
    <x v="1"/>
  </r>
  <r>
    <s v="PK-101371"/>
    <x v="298"/>
    <s v="Catherine Franklin"/>
    <s v="williamsmatthew@yahoo.com"/>
    <n v="923057031522"/>
    <x v="7"/>
    <s v="Pakistan"/>
    <x v="3"/>
    <n v="5"/>
    <n v="10117"/>
    <n v="50585"/>
    <x v="1"/>
    <x v="1"/>
    <x v="0"/>
  </r>
  <r>
    <s v="PK-101372"/>
    <x v="237"/>
    <s v="Lindsey Francis"/>
    <s v="mayjesus@gonzalez.info"/>
    <n v="923011713584"/>
    <x v="4"/>
    <s v="Pakistan"/>
    <x v="4"/>
    <n v="4"/>
    <n v="6717"/>
    <n v="26868"/>
    <x v="4"/>
    <x v="4"/>
    <x v="2"/>
  </r>
  <r>
    <s v="PK-101373"/>
    <x v="83"/>
    <s v="Sherry Parks"/>
    <s v="michaelsavage@chapman-mills.com"/>
    <n v="923426466186"/>
    <x v="1"/>
    <s v="Pakistan"/>
    <x v="0"/>
    <n v="3"/>
    <n v="1687"/>
    <n v="5061"/>
    <x v="2"/>
    <x v="6"/>
    <x v="2"/>
  </r>
  <r>
    <s v="PK-101374"/>
    <x v="90"/>
    <s v="Theresa Payne"/>
    <s v="wendy11@yahoo.com"/>
    <n v="923480680068"/>
    <x v="6"/>
    <s v="Pakistan"/>
    <x v="3"/>
    <n v="3"/>
    <n v="14217"/>
    <n v="42651"/>
    <x v="3"/>
    <x v="2"/>
    <x v="1"/>
  </r>
  <r>
    <s v="PK-101375"/>
    <x v="235"/>
    <s v="Mrs. Rachel Allison"/>
    <s v="andreaespinoza@hotmail.com"/>
    <n v="923371115456"/>
    <x v="5"/>
    <s v="Pakistan"/>
    <x v="2"/>
    <n v="4"/>
    <n v="11988"/>
    <n v="47952"/>
    <x v="1"/>
    <x v="0"/>
    <x v="3"/>
  </r>
  <r>
    <s v="PK-101376"/>
    <x v="18"/>
    <s v="Brett Patel"/>
    <s v="jeffersonsarah@bautista.com"/>
    <n v="923281823759"/>
    <x v="1"/>
    <s v="Pakistan"/>
    <x v="0"/>
    <n v="3"/>
    <n v="10742"/>
    <n v="32226"/>
    <x v="1"/>
    <x v="0"/>
    <x v="3"/>
  </r>
  <r>
    <s v="PK-101377"/>
    <x v="252"/>
    <s v="James Soto"/>
    <s v="tiffany46@gmail.com"/>
    <n v="923346232977"/>
    <x v="5"/>
    <s v="Pakistan"/>
    <x v="5"/>
    <n v="1"/>
    <n v="8101"/>
    <n v="8101"/>
    <x v="1"/>
    <x v="5"/>
    <x v="0"/>
  </r>
  <r>
    <s v="PK-101378"/>
    <x v="235"/>
    <s v="Kelly Perez"/>
    <s v="fernandezkelly@adkins.com"/>
    <n v="923455701860"/>
    <x v="1"/>
    <s v="Pakistan"/>
    <x v="0"/>
    <n v="3"/>
    <n v="14642"/>
    <n v="43926"/>
    <x v="2"/>
    <x v="4"/>
    <x v="1"/>
  </r>
  <r>
    <s v="PK-101379"/>
    <x v="50"/>
    <s v="Tracy Jensen"/>
    <s v="robin74@hotmail.com"/>
    <n v="923138387805"/>
    <x v="6"/>
    <s v="Pakistan"/>
    <x v="2"/>
    <n v="2"/>
    <n v="1356"/>
    <n v="2712"/>
    <x v="0"/>
    <x v="0"/>
    <x v="0"/>
  </r>
  <r>
    <s v="PK-101380"/>
    <x v="210"/>
    <s v="Chase Franklin"/>
    <s v="njackson@gmail.com"/>
    <n v="923409429433"/>
    <x v="1"/>
    <s v="Pakistan"/>
    <x v="3"/>
    <n v="1"/>
    <n v="14523"/>
    <n v="14523"/>
    <x v="2"/>
    <x v="5"/>
    <x v="3"/>
  </r>
  <r>
    <s v="PK-101381"/>
    <x v="126"/>
    <s v="Michael Petty"/>
    <s v="aboyd@yahoo.com"/>
    <n v="923487452408"/>
    <x v="3"/>
    <s v="Pakistan"/>
    <x v="3"/>
    <n v="1"/>
    <n v="4332"/>
    <n v="4332"/>
    <x v="3"/>
    <x v="0"/>
    <x v="3"/>
  </r>
  <r>
    <s v="PK-101382"/>
    <x v="10"/>
    <s v="Keith Harris"/>
    <s v="mross@yahoo.com"/>
    <n v="923323096770"/>
    <x v="3"/>
    <s v="Pakistan"/>
    <x v="3"/>
    <n v="5"/>
    <n v="5525"/>
    <n v="27625"/>
    <x v="4"/>
    <x v="7"/>
    <x v="3"/>
  </r>
  <r>
    <s v="PK-101383"/>
    <x v="108"/>
    <s v="Alisha Zuniga"/>
    <s v="tyler23@wilson-taylor.com"/>
    <n v="923225322326"/>
    <x v="8"/>
    <s v="Pakistan"/>
    <x v="4"/>
    <n v="3"/>
    <n v="6969"/>
    <n v="20907"/>
    <x v="2"/>
    <x v="4"/>
    <x v="2"/>
  </r>
  <r>
    <s v="PK-101384"/>
    <x v="77"/>
    <s v="Jennifer Burton"/>
    <s v="sergioharris@beck-mcknight.biz"/>
    <n v="923011092738"/>
    <x v="5"/>
    <s v="Pakistan"/>
    <x v="1"/>
    <n v="5"/>
    <n v="3389"/>
    <n v="16945"/>
    <x v="3"/>
    <x v="3"/>
    <x v="1"/>
  </r>
  <r>
    <s v="PK-101385"/>
    <x v="0"/>
    <s v="Elizabeth Horton"/>
    <s v="vknox@johnson.com"/>
    <n v="923093972961"/>
    <x v="9"/>
    <s v="Pakistan"/>
    <x v="5"/>
    <n v="5"/>
    <n v="13157"/>
    <n v="65785"/>
    <x v="4"/>
    <x v="7"/>
    <x v="1"/>
  </r>
  <r>
    <s v="PK-101386"/>
    <x v="125"/>
    <s v="Deanna Murphy"/>
    <s v="johnperez@jarvis-turner.com"/>
    <n v="923048833173"/>
    <x v="4"/>
    <s v="Pakistan"/>
    <x v="5"/>
    <n v="1"/>
    <n v="13106"/>
    <n v="13106"/>
    <x v="4"/>
    <x v="3"/>
    <x v="1"/>
  </r>
  <r>
    <s v="PK-101387"/>
    <x v="69"/>
    <s v="Sierra Young"/>
    <s v="turnerrobert@yahoo.com"/>
    <n v="923319736896"/>
    <x v="9"/>
    <s v="Pakistan"/>
    <x v="2"/>
    <n v="5"/>
    <n v="9525"/>
    <n v="47625"/>
    <x v="1"/>
    <x v="4"/>
    <x v="2"/>
  </r>
  <r>
    <s v="PK-101388"/>
    <x v="254"/>
    <s v="Thomas Mckinney"/>
    <s v="mercadoerik@hotmail.com"/>
    <n v="923203017613"/>
    <x v="7"/>
    <s v="Pakistan"/>
    <x v="4"/>
    <n v="1"/>
    <n v="9841"/>
    <n v="9841"/>
    <x v="5"/>
    <x v="3"/>
    <x v="0"/>
  </r>
  <r>
    <s v="PK-101389"/>
    <x v="29"/>
    <s v="Julia Savage"/>
    <s v="leslie40@yahoo.com"/>
    <n v="923069362179"/>
    <x v="5"/>
    <s v="Pakistan"/>
    <x v="3"/>
    <n v="4"/>
    <n v="6531"/>
    <n v="26124"/>
    <x v="1"/>
    <x v="0"/>
    <x v="3"/>
  </r>
  <r>
    <s v="PK-101390"/>
    <x v="20"/>
    <s v="Megan Brandt"/>
    <s v="megan44@forbes-boyle.com"/>
    <n v="923146885202"/>
    <x v="1"/>
    <s v="Pakistan"/>
    <x v="3"/>
    <n v="5"/>
    <n v="7715"/>
    <n v="38575"/>
    <x v="2"/>
    <x v="5"/>
    <x v="0"/>
  </r>
  <r>
    <s v="PK-101391"/>
    <x v="189"/>
    <s v="James Johnson"/>
    <s v="ramirezwilliam@green-rivera.biz"/>
    <n v="923425357122"/>
    <x v="8"/>
    <s v="Pakistan"/>
    <x v="2"/>
    <n v="5"/>
    <n v="5124"/>
    <n v="25620"/>
    <x v="1"/>
    <x v="4"/>
    <x v="2"/>
  </r>
  <r>
    <s v="PK-101392"/>
    <x v="250"/>
    <s v="Christopher Jones"/>
    <s v="imcgee@yahoo.com"/>
    <n v="923221216449"/>
    <x v="2"/>
    <s v="Pakistan"/>
    <x v="1"/>
    <n v="2"/>
    <n v="1865"/>
    <n v="3730"/>
    <x v="5"/>
    <x v="1"/>
    <x v="1"/>
  </r>
  <r>
    <s v="PK-101393"/>
    <x v="11"/>
    <s v="Aaron Flores"/>
    <s v="beth18@gonzalez.com"/>
    <n v="923383610277"/>
    <x v="2"/>
    <s v="Pakistan"/>
    <x v="2"/>
    <n v="2"/>
    <n v="5584"/>
    <n v="11168"/>
    <x v="2"/>
    <x v="2"/>
    <x v="1"/>
  </r>
  <r>
    <s v="PK-101394"/>
    <x v="238"/>
    <s v="Michelle Sullivan"/>
    <s v="alvarezrichard@yahoo.com"/>
    <n v="923111538319"/>
    <x v="3"/>
    <s v="Pakistan"/>
    <x v="2"/>
    <n v="4"/>
    <n v="14257"/>
    <n v="57028"/>
    <x v="3"/>
    <x v="1"/>
    <x v="1"/>
  </r>
  <r>
    <s v="PK-101395"/>
    <x v="256"/>
    <s v="Jessica Jones"/>
    <s v="robinmiller@yahoo.com"/>
    <n v="923459221535"/>
    <x v="6"/>
    <s v="Pakistan"/>
    <x v="5"/>
    <n v="4"/>
    <n v="5472"/>
    <n v="21888"/>
    <x v="3"/>
    <x v="7"/>
    <x v="2"/>
  </r>
  <r>
    <s v="PK-101396"/>
    <x v="169"/>
    <s v="Antonio Payne"/>
    <s v="jasonyoder@bauer.com"/>
    <n v="923356119153"/>
    <x v="8"/>
    <s v="Pakistan"/>
    <x v="0"/>
    <n v="5"/>
    <n v="3666"/>
    <n v="18330"/>
    <x v="1"/>
    <x v="0"/>
    <x v="0"/>
  </r>
  <r>
    <s v="PK-101397"/>
    <x v="132"/>
    <s v="Ryan Alexander"/>
    <s v="daniellethomas@vargas.com"/>
    <n v="923223735838"/>
    <x v="7"/>
    <s v="Pakistan"/>
    <x v="4"/>
    <n v="4"/>
    <n v="12781"/>
    <n v="51124"/>
    <x v="2"/>
    <x v="3"/>
    <x v="2"/>
  </r>
  <r>
    <s v="PK-101398"/>
    <x v="125"/>
    <s v="Mr. Michael Mills"/>
    <s v="wadejacqueline@rose.net"/>
    <n v="923048483055"/>
    <x v="9"/>
    <s v="Pakistan"/>
    <x v="1"/>
    <n v="4"/>
    <n v="1597"/>
    <n v="6388"/>
    <x v="5"/>
    <x v="1"/>
    <x v="0"/>
  </r>
  <r>
    <s v="PK-101399"/>
    <x v="229"/>
    <s v="Gregory Smith"/>
    <s v="johnsonkatherine@yahoo.com"/>
    <n v="923109107063"/>
    <x v="6"/>
    <s v="Pakistan"/>
    <x v="2"/>
    <n v="2"/>
    <n v="11734"/>
    <n v="23468"/>
    <x v="1"/>
    <x v="6"/>
    <x v="3"/>
  </r>
  <r>
    <s v="PK-101400"/>
    <x v="41"/>
    <s v="Abigail Johnson"/>
    <s v="lanetina@yahoo.com"/>
    <n v="923032245117"/>
    <x v="7"/>
    <s v="Pakistan"/>
    <x v="0"/>
    <n v="1"/>
    <n v="7787"/>
    <n v="7787"/>
    <x v="5"/>
    <x v="7"/>
    <x v="3"/>
  </r>
  <r>
    <s v="PK-101401"/>
    <x v="38"/>
    <s v="Elizabeth Adams"/>
    <s v="cflowers@harris-farmer.biz"/>
    <n v="923142777443"/>
    <x v="1"/>
    <s v="Pakistan"/>
    <x v="5"/>
    <n v="4"/>
    <n v="10260"/>
    <n v="41040"/>
    <x v="0"/>
    <x v="1"/>
    <x v="0"/>
  </r>
  <r>
    <s v="PK-101402"/>
    <x v="268"/>
    <s v="Christina Estrada"/>
    <s v="cleonard@yahoo.com"/>
    <n v="923279485282"/>
    <x v="8"/>
    <s v="Pakistan"/>
    <x v="3"/>
    <n v="4"/>
    <n v="2664"/>
    <n v="10656"/>
    <x v="5"/>
    <x v="7"/>
    <x v="3"/>
  </r>
  <r>
    <s v="PK-101403"/>
    <x v="333"/>
    <s v="Veronica Ramos"/>
    <s v="sandersjonathan@gutierrez-reynolds.info"/>
    <n v="923256043580"/>
    <x v="2"/>
    <s v="Pakistan"/>
    <x v="2"/>
    <n v="3"/>
    <n v="10855"/>
    <n v="32565"/>
    <x v="5"/>
    <x v="0"/>
    <x v="2"/>
  </r>
  <r>
    <s v="PK-101404"/>
    <x v="51"/>
    <s v="Ashley Martin"/>
    <s v="tbutler@yahoo.com"/>
    <n v="923483298477"/>
    <x v="3"/>
    <s v="Pakistan"/>
    <x v="5"/>
    <n v="5"/>
    <n v="4372"/>
    <n v="21860"/>
    <x v="1"/>
    <x v="5"/>
    <x v="0"/>
  </r>
  <r>
    <s v="PK-101405"/>
    <x v="26"/>
    <s v="Elizabeth Williamson"/>
    <s v="taylorchelsea@yahoo.com"/>
    <n v="923306940885"/>
    <x v="9"/>
    <s v="Pakistan"/>
    <x v="0"/>
    <n v="4"/>
    <n v="12078"/>
    <n v="48312"/>
    <x v="0"/>
    <x v="5"/>
    <x v="3"/>
  </r>
  <r>
    <s v="PK-101406"/>
    <x v="22"/>
    <s v="Melissa Miller"/>
    <s v="rachaelhamilton@gmail.com"/>
    <n v="923284173458"/>
    <x v="3"/>
    <s v="Pakistan"/>
    <x v="3"/>
    <n v="5"/>
    <n v="3877"/>
    <n v="19385"/>
    <x v="5"/>
    <x v="4"/>
    <x v="3"/>
  </r>
  <r>
    <s v="PK-101407"/>
    <x v="302"/>
    <s v="Robert Coleman"/>
    <s v="sarahkelley@thomas.com"/>
    <n v="923183470494"/>
    <x v="7"/>
    <s v="Pakistan"/>
    <x v="1"/>
    <n v="2"/>
    <n v="5868"/>
    <n v="11736"/>
    <x v="5"/>
    <x v="2"/>
    <x v="3"/>
  </r>
  <r>
    <s v="PK-101408"/>
    <x v="128"/>
    <s v="Andrew Martinez"/>
    <s v="ericcampbell@hotmail.com"/>
    <n v="923284448956"/>
    <x v="1"/>
    <s v="Pakistan"/>
    <x v="1"/>
    <n v="3"/>
    <n v="1869"/>
    <n v="5607"/>
    <x v="1"/>
    <x v="1"/>
    <x v="1"/>
  </r>
  <r>
    <s v="PK-101409"/>
    <x v="60"/>
    <s v="Marc Phillips Jr."/>
    <s v="brittany72@yahoo.com"/>
    <n v="923007481916"/>
    <x v="0"/>
    <s v="Pakistan"/>
    <x v="0"/>
    <n v="3"/>
    <n v="1923"/>
    <n v="5769"/>
    <x v="1"/>
    <x v="0"/>
    <x v="1"/>
  </r>
  <r>
    <s v="PK-101410"/>
    <x v="240"/>
    <s v="Holly Torres"/>
    <s v="hubbardelizabeth@hall.info"/>
    <n v="923140074266"/>
    <x v="7"/>
    <s v="Pakistan"/>
    <x v="4"/>
    <n v="5"/>
    <n v="11924"/>
    <n v="59620"/>
    <x v="4"/>
    <x v="4"/>
    <x v="2"/>
  </r>
  <r>
    <s v="PK-101411"/>
    <x v="138"/>
    <s v="Tammy Mccarty"/>
    <s v="tferrell@yahoo.com"/>
    <n v="923056571471"/>
    <x v="0"/>
    <s v="Pakistan"/>
    <x v="2"/>
    <n v="5"/>
    <n v="5115"/>
    <n v="25575"/>
    <x v="5"/>
    <x v="7"/>
    <x v="1"/>
  </r>
  <r>
    <s v="PK-101412"/>
    <x v="166"/>
    <s v="Vincent Guerra"/>
    <s v="ruizsandra@scott.com"/>
    <n v="923370848691"/>
    <x v="6"/>
    <s v="Pakistan"/>
    <x v="4"/>
    <n v="1"/>
    <n v="14599"/>
    <n v="14599"/>
    <x v="3"/>
    <x v="3"/>
    <x v="3"/>
  </r>
  <r>
    <s v="PK-101413"/>
    <x v="64"/>
    <s v="Shannon Jennings"/>
    <s v="colesarah@williams-thompson.com"/>
    <n v="923075397710"/>
    <x v="8"/>
    <s v="Pakistan"/>
    <x v="5"/>
    <n v="5"/>
    <n v="2002"/>
    <n v="10010"/>
    <x v="0"/>
    <x v="3"/>
    <x v="3"/>
  </r>
  <r>
    <s v="PK-101414"/>
    <x v="158"/>
    <s v="Jessica Browning"/>
    <s v="qrodriguez@davis.com"/>
    <n v="923170780892"/>
    <x v="0"/>
    <s v="Pakistan"/>
    <x v="2"/>
    <n v="2"/>
    <n v="10590"/>
    <n v="21180"/>
    <x v="3"/>
    <x v="5"/>
    <x v="2"/>
  </r>
  <r>
    <s v="PK-101415"/>
    <x v="351"/>
    <s v="Dustin Cantu DVM"/>
    <s v="molly71@hotmail.com"/>
    <n v="923308721890"/>
    <x v="9"/>
    <s v="Pakistan"/>
    <x v="5"/>
    <n v="5"/>
    <n v="12426"/>
    <n v="62130"/>
    <x v="1"/>
    <x v="1"/>
    <x v="3"/>
  </r>
  <r>
    <s v="PK-101416"/>
    <x v="68"/>
    <s v="Adam Miller"/>
    <s v="grantlewis@hotmail.com"/>
    <n v="923385256410"/>
    <x v="0"/>
    <s v="Pakistan"/>
    <x v="4"/>
    <n v="2"/>
    <n v="3757"/>
    <n v="7514"/>
    <x v="5"/>
    <x v="7"/>
    <x v="1"/>
  </r>
  <r>
    <s v="PK-101417"/>
    <x v="358"/>
    <s v="Jill White"/>
    <s v="zmoreno@morgan.com"/>
    <n v="923469071794"/>
    <x v="4"/>
    <s v="Pakistan"/>
    <x v="2"/>
    <n v="4"/>
    <n v="1912"/>
    <n v="7648"/>
    <x v="5"/>
    <x v="1"/>
    <x v="0"/>
  </r>
  <r>
    <s v="PK-101418"/>
    <x v="246"/>
    <s v="Jennifer Cook"/>
    <s v="carlconrad@yahoo.com"/>
    <n v="923159760778"/>
    <x v="3"/>
    <s v="Pakistan"/>
    <x v="1"/>
    <n v="5"/>
    <n v="5468"/>
    <n v="27340"/>
    <x v="4"/>
    <x v="5"/>
    <x v="2"/>
  </r>
  <r>
    <s v="PK-101419"/>
    <x v="308"/>
    <s v="Melissa Barker"/>
    <s v="marybenjamin@bennett-petty.com"/>
    <n v="923412074408"/>
    <x v="5"/>
    <s v="Pakistan"/>
    <x v="4"/>
    <n v="1"/>
    <n v="6564"/>
    <n v="6564"/>
    <x v="4"/>
    <x v="5"/>
    <x v="1"/>
  </r>
  <r>
    <s v="PK-101420"/>
    <x v="63"/>
    <s v="Sandra Pham"/>
    <s v="james81@barron.net"/>
    <n v="923143160599"/>
    <x v="3"/>
    <s v="Pakistan"/>
    <x v="0"/>
    <n v="2"/>
    <n v="12516"/>
    <n v="25032"/>
    <x v="0"/>
    <x v="5"/>
    <x v="0"/>
  </r>
  <r>
    <s v="PK-101421"/>
    <x v="305"/>
    <s v="Tracy Martinez"/>
    <s v="sararichardson@shaw-phillips.net"/>
    <n v="923491488084"/>
    <x v="4"/>
    <s v="Pakistan"/>
    <x v="4"/>
    <n v="3"/>
    <n v="8681"/>
    <n v="26043"/>
    <x v="2"/>
    <x v="0"/>
    <x v="3"/>
  </r>
  <r>
    <s v="PK-101422"/>
    <x v="53"/>
    <s v="Danny Raymond"/>
    <s v="djordan@yahoo.com"/>
    <n v="923154368950"/>
    <x v="9"/>
    <s v="Pakistan"/>
    <x v="4"/>
    <n v="1"/>
    <n v="11483"/>
    <n v="11483"/>
    <x v="0"/>
    <x v="0"/>
    <x v="2"/>
  </r>
  <r>
    <s v="PK-101423"/>
    <x v="89"/>
    <s v="Patricia Henson"/>
    <s v="kingjoseph@williams.net"/>
    <n v="923109680881"/>
    <x v="3"/>
    <s v="Pakistan"/>
    <x v="3"/>
    <n v="4"/>
    <n v="5001"/>
    <n v="20004"/>
    <x v="4"/>
    <x v="6"/>
    <x v="2"/>
  </r>
  <r>
    <s v="PK-101424"/>
    <x v="83"/>
    <s v="Douglas Miller"/>
    <s v="corey84@pierce-anderson.net"/>
    <n v="923220556199"/>
    <x v="1"/>
    <s v="Pakistan"/>
    <x v="2"/>
    <n v="5"/>
    <n v="12177"/>
    <n v="60885"/>
    <x v="0"/>
    <x v="3"/>
    <x v="0"/>
  </r>
  <r>
    <s v="PK-101425"/>
    <x v="80"/>
    <s v="Brian Hernandez"/>
    <s v="berryomar@shepherd-carter.info"/>
    <n v="923221814069"/>
    <x v="7"/>
    <s v="Pakistan"/>
    <x v="5"/>
    <n v="4"/>
    <n v="8227"/>
    <n v="32908"/>
    <x v="4"/>
    <x v="4"/>
    <x v="0"/>
  </r>
  <r>
    <s v="PK-101426"/>
    <x v="200"/>
    <s v="Tara Sexton"/>
    <s v="smithsarah@yahoo.com"/>
    <n v="923336700336"/>
    <x v="4"/>
    <s v="Pakistan"/>
    <x v="3"/>
    <n v="3"/>
    <n v="6015"/>
    <n v="18045"/>
    <x v="0"/>
    <x v="3"/>
    <x v="2"/>
  </r>
  <r>
    <s v="PK-101427"/>
    <x v="99"/>
    <s v="Alyssa Cruz"/>
    <s v="vholloway@hotmail.com"/>
    <n v="923352367163"/>
    <x v="6"/>
    <s v="Pakistan"/>
    <x v="1"/>
    <n v="3"/>
    <n v="4069"/>
    <n v="12207"/>
    <x v="1"/>
    <x v="1"/>
    <x v="1"/>
  </r>
  <r>
    <s v="PK-101428"/>
    <x v="14"/>
    <s v="Michael Alvarado"/>
    <s v="andersonsean@hotmail.com"/>
    <n v="923258330974"/>
    <x v="8"/>
    <s v="Pakistan"/>
    <x v="2"/>
    <n v="5"/>
    <n v="2941"/>
    <n v="14705"/>
    <x v="3"/>
    <x v="4"/>
    <x v="0"/>
  </r>
  <r>
    <s v="PK-101429"/>
    <x v="156"/>
    <s v="Erin Edwards"/>
    <s v="nguerra@mckee.biz"/>
    <n v="923237235613"/>
    <x v="9"/>
    <s v="Pakistan"/>
    <x v="2"/>
    <n v="3"/>
    <n v="1791"/>
    <n v="5373"/>
    <x v="3"/>
    <x v="1"/>
    <x v="1"/>
  </r>
  <r>
    <s v="PK-101430"/>
    <x v="272"/>
    <s v="James Robinson"/>
    <s v="adamsalejandro@duke-smith.com"/>
    <n v="923157450559"/>
    <x v="3"/>
    <s v="Pakistan"/>
    <x v="5"/>
    <n v="1"/>
    <n v="6562"/>
    <n v="6562"/>
    <x v="2"/>
    <x v="5"/>
    <x v="3"/>
  </r>
  <r>
    <s v="PK-101431"/>
    <x v="22"/>
    <s v="Alex Gray"/>
    <s v="sarah41@carroll-hoffman.info"/>
    <n v="923072236786"/>
    <x v="0"/>
    <s v="Pakistan"/>
    <x v="3"/>
    <n v="3"/>
    <n v="9212"/>
    <n v="27636"/>
    <x v="0"/>
    <x v="3"/>
    <x v="3"/>
  </r>
  <r>
    <s v="PK-101432"/>
    <x v="201"/>
    <s v="Joseph Kirby"/>
    <s v="courtney40@bryant-dorsey.com"/>
    <n v="923380375009"/>
    <x v="1"/>
    <s v="Pakistan"/>
    <x v="1"/>
    <n v="4"/>
    <n v="9649"/>
    <n v="38596"/>
    <x v="2"/>
    <x v="7"/>
    <x v="3"/>
  </r>
  <r>
    <s v="PK-101433"/>
    <x v="252"/>
    <s v="Austin Mendoza"/>
    <s v="alec80@yahoo.com"/>
    <n v="923031377272"/>
    <x v="2"/>
    <s v="Pakistan"/>
    <x v="4"/>
    <n v="2"/>
    <n v="11430"/>
    <n v="22860"/>
    <x v="2"/>
    <x v="6"/>
    <x v="2"/>
  </r>
  <r>
    <s v="PK-101434"/>
    <x v="340"/>
    <s v="Dawn Hall"/>
    <s v="npeterson@gmail.com"/>
    <n v="923403536642"/>
    <x v="2"/>
    <s v="Pakistan"/>
    <x v="3"/>
    <n v="2"/>
    <n v="4078"/>
    <n v="8156"/>
    <x v="1"/>
    <x v="6"/>
    <x v="0"/>
  </r>
  <r>
    <s v="PK-101435"/>
    <x v="285"/>
    <s v="Joshua Thomas DVM"/>
    <s v="keith30@gmail.com"/>
    <n v="923295236431"/>
    <x v="6"/>
    <s v="Pakistan"/>
    <x v="5"/>
    <n v="2"/>
    <n v="1144"/>
    <n v="2288"/>
    <x v="3"/>
    <x v="7"/>
    <x v="0"/>
  </r>
  <r>
    <s v="PK-101436"/>
    <x v="220"/>
    <s v="Rachel Copeland"/>
    <s v="nicholasgray@jensen.net"/>
    <n v="923128516758"/>
    <x v="7"/>
    <s v="Pakistan"/>
    <x v="4"/>
    <n v="1"/>
    <n v="8423"/>
    <n v="8423"/>
    <x v="3"/>
    <x v="7"/>
    <x v="0"/>
  </r>
  <r>
    <s v="PK-101437"/>
    <x v="244"/>
    <s v="Cheryl Lee"/>
    <s v="margaret04@jones.com"/>
    <n v="923004646200"/>
    <x v="4"/>
    <s v="Pakistan"/>
    <x v="5"/>
    <n v="4"/>
    <n v="6616"/>
    <n v="26464"/>
    <x v="1"/>
    <x v="7"/>
    <x v="2"/>
  </r>
  <r>
    <s v="PK-101438"/>
    <x v="2"/>
    <s v="Susan Williams"/>
    <s v="williamsdawn@kane.biz"/>
    <n v="923478390899"/>
    <x v="4"/>
    <s v="Pakistan"/>
    <x v="5"/>
    <n v="1"/>
    <n v="8593"/>
    <n v="8593"/>
    <x v="2"/>
    <x v="0"/>
    <x v="3"/>
  </r>
  <r>
    <s v="PK-101439"/>
    <x v="225"/>
    <s v="Gabriel Ferguson"/>
    <s v="williamslee@stewart-mcmahon.com"/>
    <n v="923148294914"/>
    <x v="7"/>
    <s v="Pakistan"/>
    <x v="4"/>
    <n v="2"/>
    <n v="12421"/>
    <n v="24842"/>
    <x v="1"/>
    <x v="6"/>
    <x v="3"/>
  </r>
  <r>
    <s v="PK-101440"/>
    <x v="253"/>
    <s v="Gregory Washington"/>
    <s v="jennifer98@gmail.com"/>
    <n v="923261183179"/>
    <x v="8"/>
    <s v="Pakistan"/>
    <x v="1"/>
    <n v="5"/>
    <n v="2026"/>
    <n v="10130"/>
    <x v="2"/>
    <x v="0"/>
    <x v="2"/>
  </r>
  <r>
    <s v="PK-101441"/>
    <x v="205"/>
    <s v="Daniel Meyer"/>
    <s v="tonyajenkins@hotmail.com"/>
    <n v="923203374391"/>
    <x v="3"/>
    <s v="Pakistan"/>
    <x v="4"/>
    <n v="1"/>
    <n v="2445"/>
    <n v="2445"/>
    <x v="0"/>
    <x v="1"/>
    <x v="2"/>
  </r>
  <r>
    <s v="PK-101442"/>
    <x v="77"/>
    <s v="Beth Lopez"/>
    <s v="keith82@coleman.com"/>
    <n v="923447905650"/>
    <x v="6"/>
    <s v="Pakistan"/>
    <x v="3"/>
    <n v="3"/>
    <n v="4667"/>
    <n v="14001"/>
    <x v="2"/>
    <x v="6"/>
    <x v="2"/>
  </r>
  <r>
    <s v="PK-101443"/>
    <x v="60"/>
    <s v="Kevin Hayden"/>
    <s v="ashleyjones@roberts-brady.com"/>
    <n v="923407160405"/>
    <x v="0"/>
    <s v="Pakistan"/>
    <x v="4"/>
    <n v="2"/>
    <n v="13222"/>
    <n v="26444"/>
    <x v="1"/>
    <x v="6"/>
    <x v="2"/>
  </r>
  <r>
    <s v="PK-101444"/>
    <x v="328"/>
    <s v="Gary Hughes"/>
    <s v="whitneyjessica@hutchinson.com"/>
    <n v="923116720922"/>
    <x v="7"/>
    <s v="Pakistan"/>
    <x v="5"/>
    <n v="4"/>
    <n v="13738"/>
    <n v="54952"/>
    <x v="0"/>
    <x v="2"/>
    <x v="2"/>
  </r>
  <r>
    <s v="PK-101445"/>
    <x v="194"/>
    <s v="Jessica Hickman"/>
    <s v="karasanders@jefferson.net"/>
    <n v="923279005711"/>
    <x v="4"/>
    <s v="Pakistan"/>
    <x v="1"/>
    <n v="5"/>
    <n v="12304"/>
    <n v="61520"/>
    <x v="1"/>
    <x v="4"/>
    <x v="2"/>
  </r>
  <r>
    <s v="PK-101446"/>
    <x v="294"/>
    <s v="Harry Davis"/>
    <s v="james60@brock.com"/>
    <n v="923481889368"/>
    <x v="9"/>
    <s v="Pakistan"/>
    <x v="4"/>
    <n v="3"/>
    <n v="8864"/>
    <n v="26592"/>
    <x v="1"/>
    <x v="6"/>
    <x v="3"/>
  </r>
  <r>
    <s v="PK-101447"/>
    <x v="160"/>
    <s v="Christopher Richards"/>
    <s v="terrywalker@gmail.com"/>
    <n v="923117523742"/>
    <x v="4"/>
    <s v="Pakistan"/>
    <x v="2"/>
    <n v="2"/>
    <n v="11845"/>
    <n v="23690"/>
    <x v="5"/>
    <x v="3"/>
    <x v="0"/>
  </r>
  <r>
    <s v="PK-101448"/>
    <x v="156"/>
    <s v="Sharon Lopez"/>
    <s v="curtisashley@ewing-anderson.com"/>
    <n v="923129287073"/>
    <x v="3"/>
    <s v="Pakistan"/>
    <x v="0"/>
    <n v="4"/>
    <n v="6734"/>
    <n v="26936"/>
    <x v="4"/>
    <x v="3"/>
    <x v="0"/>
  </r>
  <r>
    <s v="PK-101449"/>
    <x v="116"/>
    <s v="Eugene Simpson"/>
    <s v="williamwilkins@hotmail.com"/>
    <n v="923063468085"/>
    <x v="6"/>
    <s v="Pakistan"/>
    <x v="2"/>
    <n v="5"/>
    <n v="8643"/>
    <n v="43215"/>
    <x v="0"/>
    <x v="4"/>
    <x v="3"/>
  </r>
  <r>
    <s v="PK-101450"/>
    <x v="297"/>
    <s v="Amanda Myers"/>
    <s v="xherman@guerrero.com"/>
    <n v="923255330043"/>
    <x v="8"/>
    <s v="Pakistan"/>
    <x v="5"/>
    <n v="1"/>
    <n v="3633"/>
    <n v="3633"/>
    <x v="5"/>
    <x v="5"/>
    <x v="0"/>
  </r>
  <r>
    <s v="PK-101451"/>
    <x v="26"/>
    <s v="Jeffrey Ramos"/>
    <s v="elizabeth93@yahoo.com"/>
    <n v="923365581300"/>
    <x v="6"/>
    <s v="Pakistan"/>
    <x v="4"/>
    <n v="5"/>
    <n v="11321"/>
    <n v="56605"/>
    <x v="1"/>
    <x v="2"/>
    <x v="3"/>
  </r>
  <r>
    <s v="PK-101452"/>
    <x v="243"/>
    <s v="Nicole Schmidt"/>
    <s v="lydiajohnson@rodriguez-robertson.com"/>
    <n v="923145965955"/>
    <x v="7"/>
    <s v="Pakistan"/>
    <x v="2"/>
    <n v="3"/>
    <n v="5029"/>
    <n v="15087"/>
    <x v="3"/>
    <x v="7"/>
    <x v="3"/>
  </r>
  <r>
    <s v="PK-101453"/>
    <x v="79"/>
    <s v="Jessica Marsh"/>
    <s v="nicole78@garcia.com"/>
    <n v="923450142891"/>
    <x v="4"/>
    <s v="Pakistan"/>
    <x v="1"/>
    <n v="1"/>
    <n v="10015"/>
    <n v="10015"/>
    <x v="4"/>
    <x v="5"/>
    <x v="0"/>
  </r>
  <r>
    <s v="PK-101454"/>
    <x v="115"/>
    <s v="Jeffrey Scott"/>
    <s v="knightjohn@mason.info"/>
    <n v="923433459210"/>
    <x v="5"/>
    <s v="Pakistan"/>
    <x v="3"/>
    <n v="5"/>
    <n v="13157"/>
    <n v="65785"/>
    <x v="3"/>
    <x v="4"/>
    <x v="3"/>
  </r>
  <r>
    <s v="PK-101455"/>
    <x v="339"/>
    <s v="Kenneth Ramirez"/>
    <s v="vgonzalez@gmail.com"/>
    <n v="923114333143"/>
    <x v="4"/>
    <s v="Pakistan"/>
    <x v="4"/>
    <n v="3"/>
    <n v="10640"/>
    <n v="31920"/>
    <x v="4"/>
    <x v="4"/>
    <x v="3"/>
  </r>
  <r>
    <s v="PK-101456"/>
    <x v="315"/>
    <s v="Luke Cain"/>
    <s v="emily73@sanders.net"/>
    <n v="923090230849"/>
    <x v="8"/>
    <s v="Pakistan"/>
    <x v="1"/>
    <n v="1"/>
    <n v="10027"/>
    <n v="10027"/>
    <x v="1"/>
    <x v="6"/>
    <x v="3"/>
  </r>
  <r>
    <s v="PK-101457"/>
    <x v="154"/>
    <s v="Craig Long"/>
    <s v="christopher34@yahoo.com"/>
    <n v="923009676070"/>
    <x v="0"/>
    <s v="Pakistan"/>
    <x v="1"/>
    <n v="1"/>
    <n v="4217"/>
    <n v="4217"/>
    <x v="2"/>
    <x v="3"/>
    <x v="1"/>
  </r>
  <r>
    <s v="PK-101458"/>
    <x v="92"/>
    <s v="Juan Stewart"/>
    <s v="zlynn@yahoo.com"/>
    <n v="923138934416"/>
    <x v="0"/>
    <s v="Pakistan"/>
    <x v="2"/>
    <n v="1"/>
    <n v="1460"/>
    <n v="1460"/>
    <x v="5"/>
    <x v="0"/>
    <x v="3"/>
  </r>
  <r>
    <s v="PK-101459"/>
    <x v="115"/>
    <s v="Melissa Martin"/>
    <s v="vanessa12@yahoo.com"/>
    <n v="923231640222"/>
    <x v="3"/>
    <s v="Pakistan"/>
    <x v="3"/>
    <n v="2"/>
    <n v="3135"/>
    <n v="6270"/>
    <x v="1"/>
    <x v="6"/>
    <x v="1"/>
  </r>
  <r>
    <s v="PK-101460"/>
    <x v="327"/>
    <s v="Cory Bridges"/>
    <s v="athomas@hotmail.com"/>
    <n v="923354557322"/>
    <x v="0"/>
    <s v="Pakistan"/>
    <x v="3"/>
    <n v="4"/>
    <n v="13469"/>
    <n v="53876"/>
    <x v="3"/>
    <x v="1"/>
    <x v="3"/>
  </r>
  <r>
    <s v="PK-101461"/>
    <x v="162"/>
    <s v="Kerry Dean"/>
    <s v="patricia08@gmail.com"/>
    <n v="923395934093"/>
    <x v="3"/>
    <s v="Pakistan"/>
    <x v="0"/>
    <n v="1"/>
    <n v="8952"/>
    <n v="8952"/>
    <x v="4"/>
    <x v="7"/>
    <x v="3"/>
  </r>
  <r>
    <s v="PK-101462"/>
    <x v="334"/>
    <s v="Mrs. Tammy Gallegos"/>
    <s v="jesse31@paul.org"/>
    <n v="923346076005"/>
    <x v="6"/>
    <s v="Pakistan"/>
    <x v="3"/>
    <n v="1"/>
    <n v="10626"/>
    <n v="10626"/>
    <x v="0"/>
    <x v="4"/>
    <x v="3"/>
  </r>
  <r>
    <s v="PK-101463"/>
    <x v="44"/>
    <s v="Kathryn Wallace"/>
    <s v="joneslaura@hotmail.com"/>
    <n v="923309459428"/>
    <x v="1"/>
    <s v="Pakistan"/>
    <x v="4"/>
    <n v="1"/>
    <n v="2099"/>
    <n v="2099"/>
    <x v="3"/>
    <x v="2"/>
    <x v="1"/>
  </r>
  <r>
    <s v="PK-101464"/>
    <x v="210"/>
    <s v="Mrs. Linda Baldwin MD"/>
    <s v="calvin85@mora.com"/>
    <n v="923354316318"/>
    <x v="4"/>
    <s v="Pakistan"/>
    <x v="2"/>
    <n v="1"/>
    <n v="12357"/>
    <n v="12357"/>
    <x v="2"/>
    <x v="4"/>
    <x v="0"/>
  </r>
  <r>
    <s v="PK-101465"/>
    <x v="74"/>
    <s v="David Scott"/>
    <s v="kyle06@gmail.com"/>
    <n v="923439566491"/>
    <x v="7"/>
    <s v="Pakistan"/>
    <x v="2"/>
    <n v="3"/>
    <n v="12119"/>
    <n v="36357"/>
    <x v="1"/>
    <x v="6"/>
    <x v="1"/>
  </r>
  <r>
    <s v="PK-101466"/>
    <x v="162"/>
    <s v="Tommy Lee"/>
    <s v="trevor76@sanders.info"/>
    <n v="923007309542"/>
    <x v="9"/>
    <s v="Pakistan"/>
    <x v="3"/>
    <n v="1"/>
    <n v="3470"/>
    <n v="3470"/>
    <x v="5"/>
    <x v="2"/>
    <x v="2"/>
  </r>
  <r>
    <s v="PK-101467"/>
    <x v="232"/>
    <s v="Devin Gutierrez"/>
    <s v="ashleyfisher@yahoo.com"/>
    <n v="923015364342"/>
    <x v="2"/>
    <s v="Pakistan"/>
    <x v="2"/>
    <n v="5"/>
    <n v="2390"/>
    <n v="11950"/>
    <x v="0"/>
    <x v="6"/>
    <x v="3"/>
  </r>
  <r>
    <s v="PK-101468"/>
    <x v="231"/>
    <s v="Jennifer Mcclain"/>
    <s v="collinsannette@edwards.com"/>
    <n v="923278030560"/>
    <x v="7"/>
    <s v="Pakistan"/>
    <x v="2"/>
    <n v="1"/>
    <n v="3193"/>
    <n v="3193"/>
    <x v="4"/>
    <x v="6"/>
    <x v="1"/>
  </r>
  <r>
    <s v="PK-101469"/>
    <x v="195"/>
    <s v="Melissa Edwards"/>
    <s v="lindahall@simpson-velasquez.com"/>
    <n v="923358368903"/>
    <x v="9"/>
    <s v="Pakistan"/>
    <x v="0"/>
    <n v="2"/>
    <n v="10516"/>
    <n v="21032"/>
    <x v="2"/>
    <x v="4"/>
    <x v="1"/>
  </r>
  <r>
    <s v="PK-101470"/>
    <x v="208"/>
    <s v="Crystal Barton"/>
    <s v="lindseyjeffrey@gmail.com"/>
    <n v="923213768158"/>
    <x v="8"/>
    <s v="Pakistan"/>
    <x v="4"/>
    <n v="4"/>
    <n v="10811"/>
    <n v="43244"/>
    <x v="3"/>
    <x v="1"/>
    <x v="1"/>
  </r>
  <r>
    <s v="PK-101471"/>
    <x v="57"/>
    <s v="Kristy Barajas"/>
    <s v="pmarsh@gmail.com"/>
    <n v="923465075698"/>
    <x v="0"/>
    <s v="Pakistan"/>
    <x v="4"/>
    <n v="5"/>
    <n v="1164"/>
    <n v="5820"/>
    <x v="4"/>
    <x v="6"/>
    <x v="1"/>
  </r>
  <r>
    <s v="PK-101472"/>
    <x v="218"/>
    <s v="Anna Stewart"/>
    <s v="timothyjacobson@galloway.com"/>
    <n v="923000034243"/>
    <x v="2"/>
    <s v="Pakistan"/>
    <x v="4"/>
    <n v="1"/>
    <n v="5405"/>
    <n v="5405"/>
    <x v="4"/>
    <x v="6"/>
    <x v="2"/>
  </r>
  <r>
    <s v="PK-101473"/>
    <x v="20"/>
    <s v="Tracey Nelson"/>
    <s v="linda82@humphrey.net"/>
    <n v="923262642010"/>
    <x v="4"/>
    <s v="Pakistan"/>
    <x v="1"/>
    <n v="3"/>
    <n v="3285"/>
    <n v="9855"/>
    <x v="4"/>
    <x v="5"/>
    <x v="1"/>
  </r>
  <r>
    <s v="PK-101474"/>
    <x v="246"/>
    <s v="Emily Williams"/>
    <s v="jessica11@barron.biz"/>
    <n v="923037562178"/>
    <x v="7"/>
    <s v="Pakistan"/>
    <x v="0"/>
    <n v="4"/>
    <n v="3019"/>
    <n v="12076"/>
    <x v="0"/>
    <x v="1"/>
    <x v="1"/>
  </r>
  <r>
    <s v="PK-101475"/>
    <x v="172"/>
    <s v="Lori Myers"/>
    <s v="jennifer20@gmail.com"/>
    <n v="923357489206"/>
    <x v="2"/>
    <s v="Pakistan"/>
    <x v="2"/>
    <n v="5"/>
    <n v="12182"/>
    <n v="60910"/>
    <x v="4"/>
    <x v="4"/>
    <x v="2"/>
  </r>
  <r>
    <s v="PK-101476"/>
    <x v="36"/>
    <s v="Holly Henderson"/>
    <s v="williamramos@yahoo.com"/>
    <n v="923187033435"/>
    <x v="7"/>
    <s v="Pakistan"/>
    <x v="2"/>
    <n v="3"/>
    <n v="6222"/>
    <n v="18666"/>
    <x v="3"/>
    <x v="5"/>
    <x v="3"/>
  </r>
  <r>
    <s v="PK-101477"/>
    <x v="182"/>
    <s v="Alexander Anderson"/>
    <s v="lindseyparker@yahoo.com"/>
    <n v="923037182525"/>
    <x v="9"/>
    <s v="Pakistan"/>
    <x v="2"/>
    <n v="5"/>
    <n v="7928"/>
    <n v="39640"/>
    <x v="3"/>
    <x v="5"/>
    <x v="0"/>
  </r>
  <r>
    <s v="PK-101478"/>
    <x v="122"/>
    <s v="Kimberly Young"/>
    <s v="paul09@hotmail.com"/>
    <n v="923266922750"/>
    <x v="8"/>
    <s v="Pakistan"/>
    <x v="4"/>
    <n v="1"/>
    <n v="1521"/>
    <n v="1521"/>
    <x v="3"/>
    <x v="7"/>
    <x v="1"/>
  </r>
  <r>
    <s v="PK-101479"/>
    <x v="304"/>
    <s v="Jeremiah Booth"/>
    <s v="phyllis01@hotmail.com"/>
    <n v="923046662708"/>
    <x v="3"/>
    <s v="Pakistan"/>
    <x v="1"/>
    <n v="4"/>
    <n v="13485"/>
    <n v="53940"/>
    <x v="5"/>
    <x v="5"/>
    <x v="2"/>
  </r>
  <r>
    <s v="PK-101480"/>
    <x v="6"/>
    <s v="Joseph Chavez"/>
    <s v="brittneywoodard@hotmail.com"/>
    <n v="923420036853"/>
    <x v="4"/>
    <s v="Pakistan"/>
    <x v="2"/>
    <n v="1"/>
    <n v="9174"/>
    <n v="9174"/>
    <x v="2"/>
    <x v="1"/>
    <x v="2"/>
  </r>
  <r>
    <s v="PK-101481"/>
    <x v="51"/>
    <s v="Samantha Bishop"/>
    <s v="marcramirez@delgado.com"/>
    <n v="923332498282"/>
    <x v="7"/>
    <s v="Pakistan"/>
    <x v="0"/>
    <n v="5"/>
    <n v="13750"/>
    <n v="68750"/>
    <x v="5"/>
    <x v="3"/>
    <x v="1"/>
  </r>
  <r>
    <s v="PK-101482"/>
    <x v="86"/>
    <s v="Beth Jones"/>
    <s v="tonyaharris@hotmail.com"/>
    <n v="923245168064"/>
    <x v="2"/>
    <s v="Pakistan"/>
    <x v="3"/>
    <n v="4"/>
    <n v="1995"/>
    <n v="7980"/>
    <x v="4"/>
    <x v="0"/>
    <x v="1"/>
  </r>
  <r>
    <s v="PK-101483"/>
    <x v="187"/>
    <s v="Jacob Cooper"/>
    <s v="laurenmartin@butler.com"/>
    <n v="923441613904"/>
    <x v="8"/>
    <s v="Pakistan"/>
    <x v="4"/>
    <n v="3"/>
    <n v="6952"/>
    <n v="20856"/>
    <x v="1"/>
    <x v="2"/>
    <x v="3"/>
  </r>
  <r>
    <s v="PK-101484"/>
    <x v="122"/>
    <s v="Linda Gomez"/>
    <s v="john91@copeland-patterson.org"/>
    <n v="923023492257"/>
    <x v="1"/>
    <s v="Pakistan"/>
    <x v="4"/>
    <n v="4"/>
    <n v="10937"/>
    <n v="43748"/>
    <x v="5"/>
    <x v="5"/>
    <x v="1"/>
  </r>
  <r>
    <s v="PK-101485"/>
    <x v="329"/>
    <s v="Terry Miller"/>
    <s v="hrocha@marshall.com"/>
    <n v="923069658022"/>
    <x v="6"/>
    <s v="Pakistan"/>
    <x v="3"/>
    <n v="3"/>
    <n v="6716"/>
    <n v="20148"/>
    <x v="3"/>
    <x v="5"/>
    <x v="0"/>
  </r>
  <r>
    <s v="PK-101486"/>
    <x v="330"/>
    <s v="Anita Waters"/>
    <s v="nnewton@hotmail.com"/>
    <n v="923338841373"/>
    <x v="5"/>
    <s v="Pakistan"/>
    <x v="4"/>
    <n v="2"/>
    <n v="12650"/>
    <n v="25300"/>
    <x v="1"/>
    <x v="1"/>
    <x v="3"/>
  </r>
  <r>
    <s v="PK-101487"/>
    <x v="127"/>
    <s v="Blake Khan"/>
    <s v="jacobstoni@hotmail.com"/>
    <n v="923386142812"/>
    <x v="8"/>
    <s v="Pakistan"/>
    <x v="1"/>
    <n v="2"/>
    <n v="7393"/>
    <n v="14786"/>
    <x v="4"/>
    <x v="5"/>
    <x v="1"/>
  </r>
  <r>
    <s v="PK-101488"/>
    <x v="102"/>
    <s v="Meagan Adams"/>
    <s v="powersdonald@goodman.com"/>
    <n v="923326553282"/>
    <x v="4"/>
    <s v="Pakistan"/>
    <x v="2"/>
    <n v="5"/>
    <n v="4341"/>
    <n v="21705"/>
    <x v="5"/>
    <x v="6"/>
    <x v="2"/>
  </r>
  <r>
    <s v="PK-101489"/>
    <x v="248"/>
    <s v="Ashley Reed"/>
    <s v="fuentesbrittany@yahoo.com"/>
    <n v="923077352039"/>
    <x v="1"/>
    <s v="Pakistan"/>
    <x v="4"/>
    <n v="4"/>
    <n v="14180"/>
    <n v="56720"/>
    <x v="3"/>
    <x v="7"/>
    <x v="1"/>
  </r>
  <r>
    <s v="PK-101490"/>
    <x v="77"/>
    <s v="Christopher Ayala"/>
    <s v="geraldwilliams@good.com"/>
    <n v="923406183456"/>
    <x v="9"/>
    <s v="Pakistan"/>
    <x v="3"/>
    <n v="2"/>
    <n v="5722"/>
    <n v="11444"/>
    <x v="1"/>
    <x v="5"/>
    <x v="2"/>
  </r>
  <r>
    <s v="PK-101491"/>
    <x v="317"/>
    <s v="Rachael Anderson"/>
    <s v="leslie36@hotmail.com"/>
    <n v="923267402722"/>
    <x v="9"/>
    <s v="Pakistan"/>
    <x v="2"/>
    <n v="5"/>
    <n v="12498"/>
    <n v="62490"/>
    <x v="0"/>
    <x v="5"/>
    <x v="2"/>
  </r>
  <r>
    <s v="PK-101492"/>
    <x v="24"/>
    <s v="Jeffrey Edwards"/>
    <s v="scott21@pierce.org"/>
    <n v="923381920768"/>
    <x v="4"/>
    <s v="Pakistan"/>
    <x v="2"/>
    <n v="2"/>
    <n v="5037"/>
    <n v="10074"/>
    <x v="0"/>
    <x v="4"/>
    <x v="0"/>
  </r>
  <r>
    <s v="PK-101493"/>
    <x v="179"/>
    <s v="Angela Robbins"/>
    <s v="david98@gmail.com"/>
    <n v="923088307210"/>
    <x v="8"/>
    <s v="Pakistan"/>
    <x v="2"/>
    <n v="5"/>
    <n v="3813"/>
    <n v="19065"/>
    <x v="3"/>
    <x v="3"/>
    <x v="1"/>
  </r>
  <r>
    <s v="PK-101494"/>
    <x v="279"/>
    <s v="Brittany Salazar"/>
    <s v="ugonzalez@yahoo.com"/>
    <n v="923148724851"/>
    <x v="9"/>
    <s v="Pakistan"/>
    <x v="0"/>
    <n v="4"/>
    <n v="5216"/>
    <n v="20864"/>
    <x v="3"/>
    <x v="0"/>
    <x v="3"/>
  </r>
  <r>
    <s v="PK-101495"/>
    <x v="253"/>
    <s v="Joshua Henderson"/>
    <s v="caseyjesus@hotmail.com"/>
    <n v="923114062654"/>
    <x v="4"/>
    <s v="Pakistan"/>
    <x v="3"/>
    <n v="4"/>
    <n v="6116"/>
    <n v="24464"/>
    <x v="5"/>
    <x v="4"/>
    <x v="3"/>
  </r>
  <r>
    <s v="PK-101496"/>
    <x v="72"/>
    <s v="Matthew Young"/>
    <s v="erica94@baker.com"/>
    <n v="923308580824"/>
    <x v="0"/>
    <s v="Pakistan"/>
    <x v="5"/>
    <n v="1"/>
    <n v="13320"/>
    <n v="13320"/>
    <x v="1"/>
    <x v="1"/>
    <x v="0"/>
  </r>
  <r>
    <s v="PK-101497"/>
    <x v="136"/>
    <s v="Dillon Poole"/>
    <s v="susan76@gmail.com"/>
    <n v="923180018398"/>
    <x v="0"/>
    <s v="Pakistan"/>
    <x v="3"/>
    <n v="1"/>
    <n v="6101"/>
    <n v="6101"/>
    <x v="1"/>
    <x v="1"/>
    <x v="3"/>
  </r>
  <r>
    <s v="PK-101498"/>
    <x v="286"/>
    <s v="Zoe Stephens"/>
    <s v="adrianabrown@gmail.com"/>
    <n v="923051086601"/>
    <x v="2"/>
    <s v="Pakistan"/>
    <x v="3"/>
    <n v="2"/>
    <n v="6756"/>
    <n v="13512"/>
    <x v="4"/>
    <x v="7"/>
    <x v="2"/>
  </r>
  <r>
    <s v="PK-101499"/>
    <x v="237"/>
    <s v="Ross Perez"/>
    <s v="keith48@allen-hardy.com"/>
    <n v="923252336294"/>
    <x v="1"/>
    <s v="Pakistan"/>
    <x v="5"/>
    <n v="5"/>
    <n v="1547"/>
    <n v="7735"/>
    <x v="0"/>
    <x v="2"/>
    <x v="2"/>
  </r>
  <r>
    <s v="PK-101500"/>
    <x v="257"/>
    <s v="Sandra Zamora"/>
    <s v="qwilson@yahoo.com"/>
    <n v="923360879367"/>
    <x v="0"/>
    <s v="Pakistan"/>
    <x v="3"/>
    <n v="3"/>
    <n v="1419"/>
    <n v="4257"/>
    <x v="1"/>
    <x v="3"/>
    <x v="3"/>
  </r>
  <r>
    <s v="PK-101501"/>
    <x v="246"/>
    <s v="Kyle Rowland"/>
    <s v="flemingdonna@joyce.biz"/>
    <n v="923169627940"/>
    <x v="0"/>
    <s v="Pakistan"/>
    <x v="1"/>
    <n v="4"/>
    <n v="11645"/>
    <n v="46580"/>
    <x v="2"/>
    <x v="4"/>
    <x v="0"/>
  </r>
  <r>
    <s v="PK-101502"/>
    <x v="294"/>
    <s v="Kurt Watson"/>
    <s v="jnoble@hotmail.com"/>
    <n v="923309103122"/>
    <x v="5"/>
    <s v="Pakistan"/>
    <x v="4"/>
    <n v="2"/>
    <n v="3116"/>
    <n v="6232"/>
    <x v="2"/>
    <x v="2"/>
    <x v="2"/>
  </r>
  <r>
    <s v="PK-101503"/>
    <x v="87"/>
    <s v="Roger Green"/>
    <s v="ashleyerin@hotmail.com"/>
    <n v="923298537525"/>
    <x v="7"/>
    <s v="Pakistan"/>
    <x v="5"/>
    <n v="4"/>
    <n v="11897"/>
    <n v="47588"/>
    <x v="3"/>
    <x v="1"/>
    <x v="2"/>
  </r>
  <r>
    <s v="PK-101504"/>
    <x v="32"/>
    <s v="Nicholas Wyatt"/>
    <s v="lyonsemily@yahoo.com"/>
    <n v="923203721374"/>
    <x v="0"/>
    <s v="Pakistan"/>
    <x v="0"/>
    <n v="1"/>
    <n v="1806"/>
    <n v="1806"/>
    <x v="5"/>
    <x v="4"/>
    <x v="3"/>
  </r>
  <r>
    <s v="PK-101505"/>
    <x v="188"/>
    <s v="Mrs. Mariah Gonzalez"/>
    <s v="kaylee55@williams.com"/>
    <n v="923430847437"/>
    <x v="7"/>
    <s v="Pakistan"/>
    <x v="0"/>
    <n v="1"/>
    <n v="4842"/>
    <n v="4842"/>
    <x v="0"/>
    <x v="7"/>
    <x v="3"/>
  </r>
  <r>
    <s v="PK-101506"/>
    <x v="225"/>
    <s v="Mark Campos"/>
    <s v="joseph14@gmail.com"/>
    <n v="923023284677"/>
    <x v="6"/>
    <s v="Pakistan"/>
    <x v="1"/>
    <n v="3"/>
    <n v="11807"/>
    <n v="35421"/>
    <x v="2"/>
    <x v="4"/>
    <x v="2"/>
  </r>
  <r>
    <s v="PK-101507"/>
    <x v="100"/>
    <s v="Tara Hansen"/>
    <s v="andradesamantha@hotmail.com"/>
    <n v="923002290781"/>
    <x v="2"/>
    <s v="Pakistan"/>
    <x v="0"/>
    <n v="1"/>
    <n v="13807"/>
    <n v="13807"/>
    <x v="2"/>
    <x v="2"/>
    <x v="3"/>
  </r>
  <r>
    <s v="PK-101508"/>
    <x v="138"/>
    <s v="Janet Knox"/>
    <s v="cpalmer@manning-robinson.com"/>
    <n v="923337335568"/>
    <x v="7"/>
    <s v="Pakistan"/>
    <x v="4"/>
    <n v="5"/>
    <n v="4231"/>
    <n v="21155"/>
    <x v="3"/>
    <x v="7"/>
    <x v="0"/>
  </r>
  <r>
    <s v="PK-101509"/>
    <x v="167"/>
    <s v="Kelly Williams"/>
    <s v="ashleyharrison@yahoo.com"/>
    <n v="923268901996"/>
    <x v="3"/>
    <s v="Pakistan"/>
    <x v="5"/>
    <n v="3"/>
    <n v="12745"/>
    <n v="38235"/>
    <x v="3"/>
    <x v="6"/>
    <x v="1"/>
  </r>
  <r>
    <s v="PK-101510"/>
    <x v="32"/>
    <s v="Kara Lee"/>
    <s v="brandibrown@gmail.com"/>
    <n v="923369974777"/>
    <x v="1"/>
    <s v="Pakistan"/>
    <x v="1"/>
    <n v="1"/>
    <n v="14100"/>
    <n v="14100"/>
    <x v="5"/>
    <x v="5"/>
    <x v="0"/>
  </r>
  <r>
    <s v="PK-101511"/>
    <x v="263"/>
    <s v="Gabriella Mcdowell"/>
    <s v="wsimpson@gmail.com"/>
    <n v="923349461706"/>
    <x v="9"/>
    <s v="Pakistan"/>
    <x v="1"/>
    <n v="3"/>
    <n v="13163"/>
    <n v="39489"/>
    <x v="2"/>
    <x v="4"/>
    <x v="0"/>
  </r>
  <r>
    <s v="PK-101512"/>
    <x v="142"/>
    <s v="Veronica Wilson"/>
    <s v="nwoods@jones.com"/>
    <n v="923377147939"/>
    <x v="7"/>
    <s v="Pakistan"/>
    <x v="4"/>
    <n v="4"/>
    <n v="5408"/>
    <n v="21632"/>
    <x v="4"/>
    <x v="6"/>
    <x v="1"/>
  </r>
  <r>
    <s v="PK-101513"/>
    <x v="264"/>
    <s v="Elizabeth Jackson"/>
    <s v="davisjamie@duran.com"/>
    <n v="923185980195"/>
    <x v="5"/>
    <s v="Pakistan"/>
    <x v="4"/>
    <n v="2"/>
    <n v="4153"/>
    <n v="8306"/>
    <x v="3"/>
    <x v="1"/>
    <x v="1"/>
  </r>
  <r>
    <s v="PK-101514"/>
    <x v="316"/>
    <s v="Hayley Cobb"/>
    <s v="jesusrodriguez@stewart-jordan.com"/>
    <n v="923364808817"/>
    <x v="5"/>
    <s v="Pakistan"/>
    <x v="2"/>
    <n v="1"/>
    <n v="11993"/>
    <n v="11993"/>
    <x v="2"/>
    <x v="7"/>
    <x v="0"/>
  </r>
  <r>
    <s v="PK-101515"/>
    <x v="75"/>
    <s v="Glen Coleman"/>
    <s v="meganyang@yahoo.com"/>
    <n v="923034051748"/>
    <x v="6"/>
    <s v="Pakistan"/>
    <x v="2"/>
    <n v="2"/>
    <n v="5482"/>
    <n v="10964"/>
    <x v="1"/>
    <x v="4"/>
    <x v="3"/>
  </r>
  <r>
    <s v="PK-101516"/>
    <x v="209"/>
    <s v="Brandy Velasquez"/>
    <s v="lisa01@hotmail.com"/>
    <n v="923449904587"/>
    <x v="3"/>
    <s v="Pakistan"/>
    <x v="3"/>
    <n v="3"/>
    <n v="7595"/>
    <n v="22785"/>
    <x v="0"/>
    <x v="7"/>
    <x v="1"/>
  </r>
  <r>
    <s v="PK-101517"/>
    <x v="358"/>
    <s v="Lori Myers"/>
    <s v="allenbaker@gmail.com"/>
    <n v="923216656759"/>
    <x v="4"/>
    <s v="Pakistan"/>
    <x v="3"/>
    <n v="4"/>
    <n v="7220"/>
    <n v="28880"/>
    <x v="2"/>
    <x v="5"/>
    <x v="2"/>
  </r>
  <r>
    <s v="PK-101518"/>
    <x v="83"/>
    <s v="Deanna Bishop"/>
    <s v="jillianfarmer@yahoo.com"/>
    <n v="923244486112"/>
    <x v="7"/>
    <s v="Pakistan"/>
    <x v="1"/>
    <n v="3"/>
    <n v="14579"/>
    <n v="43737"/>
    <x v="4"/>
    <x v="6"/>
    <x v="0"/>
  </r>
  <r>
    <s v="PK-101519"/>
    <x v="263"/>
    <s v="Amanda Weber"/>
    <s v="kyleconner@gmail.com"/>
    <n v="923257097729"/>
    <x v="8"/>
    <s v="Pakistan"/>
    <x v="4"/>
    <n v="3"/>
    <n v="1088"/>
    <n v="3264"/>
    <x v="2"/>
    <x v="2"/>
    <x v="0"/>
  </r>
  <r>
    <s v="PK-101520"/>
    <x v="304"/>
    <s v="Michael Garrison"/>
    <s v="laura41@hotmail.com"/>
    <n v="923311595409"/>
    <x v="3"/>
    <s v="Pakistan"/>
    <x v="5"/>
    <n v="5"/>
    <n v="12403"/>
    <n v="62015"/>
    <x v="1"/>
    <x v="0"/>
    <x v="2"/>
  </r>
  <r>
    <s v="PK-101521"/>
    <x v="77"/>
    <s v="Barbara Cooper"/>
    <s v="zlowery@snyder.com"/>
    <n v="923147717248"/>
    <x v="2"/>
    <s v="Pakistan"/>
    <x v="4"/>
    <n v="1"/>
    <n v="10153"/>
    <n v="10153"/>
    <x v="0"/>
    <x v="6"/>
    <x v="0"/>
  </r>
  <r>
    <s v="PK-101522"/>
    <x v="249"/>
    <s v="Debra Torres"/>
    <s v="kimberlyjames@knight-porter.com"/>
    <n v="923133858550"/>
    <x v="3"/>
    <s v="Pakistan"/>
    <x v="3"/>
    <n v="5"/>
    <n v="5290"/>
    <n v="26450"/>
    <x v="1"/>
    <x v="2"/>
    <x v="1"/>
  </r>
  <r>
    <s v="PK-101523"/>
    <x v="47"/>
    <s v="Matthew Roberts"/>
    <s v="kristi03@rose.info"/>
    <n v="923074269719"/>
    <x v="8"/>
    <s v="Pakistan"/>
    <x v="2"/>
    <n v="3"/>
    <n v="5525"/>
    <n v="16575"/>
    <x v="1"/>
    <x v="6"/>
    <x v="3"/>
  </r>
  <r>
    <s v="PK-101524"/>
    <x v="225"/>
    <s v="Jonathan Davis"/>
    <s v="youngchristopher@yahoo.com"/>
    <n v="923418959962"/>
    <x v="2"/>
    <s v="Pakistan"/>
    <x v="0"/>
    <n v="2"/>
    <n v="13822"/>
    <n v="27644"/>
    <x v="3"/>
    <x v="4"/>
    <x v="3"/>
  </r>
  <r>
    <s v="PK-101525"/>
    <x v="304"/>
    <s v="Jason Stewart"/>
    <s v="ngalloway@hotmail.com"/>
    <n v="923385724140"/>
    <x v="5"/>
    <s v="Pakistan"/>
    <x v="0"/>
    <n v="5"/>
    <n v="3694"/>
    <n v="18470"/>
    <x v="4"/>
    <x v="1"/>
    <x v="1"/>
  </r>
  <r>
    <s v="PK-101526"/>
    <x v="154"/>
    <s v="Regina Stewart"/>
    <s v="walkerrebecca@yahoo.com"/>
    <n v="923369791364"/>
    <x v="0"/>
    <s v="Pakistan"/>
    <x v="0"/>
    <n v="3"/>
    <n v="4027"/>
    <n v="12081"/>
    <x v="3"/>
    <x v="4"/>
    <x v="3"/>
  </r>
  <r>
    <s v="PK-101527"/>
    <x v="2"/>
    <s v="Mr. Timothy Cochran"/>
    <s v="marychandler@yahoo.com"/>
    <n v="923143412265"/>
    <x v="2"/>
    <s v="Pakistan"/>
    <x v="5"/>
    <n v="1"/>
    <n v="7517"/>
    <n v="7517"/>
    <x v="5"/>
    <x v="5"/>
    <x v="2"/>
  </r>
  <r>
    <s v="PK-101528"/>
    <x v="200"/>
    <s v="Matthew Davis"/>
    <s v="zpeterson@scott.com"/>
    <n v="923429627023"/>
    <x v="3"/>
    <s v="Pakistan"/>
    <x v="1"/>
    <n v="2"/>
    <n v="7483"/>
    <n v="14966"/>
    <x v="1"/>
    <x v="0"/>
    <x v="2"/>
  </r>
  <r>
    <s v="PK-101529"/>
    <x v="162"/>
    <s v="Melissa Gentry"/>
    <s v="anthonydiaz@yahoo.com"/>
    <n v="923398607688"/>
    <x v="1"/>
    <s v="Pakistan"/>
    <x v="5"/>
    <n v="1"/>
    <n v="13140"/>
    <n v="13140"/>
    <x v="1"/>
    <x v="1"/>
    <x v="2"/>
  </r>
  <r>
    <s v="PK-101530"/>
    <x v="347"/>
    <s v="Gary Garcia"/>
    <s v="nwhitney@yahoo.com"/>
    <n v="923271908005"/>
    <x v="0"/>
    <s v="Pakistan"/>
    <x v="2"/>
    <n v="1"/>
    <n v="1590"/>
    <n v="1590"/>
    <x v="1"/>
    <x v="5"/>
    <x v="1"/>
  </r>
  <r>
    <s v="PK-101531"/>
    <x v="103"/>
    <s v="Randy Osborne"/>
    <s v="qmoon@hotmail.com"/>
    <n v="923429954214"/>
    <x v="0"/>
    <s v="Pakistan"/>
    <x v="2"/>
    <n v="3"/>
    <n v="9811"/>
    <n v="29433"/>
    <x v="3"/>
    <x v="6"/>
    <x v="0"/>
  </r>
  <r>
    <s v="PK-101532"/>
    <x v="120"/>
    <s v="Bobby Garza"/>
    <s v="pbutler@martin.com"/>
    <n v="923003063900"/>
    <x v="9"/>
    <s v="Pakistan"/>
    <x v="2"/>
    <n v="5"/>
    <n v="5050"/>
    <n v="25250"/>
    <x v="3"/>
    <x v="0"/>
    <x v="0"/>
  </r>
  <r>
    <s v="PK-101533"/>
    <x v="316"/>
    <s v="Patricia Griffin"/>
    <s v="amygraham@mcconnell.net"/>
    <n v="923327883195"/>
    <x v="5"/>
    <s v="Pakistan"/>
    <x v="5"/>
    <n v="1"/>
    <n v="10868"/>
    <n v="10868"/>
    <x v="0"/>
    <x v="3"/>
    <x v="2"/>
  </r>
  <r>
    <s v="PK-101534"/>
    <x v="347"/>
    <s v="Jill Schneider"/>
    <s v="amanda57@gmail.com"/>
    <n v="923362192272"/>
    <x v="1"/>
    <s v="Pakistan"/>
    <x v="3"/>
    <n v="5"/>
    <n v="3717"/>
    <n v="18585"/>
    <x v="3"/>
    <x v="2"/>
    <x v="2"/>
  </r>
  <r>
    <s v="PK-101535"/>
    <x v="22"/>
    <s v="Gabrielle Hutchinson"/>
    <s v="michaelfriedman@gmail.com"/>
    <n v="923201663091"/>
    <x v="2"/>
    <s v="Pakistan"/>
    <x v="3"/>
    <n v="5"/>
    <n v="13014"/>
    <n v="65070"/>
    <x v="1"/>
    <x v="0"/>
    <x v="0"/>
  </r>
  <r>
    <s v="PK-101536"/>
    <x v="217"/>
    <s v="Elizabeth Day"/>
    <s v="dawn60@fletcher-cabrera.com"/>
    <n v="923443351710"/>
    <x v="7"/>
    <s v="Pakistan"/>
    <x v="5"/>
    <n v="5"/>
    <n v="5009"/>
    <n v="25045"/>
    <x v="2"/>
    <x v="0"/>
    <x v="1"/>
  </r>
  <r>
    <s v="PK-101537"/>
    <x v="128"/>
    <s v="Lee Wells"/>
    <s v="moorejessica@yahoo.com"/>
    <n v="923121101588"/>
    <x v="3"/>
    <s v="Pakistan"/>
    <x v="1"/>
    <n v="4"/>
    <n v="10923"/>
    <n v="43692"/>
    <x v="4"/>
    <x v="4"/>
    <x v="2"/>
  </r>
  <r>
    <s v="PK-101538"/>
    <x v="143"/>
    <s v="Timothy Hamilton"/>
    <s v="cedwards@stephenson.com"/>
    <n v="923385977982"/>
    <x v="8"/>
    <s v="Pakistan"/>
    <x v="4"/>
    <n v="4"/>
    <n v="7840"/>
    <n v="31360"/>
    <x v="0"/>
    <x v="0"/>
    <x v="2"/>
  </r>
  <r>
    <s v="PK-101539"/>
    <x v="240"/>
    <s v="Dakota Flores"/>
    <s v="gibbsgabriel@gmail.com"/>
    <n v="923379379574"/>
    <x v="9"/>
    <s v="Pakistan"/>
    <x v="5"/>
    <n v="1"/>
    <n v="10013"/>
    <n v="10013"/>
    <x v="1"/>
    <x v="4"/>
    <x v="2"/>
  </r>
  <r>
    <s v="PK-101540"/>
    <x v="125"/>
    <s v="Jack Hill"/>
    <s v="asmith@lopez-perez.net"/>
    <n v="923065351106"/>
    <x v="5"/>
    <s v="Pakistan"/>
    <x v="2"/>
    <n v="4"/>
    <n v="5605"/>
    <n v="22420"/>
    <x v="3"/>
    <x v="5"/>
    <x v="2"/>
  </r>
  <r>
    <s v="PK-101541"/>
    <x v="18"/>
    <s v="Kyle Foster"/>
    <s v="jimenezjulia@stephens.net"/>
    <n v="923224792173"/>
    <x v="9"/>
    <s v="Pakistan"/>
    <x v="3"/>
    <n v="4"/>
    <n v="1166"/>
    <n v="4664"/>
    <x v="0"/>
    <x v="3"/>
    <x v="2"/>
  </r>
  <r>
    <s v="PK-101542"/>
    <x v="2"/>
    <s v="Matthew Marshall"/>
    <s v="bgilbert@lane.biz"/>
    <n v="923439738916"/>
    <x v="4"/>
    <s v="Pakistan"/>
    <x v="5"/>
    <n v="2"/>
    <n v="5763"/>
    <n v="11526"/>
    <x v="2"/>
    <x v="0"/>
    <x v="3"/>
  </r>
  <r>
    <s v="PK-101543"/>
    <x v="231"/>
    <s v="Kevin James DDS"/>
    <s v="carrillomichelle@hotmail.com"/>
    <n v="923399806935"/>
    <x v="1"/>
    <s v="Pakistan"/>
    <x v="5"/>
    <n v="5"/>
    <n v="8250"/>
    <n v="41250"/>
    <x v="4"/>
    <x v="3"/>
    <x v="3"/>
  </r>
  <r>
    <s v="PK-101544"/>
    <x v="233"/>
    <s v="Victor Holmes"/>
    <s v="christophermunoz@adams.biz"/>
    <n v="923247885768"/>
    <x v="3"/>
    <s v="Pakistan"/>
    <x v="4"/>
    <n v="2"/>
    <n v="3675"/>
    <n v="7350"/>
    <x v="0"/>
    <x v="6"/>
    <x v="1"/>
  </r>
  <r>
    <s v="PK-101545"/>
    <x v="124"/>
    <s v="Keith Aguirre"/>
    <s v="wrightrobert@rivera.biz"/>
    <n v="923426426926"/>
    <x v="5"/>
    <s v="Pakistan"/>
    <x v="3"/>
    <n v="1"/>
    <n v="7442"/>
    <n v="7442"/>
    <x v="0"/>
    <x v="2"/>
    <x v="2"/>
  </r>
  <r>
    <s v="PK-101546"/>
    <x v="74"/>
    <s v="Thomas Mcbride"/>
    <s v="susanrowe@love.com"/>
    <n v="923440962826"/>
    <x v="6"/>
    <s v="Pakistan"/>
    <x v="3"/>
    <n v="5"/>
    <n v="1353"/>
    <n v="6765"/>
    <x v="4"/>
    <x v="0"/>
    <x v="0"/>
  </r>
  <r>
    <s v="PK-101547"/>
    <x v="279"/>
    <s v="Martha Neal"/>
    <s v="turnermatthew@horn.com"/>
    <n v="923196116867"/>
    <x v="4"/>
    <s v="Pakistan"/>
    <x v="2"/>
    <n v="1"/>
    <n v="11845"/>
    <n v="11845"/>
    <x v="0"/>
    <x v="5"/>
    <x v="0"/>
  </r>
  <r>
    <s v="PK-101548"/>
    <x v="82"/>
    <s v="Michelle Bass"/>
    <s v="icoleman@gmail.com"/>
    <n v="923037404155"/>
    <x v="1"/>
    <s v="Pakistan"/>
    <x v="3"/>
    <n v="5"/>
    <n v="2518"/>
    <n v="12590"/>
    <x v="1"/>
    <x v="0"/>
    <x v="3"/>
  </r>
  <r>
    <s v="PK-101549"/>
    <x v="217"/>
    <s v="Sarah Perry"/>
    <s v="aprilsantos@leonard.com"/>
    <n v="923337333510"/>
    <x v="8"/>
    <s v="Pakistan"/>
    <x v="2"/>
    <n v="5"/>
    <n v="5722"/>
    <n v="28610"/>
    <x v="3"/>
    <x v="0"/>
    <x v="1"/>
  </r>
  <r>
    <s v="PK-101550"/>
    <x v="144"/>
    <s v="Joseph Morales"/>
    <s v="kcastillo@hotmail.com"/>
    <n v="923433312462"/>
    <x v="9"/>
    <s v="Pakistan"/>
    <x v="3"/>
    <n v="5"/>
    <n v="3497"/>
    <n v="17485"/>
    <x v="1"/>
    <x v="0"/>
    <x v="2"/>
  </r>
  <r>
    <s v="PK-101551"/>
    <x v="37"/>
    <s v="Leah Levy"/>
    <s v="jamie28@fischer.org"/>
    <n v="923282676818"/>
    <x v="7"/>
    <s v="Pakistan"/>
    <x v="2"/>
    <n v="1"/>
    <n v="5507"/>
    <n v="5507"/>
    <x v="3"/>
    <x v="0"/>
    <x v="3"/>
  </r>
  <r>
    <s v="PK-101552"/>
    <x v="161"/>
    <s v="Ray Kidd"/>
    <s v="ipowell@garrison-dickson.com"/>
    <n v="923034606889"/>
    <x v="1"/>
    <s v="Pakistan"/>
    <x v="4"/>
    <n v="1"/>
    <n v="14727"/>
    <n v="14727"/>
    <x v="5"/>
    <x v="7"/>
    <x v="0"/>
  </r>
  <r>
    <s v="PK-101553"/>
    <x v="341"/>
    <s v="Holly Marshall"/>
    <s v="preston03@escobar.com"/>
    <n v="923098117323"/>
    <x v="8"/>
    <s v="Pakistan"/>
    <x v="1"/>
    <n v="1"/>
    <n v="1031"/>
    <n v="1031"/>
    <x v="3"/>
    <x v="1"/>
    <x v="0"/>
  </r>
  <r>
    <s v="PK-101554"/>
    <x v="97"/>
    <s v="Hannah Wall"/>
    <s v="stephanie06@chan.org"/>
    <n v="923434951870"/>
    <x v="8"/>
    <s v="Pakistan"/>
    <x v="5"/>
    <n v="4"/>
    <n v="4277"/>
    <n v="17108"/>
    <x v="3"/>
    <x v="6"/>
    <x v="1"/>
  </r>
  <r>
    <s v="PK-101555"/>
    <x v="290"/>
    <s v="Barbara Fox"/>
    <s v="brittanymorrow@andrade-zimmerman.com"/>
    <n v="923141260500"/>
    <x v="2"/>
    <s v="Pakistan"/>
    <x v="1"/>
    <n v="2"/>
    <n v="3227"/>
    <n v="6454"/>
    <x v="5"/>
    <x v="4"/>
    <x v="2"/>
  </r>
  <r>
    <s v="PK-101556"/>
    <x v="218"/>
    <s v="Christine Sims"/>
    <s v="dawnfernandez@sullivan.com"/>
    <n v="923234595608"/>
    <x v="9"/>
    <s v="Pakistan"/>
    <x v="2"/>
    <n v="4"/>
    <n v="9090"/>
    <n v="36360"/>
    <x v="2"/>
    <x v="5"/>
    <x v="3"/>
  </r>
  <r>
    <s v="PK-101557"/>
    <x v="298"/>
    <s v="Amy Davis"/>
    <s v="alisonsimmons@green-franklin.org"/>
    <n v="923372706803"/>
    <x v="3"/>
    <s v="Pakistan"/>
    <x v="1"/>
    <n v="5"/>
    <n v="4580"/>
    <n v="22900"/>
    <x v="4"/>
    <x v="2"/>
    <x v="2"/>
  </r>
  <r>
    <s v="PK-101558"/>
    <x v="344"/>
    <s v="Taylor Green"/>
    <s v="foxsherri@graham.com"/>
    <n v="923464927850"/>
    <x v="8"/>
    <s v="Pakistan"/>
    <x v="4"/>
    <n v="3"/>
    <n v="13688"/>
    <n v="41064"/>
    <x v="0"/>
    <x v="0"/>
    <x v="2"/>
  </r>
  <r>
    <s v="PK-101559"/>
    <x v="290"/>
    <s v="David Byrd"/>
    <s v="leonard82@carter.com"/>
    <n v="923264165605"/>
    <x v="4"/>
    <s v="Pakistan"/>
    <x v="2"/>
    <n v="1"/>
    <n v="10207"/>
    <n v="10207"/>
    <x v="5"/>
    <x v="0"/>
    <x v="0"/>
  </r>
  <r>
    <s v="PK-101560"/>
    <x v="190"/>
    <s v="Kevin Jacobs"/>
    <s v="debra94@thompson-wilson.biz"/>
    <n v="923469888468"/>
    <x v="0"/>
    <s v="Pakistan"/>
    <x v="4"/>
    <n v="2"/>
    <n v="14971"/>
    <n v="29942"/>
    <x v="5"/>
    <x v="1"/>
    <x v="1"/>
  </r>
  <r>
    <s v="PK-101561"/>
    <x v="205"/>
    <s v="Mark Davis"/>
    <s v="ambercastaneda@fuentes.com"/>
    <n v="923121656610"/>
    <x v="1"/>
    <s v="Pakistan"/>
    <x v="0"/>
    <n v="4"/>
    <n v="1530"/>
    <n v="6120"/>
    <x v="2"/>
    <x v="1"/>
    <x v="0"/>
  </r>
  <r>
    <s v="PK-101562"/>
    <x v="33"/>
    <s v="Jason Jones"/>
    <s v="fperez@hotmail.com"/>
    <n v="923330713062"/>
    <x v="1"/>
    <s v="Pakistan"/>
    <x v="4"/>
    <n v="4"/>
    <n v="3908"/>
    <n v="15632"/>
    <x v="1"/>
    <x v="2"/>
    <x v="0"/>
  </r>
  <r>
    <s v="PK-101563"/>
    <x v="10"/>
    <s v="Tara Adams"/>
    <s v="hbishop@hotmail.com"/>
    <n v="923313306778"/>
    <x v="1"/>
    <s v="Pakistan"/>
    <x v="0"/>
    <n v="5"/>
    <n v="9428"/>
    <n v="47140"/>
    <x v="5"/>
    <x v="7"/>
    <x v="1"/>
  </r>
  <r>
    <s v="PK-101564"/>
    <x v="264"/>
    <s v="Michael Brooks"/>
    <s v="dawnadkins@mclean.org"/>
    <n v="923435269491"/>
    <x v="7"/>
    <s v="Pakistan"/>
    <x v="1"/>
    <n v="4"/>
    <n v="3393"/>
    <n v="13572"/>
    <x v="1"/>
    <x v="6"/>
    <x v="3"/>
  </r>
  <r>
    <s v="PK-101565"/>
    <x v="193"/>
    <s v="Meredith Gross"/>
    <s v="whitejeffrey@hart.com"/>
    <n v="923241800927"/>
    <x v="8"/>
    <s v="Pakistan"/>
    <x v="2"/>
    <n v="1"/>
    <n v="11215"/>
    <n v="11215"/>
    <x v="5"/>
    <x v="7"/>
    <x v="3"/>
  </r>
  <r>
    <s v="PK-101566"/>
    <x v="239"/>
    <s v="Mr. Adam Carter MD"/>
    <s v="danielssteven@erickson-parker.com"/>
    <n v="923006065917"/>
    <x v="4"/>
    <s v="Pakistan"/>
    <x v="5"/>
    <n v="3"/>
    <n v="14225"/>
    <n v="42675"/>
    <x v="4"/>
    <x v="4"/>
    <x v="2"/>
  </r>
  <r>
    <s v="PK-101567"/>
    <x v="56"/>
    <s v="Todd Morse"/>
    <s v="wooderica@cabrera.com"/>
    <n v="923446459827"/>
    <x v="8"/>
    <s v="Pakistan"/>
    <x v="0"/>
    <n v="5"/>
    <n v="2780"/>
    <n v="13900"/>
    <x v="2"/>
    <x v="2"/>
    <x v="0"/>
  </r>
  <r>
    <s v="PK-101568"/>
    <x v="180"/>
    <s v="Christopher Mason"/>
    <s v="cthomas@gmail.com"/>
    <n v="923282002446"/>
    <x v="7"/>
    <s v="Pakistan"/>
    <x v="1"/>
    <n v="2"/>
    <n v="6978"/>
    <n v="13956"/>
    <x v="1"/>
    <x v="2"/>
    <x v="2"/>
  </r>
  <r>
    <s v="PK-101569"/>
    <x v="166"/>
    <s v="Karen Gutierrez"/>
    <s v="marythomas@hotmail.com"/>
    <n v="923188685024"/>
    <x v="0"/>
    <s v="Pakistan"/>
    <x v="4"/>
    <n v="3"/>
    <n v="2104"/>
    <n v="6312"/>
    <x v="4"/>
    <x v="2"/>
    <x v="1"/>
  </r>
  <r>
    <s v="PK-101570"/>
    <x v="247"/>
    <s v="Gregory Davila"/>
    <s v="lawrencemartha@hotmail.com"/>
    <n v="923159184889"/>
    <x v="9"/>
    <s v="Pakistan"/>
    <x v="5"/>
    <n v="2"/>
    <n v="2328"/>
    <n v="4656"/>
    <x v="4"/>
    <x v="7"/>
    <x v="3"/>
  </r>
  <r>
    <s v="PK-101571"/>
    <x v="111"/>
    <s v="Christopher Acevedo"/>
    <s v="rosespence@gmail.com"/>
    <n v="923062500429"/>
    <x v="3"/>
    <s v="Pakistan"/>
    <x v="1"/>
    <n v="5"/>
    <n v="9166"/>
    <n v="45830"/>
    <x v="2"/>
    <x v="4"/>
    <x v="1"/>
  </r>
  <r>
    <s v="PK-101572"/>
    <x v="16"/>
    <s v="Marcus Duarte"/>
    <s v="reneegonzalez@yahoo.com"/>
    <n v="923301303700"/>
    <x v="1"/>
    <s v="Pakistan"/>
    <x v="1"/>
    <n v="5"/>
    <n v="8161"/>
    <n v="40805"/>
    <x v="5"/>
    <x v="2"/>
    <x v="3"/>
  </r>
  <r>
    <s v="PK-101573"/>
    <x v="175"/>
    <s v="David Snyder"/>
    <s v="nwilliams@yahoo.com"/>
    <n v="923326471376"/>
    <x v="9"/>
    <s v="Pakistan"/>
    <x v="5"/>
    <n v="1"/>
    <n v="14735"/>
    <n v="14735"/>
    <x v="2"/>
    <x v="6"/>
    <x v="3"/>
  </r>
  <r>
    <s v="PK-101574"/>
    <x v="327"/>
    <s v="Jennifer Patterson"/>
    <s v="qfrancis@yahoo.com"/>
    <n v="923064612547"/>
    <x v="9"/>
    <s v="Pakistan"/>
    <x v="0"/>
    <n v="2"/>
    <n v="2793"/>
    <n v="5586"/>
    <x v="3"/>
    <x v="3"/>
    <x v="2"/>
  </r>
  <r>
    <s v="PK-101575"/>
    <x v="71"/>
    <s v="Richard Wallace"/>
    <s v="tstewart@mason-hunter.com"/>
    <n v="923035678402"/>
    <x v="0"/>
    <s v="Pakistan"/>
    <x v="4"/>
    <n v="5"/>
    <n v="7171"/>
    <n v="35855"/>
    <x v="0"/>
    <x v="5"/>
    <x v="0"/>
  </r>
  <r>
    <s v="PK-101576"/>
    <x v="271"/>
    <s v="Matthew Davila"/>
    <s v="alex31@scott-mills.com"/>
    <n v="923389336676"/>
    <x v="0"/>
    <s v="Pakistan"/>
    <x v="5"/>
    <n v="3"/>
    <n v="6421"/>
    <n v="19263"/>
    <x v="2"/>
    <x v="5"/>
    <x v="2"/>
  </r>
  <r>
    <s v="PK-101577"/>
    <x v="261"/>
    <s v="Pamela Martinez"/>
    <s v="smason@gmail.com"/>
    <n v="923452106063"/>
    <x v="9"/>
    <s v="Pakistan"/>
    <x v="3"/>
    <n v="4"/>
    <n v="4972"/>
    <n v="19888"/>
    <x v="2"/>
    <x v="6"/>
    <x v="2"/>
  </r>
  <r>
    <s v="PK-101578"/>
    <x v="26"/>
    <s v="Tina Dillon"/>
    <s v="zyang@petty.com"/>
    <n v="923097146448"/>
    <x v="0"/>
    <s v="Pakistan"/>
    <x v="4"/>
    <n v="5"/>
    <n v="8188"/>
    <n v="40940"/>
    <x v="0"/>
    <x v="3"/>
    <x v="2"/>
  </r>
  <r>
    <s v="PK-101579"/>
    <x v="50"/>
    <s v="Justin Scott"/>
    <s v="briangriffith@yahoo.com"/>
    <n v="923470150286"/>
    <x v="8"/>
    <s v="Pakistan"/>
    <x v="3"/>
    <n v="5"/>
    <n v="6276"/>
    <n v="31380"/>
    <x v="0"/>
    <x v="1"/>
    <x v="2"/>
  </r>
  <r>
    <s v="PK-101580"/>
    <x v="160"/>
    <s v="Amy Jarvis"/>
    <s v="fletcherselena@gmail.com"/>
    <n v="923437581901"/>
    <x v="4"/>
    <s v="Pakistan"/>
    <x v="0"/>
    <n v="5"/>
    <n v="6381"/>
    <n v="31905"/>
    <x v="5"/>
    <x v="2"/>
    <x v="3"/>
  </r>
  <r>
    <s v="PK-101581"/>
    <x v="82"/>
    <s v="Mr. Chris Hernandez"/>
    <s v="laura35@norman-rhodes.com"/>
    <n v="923493772721"/>
    <x v="7"/>
    <s v="Pakistan"/>
    <x v="3"/>
    <n v="5"/>
    <n v="9351"/>
    <n v="46755"/>
    <x v="0"/>
    <x v="7"/>
    <x v="2"/>
  </r>
  <r>
    <s v="PK-101582"/>
    <x v="350"/>
    <s v="Mrs. Tonya Ingram"/>
    <s v="danafields@yahoo.com"/>
    <n v="923378543569"/>
    <x v="3"/>
    <s v="Pakistan"/>
    <x v="1"/>
    <n v="2"/>
    <n v="9047"/>
    <n v="18094"/>
    <x v="3"/>
    <x v="4"/>
    <x v="0"/>
  </r>
  <r>
    <s v="PK-101583"/>
    <x v="153"/>
    <s v="Kirk Bernard"/>
    <s v="qosborn@miller.biz"/>
    <n v="923330407076"/>
    <x v="9"/>
    <s v="Pakistan"/>
    <x v="2"/>
    <n v="2"/>
    <n v="9037"/>
    <n v="18074"/>
    <x v="5"/>
    <x v="0"/>
    <x v="2"/>
  </r>
  <r>
    <s v="PK-101584"/>
    <x v="276"/>
    <s v="Mark Lloyd"/>
    <s v="graymarissa@payne-daniels.com"/>
    <n v="923022420062"/>
    <x v="2"/>
    <s v="Pakistan"/>
    <x v="2"/>
    <n v="5"/>
    <n v="1818"/>
    <n v="9090"/>
    <x v="5"/>
    <x v="0"/>
    <x v="0"/>
  </r>
  <r>
    <s v="PK-101585"/>
    <x v="253"/>
    <s v="Amanda Ryan"/>
    <s v="staciemills@bates-salinas.org"/>
    <n v="923013799196"/>
    <x v="1"/>
    <s v="Pakistan"/>
    <x v="3"/>
    <n v="5"/>
    <n v="5687"/>
    <n v="28435"/>
    <x v="0"/>
    <x v="2"/>
    <x v="2"/>
  </r>
  <r>
    <s v="PK-101586"/>
    <x v="103"/>
    <s v="Michael Hernandez"/>
    <s v="braunscott@hotmail.com"/>
    <n v="923408416562"/>
    <x v="1"/>
    <s v="Pakistan"/>
    <x v="0"/>
    <n v="4"/>
    <n v="13489"/>
    <n v="53956"/>
    <x v="0"/>
    <x v="6"/>
    <x v="1"/>
  </r>
  <r>
    <s v="PK-101587"/>
    <x v="308"/>
    <s v="Ronald Kennedy"/>
    <s v="melaniescott@hernandez.org"/>
    <n v="923404868547"/>
    <x v="4"/>
    <s v="Pakistan"/>
    <x v="0"/>
    <n v="5"/>
    <n v="14688"/>
    <n v="73440"/>
    <x v="4"/>
    <x v="1"/>
    <x v="3"/>
  </r>
  <r>
    <s v="PK-101588"/>
    <x v="225"/>
    <s v="John Riley"/>
    <s v="douglasrogers@kelley.info"/>
    <n v="923497788983"/>
    <x v="1"/>
    <s v="Pakistan"/>
    <x v="3"/>
    <n v="4"/>
    <n v="8762"/>
    <n v="35048"/>
    <x v="4"/>
    <x v="7"/>
    <x v="2"/>
  </r>
  <r>
    <s v="PK-101589"/>
    <x v="266"/>
    <s v="Nicolas Friedman"/>
    <s v="wallen@case.info"/>
    <n v="923180268401"/>
    <x v="6"/>
    <s v="Pakistan"/>
    <x v="4"/>
    <n v="4"/>
    <n v="7350"/>
    <n v="29400"/>
    <x v="2"/>
    <x v="6"/>
    <x v="2"/>
  </r>
  <r>
    <s v="PK-101590"/>
    <x v="159"/>
    <s v="Anita Perez"/>
    <s v="shannoncasey@gmail.com"/>
    <n v="923201693821"/>
    <x v="5"/>
    <s v="Pakistan"/>
    <x v="2"/>
    <n v="5"/>
    <n v="11207"/>
    <n v="56035"/>
    <x v="4"/>
    <x v="5"/>
    <x v="1"/>
  </r>
  <r>
    <s v="PK-101591"/>
    <x v="88"/>
    <s v="Jamie Hudson"/>
    <s v="shawdarrell@gmail.com"/>
    <n v="923480406416"/>
    <x v="1"/>
    <s v="Pakistan"/>
    <x v="2"/>
    <n v="3"/>
    <n v="8400"/>
    <n v="25200"/>
    <x v="0"/>
    <x v="1"/>
    <x v="0"/>
  </r>
  <r>
    <s v="PK-101592"/>
    <x v="130"/>
    <s v="Stephanie Williams"/>
    <s v="berrycraig@gmail.com"/>
    <n v="923372765695"/>
    <x v="9"/>
    <s v="Pakistan"/>
    <x v="0"/>
    <n v="5"/>
    <n v="7482"/>
    <n v="37410"/>
    <x v="1"/>
    <x v="2"/>
    <x v="1"/>
  </r>
  <r>
    <s v="PK-101593"/>
    <x v="228"/>
    <s v="Brittany Kramer"/>
    <s v="teresafuller@hotmail.com"/>
    <n v="923444272150"/>
    <x v="5"/>
    <s v="Pakistan"/>
    <x v="4"/>
    <n v="4"/>
    <n v="1947"/>
    <n v="7788"/>
    <x v="4"/>
    <x v="1"/>
    <x v="0"/>
  </r>
  <r>
    <s v="PK-101594"/>
    <x v="78"/>
    <s v="Thomas Williams"/>
    <s v="yolandawilliams@shah.com"/>
    <n v="923264721323"/>
    <x v="6"/>
    <s v="Pakistan"/>
    <x v="0"/>
    <n v="4"/>
    <n v="4274"/>
    <n v="17096"/>
    <x v="0"/>
    <x v="0"/>
    <x v="1"/>
  </r>
  <r>
    <s v="PK-101595"/>
    <x v="343"/>
    <s v="Brian Martinez"/>
    <s v="robertsjohnathan@williams-hernandez.com"/>
    <n v="923092679630"/>
    <x v="0"/>
    <s v="Pakistan"/>
    <x v="2"/>
    <n v="1"/>
    <n v="12719"/>
    <n v="12719"/>
    <x v="0"/>
    <x v="6"/>
    <x v="3"/>
  </r>
  <r>
    <s v="PK-101596"/>
    <x v="254"/>
    <s v="Drew Allen"/>
    <s v="jasonmitchell@hotmail.com"/>
    <n v="923294258923"/>
    <x v="9"/>
    <s v="Pakistan"/>
    <x v="3"/>
    <n v="1"/>
    <n v="3370"/>
    <n v="3370"/>
    <x v="3"/>
    <x v="4"/>
    <x v="2"/>
  </r>
  <r>
    <s v="PK-101597"/>
    <x v="246"/>
    <s v="William Monroe"/>
    <s v="jennifer48@hotmail.com"/>
    <n v="923490031816"/>
    <x v="3"/>
    <s v="Pakistan"/>
    <x v="0"/>
    <n v="5"/>
    <n v="9859"/>
    <n v="49295"/>
    <x v="0"/>
    <x v="5"/>
    <x v="0"/>
  </r>
  <r>
    <s v="PK-101598"/>
    <x v="265"/>
    <s v="Donald Smith"/>
    <s v="candacejames@gmail.com"/>
    <n v="923129463754"/>
    <x v="9"/>
    <s v="Pakistan"/>
    <x v="0"/>
    <n v="4"/>
    <n v="10547"/>
    <n v="42188"/>
    <x v="5"/>
    <x v="4"/>
    <x v="2"/>
  </r>
  <r>
    <s v="PK-101599"/>
    <x v="188"/>
    <s v="Robert Cervantes"/>
    <s v="patrick65@boyd.biz"/>
    <n v="923301376573"/>
    <x v="8"/>
    <s v="Pakistan"/>
    <x v="4"/>
    <n v="2"/>
    <n v="8552"/>
    <n v="17104"/>
    <x v="2"/>
    <x v="2"/>
    <x v="0"/>
  </r>
  <r>
    <s v="PK-101600"/>
    <x v="122"/>
    <s v="Joanna Chandler"/>
    <s v="jason15@yahoo.com"/>
    <n v="923004850172"/>
    <x v="3"/>
    <s v="Pakistan"/>
    <x v="0"/>
    <n v="1"/>
    <n v="10349"/>
    <n v="10349"/>
    <x v="2"/>
    <x v="1"/>
    <x v="0"/>
  </r>
  <r>
    <s v="PK-101601"/>
    <x v="349"/>
    <s v="Amy Logan"/>
    <s v="danielle61@hawkins-reynolds.com"/>
    <n v="923344453669"/>
    <x v="4"/>
    <s v="Pakistan"/>
    <x v="3"/>
    <n v="1"/>
    <n v="2122"/>
    <n v="2122"/>
    <x v="3"/>
    <x v="7"/>
    <x v="1"/>
  </r>
  <r>
    <s v="PK-101602"/>
    <x v="31"/>
    <s v="Brianna Higgins"/>
    <s v="randall87@singleton.org"/>
    <n v="923278764896"/>
    <x v="6"/>
    <s v="Pakistan"/>
    <x v="4"/>
    <n v="2"/>
    <n v="13471"/>
    <n v="26942"/>
    <x v="3"/>
    <x v="3"/>
    <x v="2"/>
  </r>
  <r>
    <s v="PK-101603"/>
    <x v="20"/>
    <s v="Marc Hoover"/>
    <s v="ethannguyen@calderon.org"/>
    <n v="923444769460"/>
    <x v="6"/>
    <s v="Pakistan"/>
    <x v="0"/>
    <n v="3"/>
    <n v="8717"/>
    <n v="26151"/>
    <x v="3"/>
    <x v="7"/>
    <x v="0"/>
  </r>
  <r>
    <s v="PK-101604"/>
    <x v="352"/>
    <s v="Aaron Henry"/>
    <s v="hernandezisabel@yahoo.com"/>
    <n v="923406510445"/>
    <x v="0"/>
    <s v="Pakistan"/>
    <x v="3"/>
    <n v="5"/>
    <n v="2684"/>
    <n v="13420"/>
    <x v="1"/>
    <x v="2"/>
    <x v="2"/>
  </r>
  <r>
    <s v="PK-101605"/>
    <x v="161"/>
    <s v="Blake Franklin"/>
    <s v="meganhebert@smith.com"/>
    <n v="923408241381"/>
    <x v="9"/>
    <s v="Pakistan"/>
    <x v="4"/>
    <n v="4"/>
    <n v="1151"/>
    <n v="4604"/>
    <x v="5"/>
    <x v="7"/>
    <x v="2"/>
  </r>
  <r>
    <s v="PK-101606"/>
    <x v="160"/>
    <s v="Robert Johnson"/>
    <s v="brian71@riddle-walton.com"/>
    <n v="923203881058"/>
    <x v="6"/>
    <s v="Pakistan"/>
    <x v="0"/>
    <n v="3"/>
    <n v="14670"/>
    <n v="44010"/>
    <x v="1"/>
    <x v="7"/>
    <x v="1"/>
  </r>
  <r>
    <s v="PK-101607"/>
    <x v="242"/>
    <s v="Mrs. Linda Jones PhD"/>
    <s v="bpreston@gmail.com"/>
    <n v="923034313974"/>
    <x v="3"/>
    <s v="Pakistan"/>
    <x v="3"/>
    <n v="3"/>
    <n v="8561"/>
    <n v="25683"/>
    <x v="4"/>
    <x v="3"/>
    <x v="0"/>
  </r>
  <r>
    <s v="PK-101608"/>
    <x v="42"/>
    <s v="Joanne Fuentes"/>
    <s v="jayyoung@gmail.com"/>
    <n v="923449382830"/>
    <x v="6"/>
    <s v="Pakistan"/>
    <x v="5"/>
    <n v="2"/>
    <n v="5723"/>
    <n v="11446"/>
    <x v="0"/>
    <x v="0"/>
    <x v="3"/>
  </r>
  <r>
    <s v="PK-101609"/>
    <x v="283"/>
    <s v="Andrea Johnson"/>
    <s v="vrobinson@hotmail.com"/>
    <n v="923139103930"/>
    <x v="0"/>
    <s v="Pakistan"/>
    <x v="4"/>
    <n v="3"/>
    <n v="1154"/>
    <n v="3462"/>
    <x v="2"/>
    <x v="5"/>
    <x v="2"/>
  </r>
  <r>
    <s v="PK-101610"/>
    <x v="301"/>
    <s v="Patrick Brooks"/>
    <s v="edavis@yahoo.com"/>
    <n v="923374957863"/>
    <x v="0"/>
    <s v="Pakistan"/>
    <x v="1"/>
    <n v="2"/>
    <n v="1190"/>
    <n v="2380"/>
    <x v="2"/>
    <x v="4"/>
    <x v="1"/>
  </r>
  <r>
    <s v="PK-101611"/>
    <x v="315"/>
    <s v="Alyssa Wong"/>
    <s v="zdyer@reyes.com"/>
    <n v="923454154913"/>
    <x v="0"/>
    <s v="Pakistan"/>
    <x v="0"/>
    <n v="2"/>
    <n v="5005"/>
    <n v="10010"/>
    <x v="0"/>
    <x v="1"/>
    <x v="2"/>
  </r>
  <r>
    <s v="PK-101612"/>
    <x v="91"/>
    <s v="Sarah Lee"/>
    <s v="laralisa@maldonado.com"/>
    <n v="923135425778"/>
    <x v="2"/>
    <s v="Pakistan"/>
    <x v="4"/>
    <n v="4"/>
    <n v="3503"/>
    <n v="14012"/>
    <x v="0"/>
    <x v="4"/>
    <x v="2"/>
  </r>
  <r>
    <s v="PK-101613"/>
    <x v="269"/>
    <s v="Kristin Murray"/>
    <s v="audrey65@gamble.info"/>
    <n v="923065603475"/>
    <x v="0"/>
    <s v="Pakistan"/>
    <x v="3"/>
    <n v="5"/>
    <n v="6109"/>
    <n v="30545"/>
    <x v="0"/>
    <x v="2"/>
    <x v="2"/>
  </r>
  <r>
    <s v="PK-101614"/>
    <x v="217"/>
    <s v="Jacob Leblanc"/>
    <s v="mullensandra@moses.com"/>
    <n v="923191288808"/>
    <x v="0"/>
    <s v="Pakistan"/>
    <x v="1"/>
    <n v="2"/>
    <n v="13420"/>
    <n v="26840"/>
    <x v="1"/>
    <x v="7"/>
    <x v="1"/>
  </r>
  <r>
    <s v="PK-101615"/>
    <x v="31"/>
    <s v="Gary Stevens"/>
    <s v="monica85@dennis.com"/>
    <n v="923436747338"/>
    <x v="4"/>
    <s v="Pakistan"/>
    <x v="5"/>
    <n v="2"/>
    <n v="6661"/>
    <n v="13322"/>
    <x v="1"/>
    <x v="2"/>
    <x v="3"/>
  </r>
  <r>
    <s v="PK-101616"/>
    <x v="40"/>
    <s v="Calvin Ford"/>
    <s v="oliviamarshall@gmail.com"/>
    <n v="923296542844"/>
    <x v="9"/>
    <s v="Pakistan"/>
    <x v="4"/>
    <n v="5"/>
    <n v="8183"/>
    <n v="40915"/>
    <x v="0"/>
    <x v="5"/>
    <x v="3"/>
  </r>
  <r>
    <s v="PK-101617"/>
    <x v="332"/>
    <s v="Pedro Mccoy"/>
    <s v="riverajohn@hotmail.com"/>
    <n v="923214201901"/>
    <x v="0"/>
    <s v="Pakistan"/>
    <x v="2"/>
    <n v="1"/>
    <n v="13549"/>
    <n v="13549"/>
    <x v="5"/>
    <x v="6"/>
    <x v="2"/>
  </r>
  <r>
    <s v="PK-101618"/>
    <x v="251"/>
    <s v="Ryan Washington"/>
    <s v="cory96@clark.com"/>
    <n v="923391536988"/>
    <x v="0"/>
    <s v="Pakistan"/>
    <x v="3"/>
    <n v="5"/>
    <n v="12935"/>
    <n v="64675"/>
    <x v="2"/>
    <x v="1"/>
    <x v="0"/>
  </r>
  <r>
    <s v="PK-101619"/>
    <x v="101"/>
    <s v="Melissa Williams"/>
    <s v="pamela86@fleming-vasquez.org"/>
    <n v="923463167486"/>
    <x v="7"/>
    <s v="Pakistan"/>
    <x v="1"/>
    <n v="4"/>
    <n v="13173"/>
    <n v="52692"/>
    <x v="2"/>
    <x v="6"/>
    <x v="0"/>
  </r>
  <r>
    <s v="PK-101620"/>
    <x v="93"/>
    <s v="Brenda Miller"/>
    <s v="xnguyen@hotmail.com"/>
    <n v="923305432591"/>
    <x v="3"/>
    <s v="Pakistan"/>
    <x v="2"/>
    <n v="2"/>
    <n v="3911"/>
    <n v="7822"/>
    <x v="4"/>
    <x v="7"/>
    <x v="0"/>
  </r>
  <r>
    <s v="PK-101621"/>
    <x v="220"/>
    <s v="Sean Martin"/>
    <s v="ashley98@simpson-johnson.biz"/>
    <n v="923361428226"/>
    <x v="6"/>
    <s v="Pakistan"/>
    <x v="4"/>
    <n v="2"/>
    <n v="3945"/>
    <n v="7890"/>
    <x v="4"/>
    <x v="1"/>
    <x v="2"/>
  </r>
  <r>
    <s v="PK-101622"/>
    <x v="335"/>
    <s v="Kathy Houston"/>
    <s v="gregory28@kerr.com"/>
    <n v="923060503926"/>
    <x v="9"/>
    <s v="Pakistan"/>
    <x v="5"/>
    <n v="4"/>
    <n v="14597"/>
    <n v="58388"/>
    <x v="4"/>
    <x v="3"/>
    <x v="3"/>
  </r>
  <r>
    <s v="PK-101623"/>
    <x v="260"/>
    <s v="Frederick Ramirez"/>
    <s v="mburns@yahoo.com"/>
    <n v="923412635093"/>
    <x v="1"/>
    <s v="Pakistan"/>
    <x v="2"/>
    <n v="3"/>
    <n v="11346"/>
    <n v="34038"/>
    <x v="2"/>
    <x v="1"/>
    <x v="0"/>
  </r>
  <r>
    <s v="PK-101624"/>
    <x v="192"/>
    <s v="Eric Griffin"/>
    <s v="conniejackson@rasmussen.info"/>
    <n v="923317778868"/>
    <x v="6"/>
    <s v="Pakistan"/>
    <x v="4"/>
    <n v="5"/>
    <n v="6927"/>
    <n v="34635"/>
    <x v="0"/>
    <x v="5"/>
    <x v="1"/>
  </r>
  <r>
    <s v="PK-101625"/>
    <x v="252"/>
    <s v="Bradley Krueger"/>
    <s v="singletonmichelle@cordova.net"/>
    <n v="923385732482"/>
    <x v="2"/>
    <s v="Pakistan"/>
    <x v="4"/>
    <n v="5"/>
    <n v="5843"/>
    <n v="29215"/>
    <x v="4"/>
    <x v="7"/>
    <x v="3"/>
  </r>
  <r>
    <s v="PK-101626"/>
    <x v="17"/>
    <s v="Kayla Cruz"/>
    <s v="mjordan@collins.com"/>
    <n v="923082476679"/>
    <x v="1"/>
    <s v="Pakistan"/>
    <x v="2"/>
    <n v="2"/>
    <n v="1595"/>
    <n v="3190"/>
    <x v="5"/>
    <x v="5"/>
    <x v="1"/>
  </r>
  <r>
    <s v="PK-101627"/>
    <x v="109"/>
    <s v="Marc Wood"/>
    <s v="zshah@rodriguez.com"/>
    <n v="923294068502"/>
    <x v="2"/>
    <s v="Pakistan"/>
    <x v="3"/>
    <n v="5"/>
    <n v="4850"/>
    <n v="24250"/>
    <x v="3"/>
    <x v="0"/>
    <x v="1"/>
  </r>
  <r>
    <s v="PK-101628"/>
    <x v="89"/>
    <s v="Donald Fitzgerald"/>
    <s v="haguilar@smith-casey.net"/>
    <n v="923117656745"/>
    <x v="9"/>
    <s v="Pakistan"/>
    <x v="2"/>
    <n v="2"/>
    <n v="8050"/>
    <n v="16100"/>
    <x v="4"/>
    <x v="7"/>
    <x v="3"/>
  </r>
  <r>
    <s v="PK-101629"/>
    <x v="274"/>
    <s v="Jacob Myers"/>
    <s v="michael76@yahoo.com"/>
    <n v="923438051754"/>
    <x v="0"/>
    <s v="Pakistan"/>
    <x v="4"/>
    <n v="2"/>
    <n v="4072"/>
    <n v="8144"/>
    <x v="0"/>
    <x v="5"/>
    <x v="2"/>
  </r>
  <r>
    <s v="PK-101630"/>
    <x v="294"/>
    <s v="Michelle Barber"/>
    <s v="megan24@gmail.com"/>
    <n v="923291892852"/>
    <x v="7"/>
    <s v="Pakistan"/>
    <x v="4"/>
    <n v="3"/>
    <n v="5679"/>
    <n v="17037"/>
    <x v="2"/>
    <x v="7"/>
    <x v="3"/>
  </r>
  <r>
    <s v="PK-101631"/>
    <x v="109"/>
    <s v="Catherine Ford"/>
    <s v="marylong@myers.com"/>
    <n v="923345978212"/>
    <x v="6"/>
    <s v="Pakistan"/>
    <x v="1"/>
    <n v="1"/>
    <n v="7693"/>
    <n v="7693"/>
    <x v="2"/>
    <x v="6"/>
    <x v="2"/>
  </r>
  <r>
    <s v="PK-101632"/>
    <x v="315"/>
    <s v="Justin Wilkerson"/>
    <s v="charlesmiller@hunter-norton.com"/>
    <n v="923320125099"/>
    <x v="0"/>
    <s v="Pakistan"/>
    <x v="2"/>
    <n v="1"/>
    <n v="6048"/>
    <n v="6048"/>
    <x v="4"/>
    <x v="5"/>
    <x v="3"/>
  </r>
  <r>
    <s v="PK-101633"/>
    <x v="85"/>
    <s v="Chris Santos"/>
    <s v="ismith@hill.info"/>
    <n v="923375032681"/>
    <x v="4"/>
    <s v="Pakistan"/>
    <x v="0"/>
    <n v="1"/>
    <n v="11079"/>
    <n v="11079"/>
    <x v="0"/>
    <x v="3"/>
    <x v="1"/>
  </r>
  <r>
    <s v="PK-101634"/>
    <x v="248"/>
    <s v="Sarah Garcia"/>
    <s v="lauren88@caldwell.com"/>
    <n v="923083073646"/>
    <x v="4"/>
    <s v="Pakistan"/>
    <x v="1"/>
    <n v="5"/>
    <n v="13609"/>
    <n v="68045"/>
    <x v="2"/>
    <x v="2"/>
    <x v="3"/>
  </r>
  <r>
    <s v="PK-101635"/>
    <x v="212"/>
    <s v="Roberto Ryan"/>
    <s v="kharper@morris-gibson.org"/>
    <n v="923468481513"/>
    <x v="9"/>
    <s v="Pakistan"/>
    <x v="5"/>
    <n v="4"/>
    <n v="3426"/>
    <n v="13704"/>
    <x v="5"/>
    <x v="7"/>
    <x v="2"/>
  </r>
  <r>
    <s v="PK-101636"/>
    <x v="156"/>
    <s v="Jennifer Holland"/>
    <s v="wsimpson@gmail.com"/>
    <n v="923092843102"/>
    <x v="8"/>
    <s v="Pakistan"/>
    <x v="4"/>
    <n v="3"/>
    <n v="2123"/>
    <n v="6369"/>
    <x v="2"/>
    <x v="1"/>
    <x v="3"/>
  </r>
  <r>
    <s v="PK-101637"/>
    <x v="174"/>
    <s v="Steve Robinson"/>
    <s v="charles99@hotmail.com"/>
    <n v="923138395171"/>
    <x v="2"/>
    <s v="Pakistan"/>
    <x v="1"/>
    <n v="4"/>
    <n v="4156"/>
    <n v="16624"/>
    <x v="4"/>
    <x v="5"/>
    <x v="2"/>
  </r>
  <r>
    <s v="PK-101638"/>
    <x v="38"/>
    <s v="Cameron Smith"/>
    <s v="randy24@hotmail.com"/>
    <n v="923276147483"/>
    <x v="0"/>
    <s v="Pakistan"/>
    <x v="4"/>
    <n v="2"/>
    <n v="5932"/>
    <n v="11864"/>
    <x v="1"/>
    <x v="7"/>
    <x v="0"/>
  </r>
  <r>
    <s v="PK-101639"/>
    <x v="359"/>
    <s v="Walter Rodriguez"/>
    <s v="smithlawrence@gmail.com"/>
    <n v="923246635305"/>
    <x v="9"/>
    <s v="Pakistan"/>
    <x v="5"/>
    <n v="4"/>
    <n v="3020"/>
    <n v="12080"/>
    <x v="1"/>
    <x v="6"/>
    <x v="3"/>
  </r>
  <r>
    <s v="PK-101640"/>
    <x v="199"/>
    <s v="Jeffrey Bryant"/>
    <s v="shooper@avila.info"/>
    <n v="923245891292"/>
    <x v="6"/>
    <s v="Pakistan"/>
    <x v="0"/>
    <n v="3"/>
    <n v="14721"/>
    <n v="44163"/>
    <x v="5"/>
    <x v="1"/>
    <x v="2"/>
  </r>
  <r>
    <s v="PK-101641"/>
    <x v="30"/>
    <s v="Peggy Brooks"/>
    <s v="rdominguez@hayden.net"/>
    <n v="923442267704"/>
    <x v="1"/>
    <s v="Pakistan"/>
    <x v="5"/>
    <n v="4"/>
    <n v="13458"/>
    <n v="53832"/>
    <x v="0"/>
    <x v="0"/>
    <x v="0"/>
  </r>
  <r>
    <s v="PK-101642"/>
    <x v="325"/>
    <s v="Carrie Kelly"/>
    <s v="tdavis@hotmail.com"/>
    <n v="923036064171"/>
    <x v="7"/>
    <s v="Pakistan"/>
    <x v="5"/>
    <n v="2"/>
    <n v="8424"/>
    <n v="16848"/>
    <x v="3"/>
    <x v="3"/>
    <x v="2"/>
  </r>
  <r>
    <s v="PK-101643"/>
    <x v="256"/>
    <s v="Nicole Franklin"/>
    <s v="maddoxvictoria@yahoo.com"/>
    <n v="923350440741"/>
    <x v="8"/>
    <s v="Pakistan"/>
    <x v="4"/>
    <n v="3"/>
    <n v="3526"/>
    <n v="10578"/>
    <x v="1"/>
    <x v="2"/>
    <x v="0"/>
  </r>
  <r>
    <s v="PK-101644"/>
    <x v="356"/>
    <s v="John Williams"/>
    <s v="mollysmith@hotmail.com"/>
    <n v="923183979897"/>
    <x v="9"/>
    <s v="Pakistan"/>
    <x v="5"/>
    <n v="5"/>
    <n v="8698"/>
    <n v="43490"/>
    <x v="0"/>
    <x v="4"/>
    <x v="2"/>
  </r>
  <r>
    <s v="PK-101645"/>
    <x v="158"/>
    <s v="Jessica Black"/>
    <s v="ashleyrobinson@moore.net"/>
    <n v="923242493598"/>
    <x v="3"/>
    <s v="Pakistan"/>
    <x v="4"/>
    <n v="3"/>
    <n v="2857"/>
    <n v="8571"/>
    <x v="0"/>
    <x v="7"/>
    <x v="2"/>
  </r>
  <r>
    <s v="PK-101646"/>
    <x v="137"/>
    <s v="Kenneth Sanders"/>
    <s v="mmoody@gmail.com"/>
    <n v="923457706603"/>
    <x v="8"/>
    <s v="Pakistan"/>
    <x v="1"/>
    <n v="4"/>
    <n v="3596"/>
    <n v="14384"/>
    <x v="1"/>
    <x v="7"/>
    <x v="0"/>
  </r>
  <r>
    <s v="PK-101647"/>
    <x v="233"/>
    <s v="Justin Moore"/>
    <s v="qsalazar@jones.com"/>
    <n v="923125659803"/>
    <x v="6"/>
    <s v="Pakistan"/>
    <x v="3"/>
    <n v="4"/>
    <n v="11026"/>
    <n v="44104"/>
    <x v="2"/>
    <x v="2"/>
    <x v="2"/>
  </r>
  <r>
    <s v="PK-101648"/>
    <x v="176"/>
    <s v="Briana Simmons"/>
    <s v="urodriguez@hotmail.com"/>
    <n v="923021821295"/>
    <x v="3"/>
    <s v="Pakistan"/>
    <x v="0"/>
    <n v="2"/>
    <n v="9402"/>
    <n v="18804"/>
    <x v="3"/>
    <x v="7"/>
    <x v="0"/>
  </r>
  <r>
    <s v="PK-101649"/>
    <x v="253"/>
    <s v="Nicole Lawrence"/>
    <s v="sheilagriffin@gmail.com"/>
    <n v="923381556287"/>
    <x v="9"/>
    <s v="Pakistan"/>
    <x v="1"/>
    <n v="4"/>
    <n v="2126"/>
    <n v="8504"/>
    <x v="4"/>
    <x v="3"/>
    <x v="0"/>
  </r>
  <r>
    <s v="PK-101650"/>
    <x v="142"/>
    <s v="Jesus Burgess"/>
    <s v="scottjames@brown.com"/>
    <n v="923089398511"/>
    <x v="9"/>
    <s v="Pakistan"/>
    <x v="5"/>
    <n v="4"/>
    <n v="1853"/>
    <n v="7412"/>
    <x v="2"/>
    <x v="4"/>
    <x v="0"/>
  </r>
  <r>
    <s v="PK-101651"/>
    <x v="277"/>
    <s v="Michael Romero"/>
    <s v="sandrade@hotmail.com"/>
    <n v="923320342969"/>
    <x v="2"/>
    <s v="Pakistan"/>
    <x v="1"/>
    <n v="5"/>
    <n v="9359"/>
    <n v="46795"/>
    <x v="5"/>
    <x v="1"/>
    <x v="2"/>
  </r>
  <r>
    <s v="PK-101652"/>
    <x v="88"/>
    <s v="Victoria Jones"/>
    <s v="whitesherry@gmail.com"/>
    <n v="923186694670"/>
    <x v="6"/>
    <s v="Pakistan"/>
    <x v="2"/>
    <n v="3"/>
    <n v="7749"/>
    <n v="23247"/>
    <x v="4"/>
    <x v="3"/>
    <x v="3"/>
  </r>
  <r>
    <s v="PK-101653"/>
    <x v="279"/>
    <s v="Mike English"/>
    <s v="robinsonjustin@yahoo.com"/>
    <n v="923297375650"/>
    <x v="9"/>
    <s v="Pakistan"/>
    <x v="4"/>
    <n v="5"/>
    <n v="5433"/>
    <n v="27165"/>
    <x v="2"/>
    <x v="5"/>
    <x v="1"/>
  </r>
  <r>
    <s v="PK-101654"/>
    <x v="143"/>
    <s v="Debra Rodriguez"/>
    <s v="denise77@walker-davis.biz"/>
    <n v="923424486162"/>
    <x v="6"/>
    <s v="Pakistan"/>
    <x v="5"/>
    <n v="2"/>
    <n v="7023"/>
    <n v="14046"/>
    <x v="3"/>
    <x v="3"/>
    <x v="1"/>
  </r>
  <r>
    <s v="PK-101655"/>
    <x v="357"/>
    <s v="Brian Wilson"/>
    <s v="johnbailey@gmail.com"/>
    <n v="923444935370"/>
    <x v="1"/>
    <s v="Pakistan"/>
    <x v="1"/>
    <n v="5"/>
    <n v="3487"/>
    <n v="17435"/>
    <x v="0"/>
    <x v="1"/>
    <x v="2"/>
  </r>
  <r>
    <s v="PK-101656"/>
    <x v="49"/>
    <s v="Dr. Bryan Stewart"/>
    <s v="georgeralph@andrews.org"/>
    <n v="923286766054"/>
    <x v="7"/>
    <s v="Pakistan"/>
    <x v="3"/>
    <n v="5"/>
    <n v="9549"/>
    <n v="47745"/>
    <x v="5"/>
    <x v="7"/>
    <x v="2"/>
  </r>
  <r>
    <s v="PK-101657"/>
    <x v="297"/>
    <s v="Robert Wilson"/>
    <s v="stephensonhaley@nguyen.com"/>
    <n v="923399812775"/>
    <x v="8"/>
    <s v="Pakistan"/>
    <x v="1"/>
    <n v="5"/>
    <n v="7717"/>
    <n v="38585"/>
    <x v="0"/>
    <x v="1"/>
    <x v="3"/>
  </r>
  <r>
    <s v="PK-101658"/>
    <x v="239"/>
    <s v="Larry Bartlett"/>
    <s v="ydunn@hotmail.com"/>
    <n v="923100364262"/>
    <x v="4"/>
    <s v="Pakistan"/>
    <x v="1"/>
    <n v="5"/>
    <n v="3911"/>
    <n v="19555"/>
    <x v="0"/>
    <x v="0"/>
    <x v="1"/>
  </r>
  <r>
    <s v="PK-101659"/>
    <x v="158"/>
    <s v="Gregory Jenkins"/>
    <s v="julia94@allen.com"/>
    <n v="923367333814"/>
    <x v="4"/>
    <s v="Pakistan"/>
    <x v="4"/>
    <n v="1"/>
    <n v="6588"/>
    <n v="6588"/>
    <x v="4"/>
    <x v="2"/>
    <x v="2"/>
  </r>
  <r>
    <s v="PK-101660"/>
    <x v="98"/>
    <s v="Deborah Sanders"/>
    <s v="derek28@murphy.com"/>
    <n v="923421585236"/>
    <x v="6"/>
    <s v="Pakistan"/>
    <x v="1"/>
    <n v="2"/>
    <n v="12066"/>
    <n v="24132"/>
    <x v="2"/>
    <x v="5"/>
    <x v="2"/>
  </r>
  <r>
    <s v="PK-101661"/>
    <x v="159"/>
    <s v="Jacob Walker"/>
    <s v="omclaughlin@hotmail.com"/>
    <n v="923483568379"/>
    <x v="6"/>
    <s v="Pakistan"/>
    <x v="4"/>
    <n v="2"/>
    <n v="13961"/>
    <n v="27922"/>
    <x v="4"/>
    <x v="3"/>
    <x v="1"/>
  </r>
  <r>
    <s v="PK-101662"/>
    <x v="250"/>
    <s v="Ashley Davila"/>
    <s v="kelseyleon@gmail.com"/>
    <n v="923479076787"/>
    <x v="6"/>
    <s v="Pakistan"/>
    <x v="3"/>
    <n v="5"/>
    <n v="10276"/>
    <n v="51380"/>
    <x v="5"/>
    <x v="6"/>
    <x v="0"/>
  </r>
  <r>
    <s v="PK-101663"/>
    <x v="355"/>
    <s v="Kelly Thomas"/>
    <s v="wilsonbrian@gmail.com"/>
    <n v="923007399244"/>
    <x v="4"/>
    <s v="Pakistan"/>
    <x v="5"/>
    <n v="1"/>
    <n v="6704"/>
    <n v="6704"/>
    <x v="5"/>
    <x v="1"/>
    <x v="3"/>
  </r>
  <r>
    <s v="PK-101664"/>
    <x v="214"/>
    <s v="Ryan Moore"/>
    <s v="jeffreymartin@yahoo.com"/>
    <n v="923154403849"/>
    <x v="2"/>
    <s v="Pakistan"/>
    <x v="4"/>
    <n v="2"/>
    <n v="10413"/>
    <n v="20826"/>
    <x v="0"/>
    <x v="1"/>
    <x v="3"/>
  </r>
  <r>
    <s v="PK-101665"/>
    <x v="259"/>
    <s v="Jennifer Smith"/>
    <s v="alexandria17@green-miller.com"/>
    <n v="923126834580"/>
    <x v="4"/>
    <s v="Pakistan"/>
    <x v="4"/>
    <n v="2"/>
    <n v="11037"/>
    <n v="22074"/>
    <x v="2"/>
    <x v="4"/>
    <x v="0"/>
  </r>
  <r>
    <s v="PK-101666"/>
    <x v="119"/>
    <s v="Jason Lewis"/>
    <s v="nicholsricky@yahoo.com"/>
    <n v="923109246074"/>
    <x v="4"/>
    <s v="Pakistan"/>
    <x v="0"/>
    <n v="1"/>
    <n v="6086"/>
    <n v="6086"/>
    <x v="1"/>
    <x v="3"/>
    <x v="0"/>
  </r>
  <r>
    <s v="PK-101667"/>
    <x v="41"/>
    <s v="Melanie Reed"/>
    <s v="latoya66@yahoo.com"/>
    <n v="923068738273"/>
    <x v="6"/>
    <s v="Pakistan"/>
    <x v="2"/>
    <n v="4"/>
    <n v="7634"/>
    <n v="30536"/>
    <x v="0"/>
    <x v="5"/>
    <x v="3"/>
  </r>
  <r>
    <s v="PK-101668"/>
    <x v="302"/>
    <s v="Russell Peters"/>
    <s v="steven92@pruitt.biz"/>
    <n v="923060470929"/>
    <x v="1"/>
    <s v="Pakistan"/>
    <x v="1"/>
    <n v="4"/>
    <n v="9711"/>
    <n v="38844"/>
    <x v="1"/>
    <x v="6"/>
    <x v="1"/>
  </r>
  <r>
    <s v="PK-101669"/>
    <x v="253"/>
    <s v="Shawn Lee"/>
    <s v="david36@gmail.com"/>
    <n v="923016956540"/>
    <x v="6"/>
    <s v="Pakistan"/>
    <x v="5"/>
    <n v="3"/>
    <n v="1059"/>
    <n v="3177"/>
    <x v="3"/>
    <x v="1"/>
    <x v="1"/>
  </r>
  <r>
    <s v="PK-101670"/>
    <x v="175"/>
    <s v="Deborah Ross"/>
    <s v="hernandezadam@maldonado.com"/>
    <n v="923477495663"/>
    <x v="2"/>
    <s v="Pakistan"/>
    <x v="3"/>
    <n v="3"/>
    <n v="6781"/>
    <n v="20343"/>
    <x v="2"/>
    <x v="4"/>
    <x v="0"/>
  </r>
  <r>
    <s v="PK-101671"/>
    <x v="92"/>
    <s v="Cheryl Keller"/>
    <s v="scott81@hotmail.com"/>
    <n v="923152607602"/>
    <x v="1"/>
    <s v="Pakistan"/>
    <x v="5"/>
    <n v="4"/>
    <n v="4781"/>
    <n v="19124"/>
    <x v="2"/>
    <x v="5"/>
    <x v="0"/>
  </r>
  <r>
    <s v="PK-101672"/>
    <x v="231"/>
    <s v="Victor Bell"/>
    <s v="dwright@thornton.com"/>
    <n v="923326499759"/>
    <x v="3"/>
    <s v="Pakistan"/>
    <x v="1"/>
    <n v="2"/>
    <n v="12439"/>
    <n v="24878"/>
    <x v="0"/>
    <x v="7"/>
    <x v="1"/>
  </r>
  <r>
    <s v="PK-101673"/>
    <x v="105"/>
    <s v="Kevin Ashley"/>
    <s v="brownscott@yahoo.com"/>
    <n v="923125061270"/>
    <x v="3"/>
    <s v="Pakistan"/>
    <x v="1"/>
    <n v="1"/>
    <n v="13265"/>
    <n v="13265"/>
    <x v="5"/>
    <x v="3"/>
    <x v="3"/>
  </r>
  <r>
    <s v="PK-101674"/>
    <x v="111"/>
    <s v="Ashley Hernandez"/>
    <s v="gina15@yahoo.com"/>
    <n v="923091285800"/>
    <x v="3"/>
    <s v="Pakistan"/>
    <x v="5"/>
    <n v="3"/>
    <n v="5056"/>
    <n v="15168"/>
    <x v="1"/>
    <x v="7"/>
    <x v="3"/>
  </r>
  <r>
    <s v="PK-101675"/>
    <x v="264"/>
    <s v="Angela Daniels"/>
    <s v="matthewthompson@hotmail.com"/>
    <n v="923429058413"/>
    <x v="1"/>
    <s v="Pakistan"/>
    <x v="5"/>
    <n v="5"/>
    <n v="8309"/>
    <n v="41545"/>
    <x v="0"/>
    <x v="3"/>
    <x v="2"/>
  </r>
  <r>
    <s v="PK-101676"/>
    <x v="163"/>
    <s v="Matthew Reid"/>
    <s v="peter64@gmail.com"/>
    <n v="923257225436"/>
    <x v="4"/>
    <s v="Pakistan"/>
    <x v="2"/>
    <n v="3"/>
    <n v="14948"/>
    <n v="44844"/>
    <x v="3"/>
    <x v="7"/>
    <x v="1"/>
  </r>
  <r>
    <s v="PK-101677"/>
    <x v="40"/>
    <s v="Kristen Watkins"/>
    <s v="ryanbarnes@holt.net"/>
    <n v="923183669849"/>
    <x v="8"/>
    <s v="Pakistan"/>
    <x v="3"/>
    <n v="2"/>
    <n v="3770"/>
    <n v="7540"/>
    <x v="5"/>
    <x v="2"/>
    <x v="0"/>
  </r>
  <r>
    <s v="PK-101678"/>
    <x v="82"/>
    <s v="Trevor Sullivan"/>
    <s v="kvillarreal@yahoo.com"/>
    <n v="923108054168"/>
    <x v="9"/>
    <s v="Pakistan"/>
    <x v="0"/>
    <n v="3"/>
    <n v="10592"/>
    <n v="31776"/>
    <x v="4"/>
    <x v="0"/>
    <x v="3"/>
  </r>
  <r>
    <s v="PK-101679"/>
    <x v="74"/>
    <s v="Amy Kim"/>
    <s v="michael87@gmail.com"/>
    <n v="923394042477"/>
    <x v="7"/>
    <s v="Pakistan"/>
    <x v="4"/>
    <n v="2"/>
    <n v="14039"/>
    <n v="28078"/>
    <x v="2"/>
    <x v="4"/>
    <x v="0"/>
  </r>
  <r>
    <s v="PK-101680"/>
    <x v="264"/>
    <s v="Anthony Beasley"/>
    <s v="ejackson@vargas-adams.net"/>
    <n v="923191108197"/>
    <x v="5"/>
    <s v="Pakistan"/>
    <x v="4"/>
    <n v="4"/>
    <n v="2527"/>
    <n v="10108"/>
    <x v="5"/>
    <x v="2"/>
    <x v="0"/>
  </r>
  <r>
    <s v="PK-101681"/>
    <x v="205"/>
    <s v="Debra Williams"/>
    <s v="melanie67@juarez.biz"/>
    <n v="923100116735"/>
    <x v="4"/>
    <s v="Pakistan"/>
    <x v="1"/>
    <n v="5"/>
    <n v="13674"/>
    <n v="68370"/>
    <x v="4"/>
    <x v="0"/>
    <x v="2"/>
  </r>
  <r>
    <s v="PK-101682"/>
    <x v="283"/>
    <s v="Christopher Gallagher"/>
    <s v="bmyers@sullivan-smith.org"/>
    <n v="923246676235"/>
    <x v="6"/>
    <s v="Pakistan"/>
    <x v="3"/>
    <n v="4"/>
    <n v="14917"/>
    <n v="59668"/>
    <x v="3"/>
    <x v="4"/>
    <x v="1"/>
  </r>
  <r>
    <s v="PK-101683"/>
    <x v="83"/>
    <s v="Jonathan Charles"/>
    <s v="hoganmelissa@hotmail.com"/>
    <n v="923483887914"/>
    <x v="3"/>
    <s v="Pakistan"/>
    <x v="0"/>
    <n v="2"/>
    <n v="11801"/>
    <n v="23602"/>
    <x v="2"/>
    <x v="6"/>
    <x v="1"/>
  </r>
  <r>
    <s v="PK-101684"/>
    <x v="92"/>
    <s v="Margaret Diaz"/>
    <s v="galvanalejandro@hotmail.com"/>
    <n v="923376344371"/>
    <x v="6"/>
    <s v="Pakistan"/>
    <x v="1"/>
    <n v="4"/>
    <n v="10553"/>
    <n v="42212"/>
    <x v="2"/>
    <x v="5"/>
    <x v="2"/>
  </r>
  <r>
    <s v="PK-101685"/>
    <x v="110"/>
    <s v="Mr. Tim Robertson"/>
    <s v="josephbrown@juarez-king.biz"/>
    <n v="923053211426"/>
    <x v="5"/>
    <s v="Pakistan"/>
    <x v="4"/>
    <n v="4"/>
    <n v="10560"/>
    <n v="42240"/>
    <x v="4"/>
    <x v="0"/>
    <x v="1"/>
  </r>
  <r>
    <s v="PK-101686"/>
    <x v="194"/>
    <s v="Bernard Williams"/>
    <s v="dicksondennis@olson.com"/>
    <n v="923276369818"/>
    <x v="6"/>
    <s v="Pakistan"/>
    <x v="4"/>
    <n v="5"/>
    <n v="3057"/>
    <n v="15285"/>
    <x v="5"/>
    <x v="6"/>
    <x v="1"/>
  </r>
  <r>
    <s v="PK-101687"/>
    <x v="68"/>
    <s v="Carla Moore"/>
    <s v="christopheryoung@carroll-vargas.com"/>
    <n v="923038902643"/>
    <x v="0"/>
    <s v="Pakistan"/>
    <x v="0"/>
    <n v="1"/>
    <n v="9111"/>
    <n v="9111"/>
    <x v="2"/>
    <x v="3"/>
    <x v="1"/>
  </r>
  <r>
    <s v="PK-101688"/>
    <x v="14"/>
    <s v="Kimberly Flores"/>
    <s v="xkhan@yahoo.com"/>
    <n v="923395723042"/>
    <x v="9"/>
    <s v="Pakistan"/>
    <x v="5"/>
    <n v="3"/>
    <n v="4586"/>
    <n v="13758"/>
    <x v="4"/>
    <x v="5"/>
    <x v="3"/>
  </r>
  <r>
    <s v="PK-101689"/>
    <x v="354"/>
    <s v="Morgan Williams"/>
    <s v="nelsonkrista@duncan.org"/>
    <n v="923157980221"/>
    <x v="2"/>
    <s v="Pakistan"/>
    <x v="4"/>
    <n v="5"/>
    <n v="6630"/>
    <n v="33150"/>
    <x v="1"/>
    <x v="4"/>
    <x v="0"/>
  </r>
  <r>
    <s v="PK-101690"/>
    <x v="28"/>
    <s v="Susan Lee"/>
    <s v="jkoch@hunter-kelly.info"/>
    <n v="923028049256"/>
    <x v="2"/>
    <s v="Pakistan"/>
    <x v="5"/>
    <n v="5"/>
    <n v="3178"/>
    <n v="15890"/>
    <x v="4"/>
    <x v="1"/>
    <x v="1"/>
  </r>
  <r>
    <s v="PK-101691"/>
    <x v="194"/>
    <s v="Victor Ramirez"/>
    <s v="williamsshannon@yahoo.com"/>
    <n v="923472573637"/>
    <x v="0"/>
    <s v="Pakistan"/>
    <x v="2"/>
    <n v="1"/>
    <n v="1490"/>
    <n v="1490"/>
    <x v="4"/>
    <x v="7"/>
    <x v="2"/>
  </r>
  <r>
    <s v="PK-101692"/>
    <x v="341"/>
    <s v="Daniel Hayes"/>
    <s v="saraerickson@yahoo.com"/>
    <n v="923258618832"/>
    <x v="6"/>
    <s v="Pakistan"/>
    <x v="4"/>
    <n v="2"/>
    <n v="2692"/>
    <n v="5384"/>
    <x v="3"/>
    <x v="5"/>
    <x v="1"/>
  </r>
  <r>
    <s v="PK-101693"/>
    <x v="335"/>
    <s v="Troy Williams"/>
    <s v="heathercole@yahoo.com"/>
    <n v="923133185327"/>
    <x v="8"/>
    <s v="Pakistan"/>
    <x v="4"/>
    <n v="1"/>
    <n v="8440"/>
    <n v="8440"/>
    <x v="4"/>
    <x v="0"/>
    <x v="3"/>
  </r>
  <r>
    <s v="PK-101694"/>
    <x v="12"/>
    <s v="Melissa Hicks"/>
    <s v="ymiller@gmail.com"/>
    <n v="923291655479"/>
    <x v="0"/>
    <s v="Pakistan"/>
    <x v="3"/>
    <n v="4"/>
    <n v="2678"/>
    <n v="10712"/>
    <x v="3"/>
    <x v="1"/>
    <x v="0"/>
  </r>
  <r>
    <s v="PK-101695"/>
    <x v="6"/>
    <s v="Christine Wade"/>
    <s v="johnsonsara@foley.net"/>
    <n v="923462902747"/>
    <x v="0"/>
    <s v="Pakistan"/>
    <x v="5"/>
    <n v="2"/>
    <n v="9684"/>
    <n v="19368"/>
    <x v="3"/>
    <x v="3"/>
    <x v="1"/>
  </r>
  <r>
    <s v="PK-101696"/>
    <x v="275"/>
    <s v="Daniel Garcia"/>
    <s v="christina62@hernandez.org"/>
    <n v="923028859818"/>
    <x v="9"/>
    <s v="Pakistan"/>
    <x v="4"/>
    <n v="3"/>
    <n v="9450"/>
    <n v="28350"/>
    <x v="4"/>
    <x v="7"/>
    <x v="1"/>
  </r>
  <r>
    <s v="PK-101697"/>
    <x v="141"/>
    <s v="Brooke Hammond"/>
    <s v="stephanie63@chung.org"/>
    <n v="923358495710"/>
    <x v="5"/>
    <s v="Pakistan"/>
    <x v="3"/>
    <n v="2"/>
    <n v="13038"/>
    <n v="26076"/>
    <x v="4"/>
    <x v="1"/>
    <x v="1"/>
  </r>
  <r>
    <s v="PK-101698"/>
    <x v="324"/>
    <s v="Candace David"/>
    <s v="pdixon@richmond.biz"/>
    <n v="923354094020"/>
    <x v="4"/>
    <s v="Pakistan"/>
    <x v="1"/>
    <n v="3"/>
    <n v="11093"/>
    <n v="33279"/>
    <x v="1"/>
    <x v="1"/>
    <x v="3"/>
  </r>
  <r>
    <s v="PK-101699"/>
    <x v="343"/>
    <s v="Lindsay Gardner"/>
    <s v="william11@miller.com"/>
    <n v="923074822720"/>
    <x v="7"/>
    <s v="Pakistan"/>
    <x v="0"/>
    <n v="1"/>
    <n v="2502"/>
    <n v="2502"/>
    <x v="3"/>
    <x v="0"/>
    <x v="0"/>
  </r>
  <r>
    <s v="PK-101700"/>
    <x v="350"/>
    <s v="Nicholas Ball"/>
    <s v="brandondunn@gmail.com"/>
    <n v="923077546524"/>
    <x v="5"/>
    <s v="Pakistan"/>
    <x v="0"/>
    <n v="2"/>
    <n v="8796"/>
    <n v="17592"/>
    <x v="5"/>
    <x v="3"/>
    <x v="0"/>
  </r>
  <r>
    <s v="PK-101701"/>
    <x v="152"/>
    <s v="Phillip Montoya"/>
    <s v="jmcdonald@gmail.com"/>
    <n v="923152725534"/>
    <x v="5"/>
    <s v="Pakistan"/>
    <x v="0"/>
    <n v="1"/>
    <n v="7640"/>
    <n v="7640"/>
    <x v="2"/>
    <x v="6"/>
    <x v="0"/>
  </r>
  <r>
    <s v="PK-101702"/>
    <x v="118"/>
    <s v="Derek Klein"/>
    <s v="troy54@yahoo.com"/>
    <n v="923128165070"/>
    <x v="5"/>
    <s v="Pakistan"/>
    <x v="1"/>
    <n v="3"/>
    <n v="2612"/>
    <n v="7836"/>
    <x v="1"/>
    <x v="2"/>
    <x v="3"/>
  </r>
  <r>
    <s v="PK-101703"/>
    <x v="200"/>
    <s v="Jacqueline Ferrell"/>
    <s v="christina05@hotmail.com"/>
    <n v="923028478882"/>
    <x v="5"/>
    <s v="Pakistan"/>
    <x v="2"/>
    <n v="5"/>
    <n v="6617"/>
    <n v="33085"/>
    <x v="4"/>
    <x v="1"/>
    <x v="2"/>
  </r>
  <r>
    <s v="PK-101704"/>
    <x v="15"/>
    <s v="Sara Brown"/>
    <s v="xford@phillips-jones.com"/>
    <n v="923234676491"/>
    <x v="5"/>
    <s v="Pakistan"/>
    <x v="0"/>
    <n v="2"/>
    <n v="1157"/>
    <n v="2314"/>
    <x v="2"/>
    <x v="6"/>
    <x v="0"/>
  </r>
  <r>
    <s v="PK-101705"/>
    <x v="3"/>
    <s v="Curtis Brown"/>
    <s v="victoria22@hall-bean.biz"/>
    <n v="923157336996"/>
    <x v="6"/>
    <s v="Pakistan"/>
    <x v="2"/>
    <n v="1"/>
    <n v="7016"/>
    <n v="7016"/>
    <x v="1"/>
    <x v="1"/>
    <x v="3"/>
  </r>
  <r>
    <s v="PK-101706"/>
    <x v="152"/>
    <s v="Dawn Gomez"/>
    <s v="clarence60@hotmail.com"/>
    <n v="923417027760"/>
    <x v="5"/>
    <s v="Pakistan"/>
    <x v="5"/>
    <n v="3"/>
    <n v="10380"/>
    <n v="31140"/>
    <x v="0"/>
    <x v="3"/>
    <x v="1"/>
  </r>
  <r>
    <s v="PK-101707"/>
    <x v="311"/>
    <s v="Katherine Smith"/>
    <s v="stacycrane@diaz.com"/>
    <n v="923093740900"/>
    <x v="7"/>
    <s v="Pakistan"/>
    <x v="3"/>
    <n v="4"/>
    <n v="4060"/>
    <n v="16240"/>
    <x v="3"/>
    <x v="1"/>
    <x v="2"/>
  </r>
  <r>
    <s v="PK-101708"/>
    <x v="104"/>
    <s v="Craig Shepherd"/>
    <s v="plin@hotmail.com"/>
    <n v="923066954197"/>
    <x v="4"/>
    <s v="Pakistan"/>
    <x v="4"/>
    <n v="1"/>
    <n v="4001"/>
    <n v="4001"/>
    <x v="2"/>
    <x v="4"/>
    <x v="2"/>
  </r>
  <r>
    <s v="PK-101709"/>
    <x v="242"/>
    <s v="Melissa Douglas"/>
    <s v="nphillips@sanchez.com"/>
    <n v="923138623507"/>
    <x v="5"/>
    <s v="Pakistan"/>
    <x v="5"/>
    <n v="2"/>
    <n v="3996"/>
    <n v="7992"/>
    <x v="4"/>
    <x v="2"/>
    <x v="1"/>
  </r>
  <r>
    <s v="PK-101710"/>
    <x v="163"/>
    <s v="Elizabeth Garcia"/>
    <s v="epham@yahoo.com"/>
    <n v="923313406218"/>
    <x v="3"/>
    <s v="Pakistan"/>
    <x v="3"/>
    <n v="4"/>
    <n v="2176"/>
    <n v="8704"/>
    <x v="4"/>
    <x v="2"/>
    <x v="0"/>
  </r>
  <r>
    <s v="PK-101711"/>
    <x v="90"/>
    <s v="Michael Lopez"/>
    <s v="derek67@torres.com"/>
    <n v="923193204145"/>
    <x v="3"/>
    <s v="Pakistan"/>
    <x v="2"/>
    <n v="4"/>
    <n v="14311"/>
    <n v="57244"/>
    <x v="1"/>
    <x v="6"/>
    <x v="0"/>
  </r>
  <r>
    <s v="PK-101712"/>
    <x v="231"/>
    <s v="Katie Castaneda"/>
    <s v="mary50@yahoo.com"/>
    <n v="923029055787"/>
    <x v="1"/>
    <s v="Pakistan"/>
    <x v="2"/>
    <n v="4"/>
    <n v="7440"/>
    <n v="29760"/>
    <x v="5"/>
    <x v="0"/>
    <x v="1"/>
  </r>
  <r>
    <s v="PK-101713"/>
    <x v="223"/>
    <s v="Luis Berry"/>
    <s v="luis26@hudson.com"/>
    <n v="923419867750"/>
    <x v="3"/>
    <s v="Pakistan"/>
    <x v="2"/>
    <n v="1"/>
    <n v="9029"/>
    <n v="9029"/>
    <x v="1"/>
    <x v="1"/>
    <x v="3"/>
  </r>
  <r>
    <s v="PK-101714"/>
    <x v="207"/>
    <s v="Carl Meza"/>
    <s v="reginalawrence@hayes-moreno.com"/>
    <n v="923107587466"/>
    <x v="5"/>
    <s v="Pakistan"/>
    <x v="2"/>
    <n v="3"/>
    <n v="9449"/>
    <n v="28347"/>
    <x v="5"/>
    <x v="4"/>
    <x v="1"/>
  </r>
  <r>
    <s v="PK-101715"/>
    <x v="87"/>
    <s v="Kevin Francis"/>
    <s v="yvonne48@richardson-dominguez.com"/>
    <n v="923123668874"/>
    <x v="7"/>
    <s v="Pakistan"/>
    <x v="4"/>
    <n v="1"/>
    <n v="5177"/>
    <n v="5177"/>
    <x v="4"/>
    <x v="1"/>
    <x v="2"/>
  </r>
  <r>
    <s v="PK-101716"/>
    <x v="353"/>
    <s v="Courtney Jordan"/>
    <s v="morenoalan@gmail.com"/>
    <n v="923065979183"/>
    <x v="2"/>
    <s v="Pakistan"/>
    <x v="1"/>
    <n v="5"/>
    <n v="10988"/>
    <n v="54940"/>
    <x v="0"/>
    <x v="2"/>
    <x v="0"/>
  </r>
  <r>
    <s v="PK-101717"/>
    <x v="356"/>
    <s v="Sean Morse"/>
    <s v="jscott@gmail.com"/>
    <n v="923356775851"/>
    <x v="9"/>
    <s v="Pakistan"/>
    <x v="4"/>
    <n v="5"/>
    <n v="4603"/>
    <n v="23015"/>
    <x v="4"/>
    <x v="0"/>
    <x v="3"/>
  </r>
  <r>
    <s v="PK-101718"/>
    <x v="31"/>
    <s v="Steven Rodgers"/>
    <s v="daltondustin@johnson-chung.info"/>
    <n v="923495985469"/>
    <x v="3"/>
    <s v="Pakistan"/>
    <x v="0"/>
    <n v="3"/>
    <n v="10642"/>
    <n v="31926"/>
    <x v="4"/>
    <x v="0"/>
    <x v="3"/>
  </r>
  <r>
    <s v="PK-101719"/>
    <x v="338"/>
    <s v="Larry Fisher"/>
    <s v="michael25@fisher-monroe.com"/>
    <n v="923437440271"/>
    <x v="6"/>
    <s v="Pakistan"/>
    <x v="1"/>
    <n v="1"/>
    <n v="9700"/>
    <n v="9700"/>
    <x v="3"/>
    <x v="3"/>
    <x v="0"/>
  </r>
  <r>
    <s v="PK-101720"/>
    <x v="331"/>
    <s v="Adam Anderson"/>
    <s v="fosterbriana@hotmail.com"/>
    <n v="923329965348"/>
    <x v="5"/>
    <s v="Pakistan"/>
    <x v="5"/>
    <n v="2"/>
    <n v="12785"/>
    <n v="25570"/>
    <x v="5"/>
    <x v="5"/>
    <x v="3"/>
  </r>
  <r>
    <s v="PK-101721"/>
    <x v="136"/>
    <s v="Kathryn Benjamin"/>
    <s v="nhaynes@dickson.net"/>
    <n v="923360016936"/>
    <x v="3"/>
    <s v="Pakistan"/>
    <x v="1"/>
    <n v="3"/>
    <n v="5252"/>
    <n v="15756"/>
    <x v="2"/>
    <x v="0"/>
    <x v="2"/>
  </r>
  <r>
    <s v="PK-101722"/>
    <x v="216"/>
    <s v="Wesley Werner"/>
    <s v="cking@yahoo.com"/>
    <n v="923144482858"/>
    <x v="8"/>
    <s v="Pakistan"/>
    <x v="3"/>
    <n v="4"/>
    <n v="14662"/>
    <n v="58648"/>
    <x v="5"/>
    <x v="3"/>
    <x v="1"/>
  </r>
  <r>
    <s v="PK-101723"/>
    <x v="23"/>
    <s v="Todd Rhodes"/>
    <s v="luisoliver@hotmail.com"/>
    <n v="923409996800"/>
    <x v="7"/>
    <s v="Pakistan"/>
    <x v="2"/>
    <n v="5"/>
    <n v="13519"/>
    <n v="67595"/>
    <x v="3"/>
    <x v="4"/>
    <x v="1"/>
  </r>
  <r>
    <s v="PK-101724"/>
    <x v="142"/>
    <s v="Joseph George"/>
    <s v="amitchell@johnson.com"/>
    <n v="923229270655"/>
    <x v="1"/>
    <s v="Pakistan"/>
    <x v="5"/>
    <n v="3"/>
    <n v="12436"/>
    <n v="37308"/>
    <x v="4"/>
    <x v="4"/>
    <x v="1"/>
  </r>
  <r>
    <s v="PK-101725"/>
    <x v="123"/>
    <s v="Terri Miller"/>
    <s v="roberttaylor@dorsey.info"/>
    <n v="923237656881"/>
    <x v="3"/>
    <s v="Pakistan"/>
    <x v="5"/>
    <n v="3"/>
    <n v="13383"/>
    <n v="40149"/>
    <x v="2"/>
    <x v="1"/>
    <x v="3"/>
  </r>
  <r>
    <s v="PK-101726"/>
    <x v="274"/>
    <s v="Kyle Escobar"/>
    <s v="stanleyaaron@gmail.com"/>
    <n v="923287262385"/>
    <x v="0"/>
    <s v="Pakistan"/>
    <x v="4"/>
    <n v="5"/>
    <n v="5312"/>
    <n v="26560"/>
    <x v="5"/>
    <x v="6"/>
    <x v="3"/>
  </r>
  <r>
    <s v="PK-101727"/>
    <x v="233"/>
    <s v="Samuel Rodriguez"/>
    <s v="warrenkevin@sampson.com"/>
    <n v="923137394117"/>
    <x v="5"/>
    <s v="Pakistan"/>
    <x v="2"/>
    <n v="1"/>
    <n v="8780"/>
    <n v="8780"/>
    <x v="5"/>
    <x v="4"/>
    <x v="3"/>
  </r>
  <r>
    <s v="PK-101728"/>
    <x v="233"/>
    <s v="Brianna Hill"/>
    <s v="tiffanyrichardson@lindsey.org"/>
    <n v="923268340016"/>
    <x v="1"/>
    <s v="Pakistan"/>
    <x v="1"/>
    <n v="2"/>
    <n v="5669"/>
    <n v="11338"/>
    <x v="4"/>
    <x v="2"/>
    <x v="3"/>
  </r>
  <r>
    <s v="PK-101729"/>
    <x v="169"/>
    <s v="Laura Moore"/>
    <s v="reedvirginia@padilla.com"/>
    <n v="923326520956"/>
    <x v="2"/>
    <s v="Pakistan"/>
    <x v="4"/>
    <n v="2"/>
    <n v="4726"/>
    <n v="9452"/>
    <x v="1"/>
    <x v="1"/>
    <x v="3"/>
  </r>
  <r>
    <s v="PK-101730"/>
    <x v="337"/>
    <s v="Derrick Burch"/>
    <s v="chad08@hotmail.com"/>
    <n v="923446704893"/>
    <x v="9"/>
    <s v="Pakistan"/>
    <x v="0"/>
    <n v="5"/>
    <n v="7880"/>
    <n v="39400"/>
    <x v="4"/>
    <x v="4"/>
    <x v="2"/>
  </r>
  <r>
    <s v="PK-101731"/>
    <x v="16"/>
    <s v="William Alvarado"/>
    <s v="ykelly@gmail.com"/>
    <n v="923390033341"/>
    <x v="8"/>
    <s v="Pakistan"/>
    <x v="5"/>
    <n v="3"/>
    <n v="8125"/>
    <n v="24375"/>
    <x v="4"/>
    <x v="3"/>
    <x v="2"/>
  </r>
  <r>
    <s v="PK-101732"/>
    <x v="103"/>
    <s v="Julia Coleman"/>
    <s v="jacksonandrew@gardner.com"/>
    <n v="923295113739"/>
    <x v="3"/>
    <s v="Pakistan"/>
    <x v="4"/>
    <n v="4"/>
    <n v="9436"/>
    <n v="37744"/>
    <x v="0"/>
    <x v="3"/>
    <x v="2"/>
  </r>
  <r>
    <s v="PK-101733"/>
    <x v="343"/>
    <s v="Matthew Allen"/>
    <s v="jonesjonathan@hotmail.com"/>
    <n v="923177365469"/>
    <x v="0"/>
    <s v="Pakistan"/>
    <x v="3"/>
    <n v="2"/>
    <n v="9392"/>
    <n v="18784"/>
    <x v="2"/>
    <x v="2"/>
    <x v="2"/>
  </r>
  <r>
    <s v="PK-101734"/>
    <x v="166"/>
    <s v="Robert Sutton"/>
    <s v="adamselaine@yahoo.com"/>
    <n v="923181299122"/>
    <x v="7"/>
    <s v="Pakistan"/>
    <x v="1"/>
    <n v="5"/>
    <n v="1157"/>
    <n v="5785"/>
    <x v="1"/>
    <x v="7"/>
    <x v="2"/>
  </r>
  <r>
    <s v="PK-101735"/>
    <x v="34"/>
    <s v="Austin Murray"/>
    <s v="cwalls@hotmail.com"/>
    <n v="923487716729"/>
    <x v="5"/>
    <s v="Pakistan"/>
    <x v="0"/>
    <n v="1"/>
    <n v="6050"/>
    <n v="6050"/>
    <x v="5"/>
    <x v="2"/>
    <x v="0"/>
  </r>
  <r>
    <s v="PK-101736"/>
    <x v="80"/>
    <s v="Matthew Richards"/>
    <s v="davidboyle@gmail.com"/>
    <n v="923045748724"/>
    <x v="0"/>
    <s v="Pakistan"/>
    <x v="5"/>
    <n v="5"/>
    <n v="6246"/>
    <n v="31230"/>
    <x v="3"/>
    <x v="7"/>
    <x v="1"/>
  </r>
  <r>
    <s v="PK-101737"/>
    <x v="77"/>
    <s v="Charles Miller"/>
    <s v="amyespinoza@hotmail.com"/>
    <n v="923067502793"/>
    <x v="1"/>
    <s v="Pakistan"/>
    <x v="4"/>
    <n v="3"/>
    <n v="12189"/>
    <n v="36567"/>
    <x v="0"/>
    <x v="2"/>
    <x v="3"/>
  </r>
  <r>
    <s v="PK-101738"/>
    <x v="222"/>
    <s v="Daniel Harris"/>
    <s v="ihawkins@hotmail.com"/>
    <n v="923200298648"/>
    <x v="2"/>
    <s v="Pakistan"/>
    <x v="0"/>
    <n v="5"/>
    <n v="6268"/>
    <n v="31340"/>
    <x v="0"/>
    <x v="5"/>
    <x v="1"/>
  </r>
  <r>
    <s v="PK-101739"/>
    <x v="165"/>
    <s v="Jay Bell"/>
    <s v="kmarquez@gmail.com"/>
    <n v="923467366046"/>
    <x v="8"/>
    <s v="Pakistan"/>
    <x v="3"/>
    <n v="2"/>
    <n v="5914"/>
    <n v="11828"/>
    <x v="4"/>
    <x v="2"/>
    <x v="0"/>
  </r>
  <r>
    <s v="PK-101740"/>
    <x v="347"/>
    <s v="Paul Watson"/>
    <s v="anthonyclark@reynolds.com"/>
    <n v="923378442442"/>
    <x v="0"/>
    <s v="Pakistan"/>
    <x v="3"/>
    <n v="3"/>
    <n v="9480"/>
    <n v="28440"/>
    <x v="2"/>
    <x v="6"/>
    <x v="0"/>
  </r>
  <r>
    <s v="PK-101741"/>
    <x v="213"/>
    <s v="Jessica Schroeder"/>
    <s v="nblack@yahoo.com"/>
    <n v="923337150530"/>
    <x v="7"/>
    <s v="Pakistan"/>
    <x v="1"/>
    <n v="2"/>
    <n v="13897"/>
    <n v="27794"/>
    <x v="1"/>
    <x v="1"/>
    <x v="1"/>
  </r>
  <r>
    <s v="PK-101742"/>
    <x v="240"/>
    <s v="Kimberly Moore"/>
    <s v="daniel13@yahoo.com"/>
    <n v="923021769367"/>
    <x v="4"/>
    <s v="Pakistan"/>
    <x v="3"/>
    <n v="2"/>
    <n v="9730"/>
    <n v="19460"/>
    <x v="3"/>
    <x v="6"/>
    <x v="0"/>
  </r>
  <r>
    <s v="PK-101743"/>
    <x v="7"/>
    <s v="Edward Robinson"/>
    <s v="fnelson@leblanc.net"/>
    <n v="923286130904"/>
    <x v="1"/>
    <s v="Pakistan"/>
    <x v="1"/>
    <n v="1"/>
    <n v="12173"/>
    <n v="12173"/>
    <x v="3"/>
    <x v="7"/>
    <x v="0"/>
  </r>
  <r>
    <s v="PK-101744"/>
    <x v="195"/>
    <s v="Frank Campbell"/>
    <s v="ashley79@yahoo.com"/>
    <n v="923497267524"/>
    <x v="9"/>
    <s v="Pakistan"/>
    <x v="1"/>
    <n v="2"/>
    <n v="6307"/>
    <n v="12614"/>
    <x v="0"/>
    <x v="6"/>
    <x v="1"/>
  </r>
  <r>
    <s v="PK-101745"/>
    <x v="256"/>
    <s v="Mathew Lawrence"/>
    <s v="alexandra75@lopez.com"/>
    <n v="923244461382"/>
    <x v="9"/>
    <s v="Pakistan"/>
    <x v="5"/>
    <n v="2"/>
    <n v="12682"/>
    <n v="25364"/>
    <x v="5"/>
    <x v="5"/>
    <x v="3"/>
  </r>
  <r>
    <s v="PK-101746"/>
    <x v="208"/>
    <s v="Elizabeth Smith"/>
    <s v="ufischer@gmail.com"/>
    <n v="923391092610"/>
    <x v="2"/>
    <s v="Pakistan"/>
    <x v="2"/>
    <n v="3"/>
    <n v="6490"/>
    <n v="19470"/>
    <x v="3"/>
    <x v="1"/>
    <x v="0"/>
  </r>
  <r>
    <s v="PK-101747"/>
    <x v="239"/>
    <s v="Laura Butler"/>
    <s v="kenneth86@gmail.com"/>
    <n v="923388137025"/>
    <x v="0"/>
    <s v="Pakistan"/>
    <x v="2"/>
    <n v="5"/>
    <n v="3926"/>
    <n v="19630"/>
    <x v="5"/>
    <x v="3"/>
    <x v="0"/>
  </r>
  <r>
    <s v="PK-101748"/>
    <x v="163"/>
    <s v="Ryan Valentine"/>
    <s v="amanda48@wallace.biz"/>
    <n v="923039054106"/>
    <x v="6"/>
    <s v="Pakistan"/>
    <x v="3"/>
    <n v="4"/>
    <n v="5625"/>
    <n v="22500"/>
    <x v="0"/>
    <x v="5"/>
    <x v="3"/>
  </r>
  <r>
    <s v="PK-101749"/>
    <x v="6"/>
    <s v="Melissa Parsons"/>
    <s v="bridgetbailey@hotmail.com"/>
    <n v="923086711308"/>
    <x v="5"/>
    <s v="Pakistan"/>
    <x v="2"/>
    <n v="2"/>
    <n v="7280"/>
    <n v="14560"/>
    <x v="4"/>
    <x v="6"/>
    <x v="3"/>
  </r>
  <r>
    <s v="PK-101750"/>
    <x v="69"/>
    <s v="Katherine Thompson"/>
    <s v="robert76@hotmail.com"/>
    <n v="923484334020"/>
    <x v="1"/>
    <s v="Pakistan"/>
    <x v="1"/>
    <n v="4"/>
    <n v="13396"/>
    <n v="53584"/>
    <x v="3"/>
    <x v="2"/>
    <x v="3"/>
  </r>
  <r>
    <s v="PK-101751"/>
    <x v="178"/>
    <s v="Daniel Stanley"/>
    <s v="houstonerin@gmail.com"/>
    <n v="923291644111"/>
    <x v="3"/>
    <s v="Pakistan"/>
    <x v="1"/>
    <n v="4"/>
    <n v="9868"/>
    <n v="39472"/>
    <x v="1"/>
    <x v="1"/>
    <x v="2"/>
  </r>
  <r>
    <s v="PK-101752"/>
    <x v="352"/>
    <s v="Craig Long"/>
    <s v="kaylacollier@hotmail.com"/>
    <n v="923306450283"/>
    <x v="3"/>
    <s v="Pakistan"/>
    <x v="5"/>
    <n v="1"/>
    <n v="13551"/>
    <n v="13551"/>
    <x v="2"/>
    <x v="0"/>
    <x v="0"/>
  </r>
  <r>
    <s v="PK-101753"/>
    <x v="65"/>
    <s v="Andrew Ingram"/>
    <s v="marialucero@yahoo.com"/>
    <n v="923417936810"/>
    <x v="4"/>
    <s v="Pakistan"/>
    <x v="4"/>
    <n v="5"/>
    <n v="1538"/>
    <n v="7690"/>
    <x v="2"/>
    <x v="1"/>
    <x v="0"/>
  </r>
  <r>
    <s v="PK-101754"/>
    <x v="183"/>
    <s v="Phyllis Clark"/>
    <s v="leeeric@hotmail.com"/>
    <n v="923274205912"/>
    <x v="2"/>
    <s v="Pakistan"/>
    <x v="4"/>
    <n v="3"/>
    <n v="4011"/>
    <n v="12033"/>
    <x v="2"/>
    <x v="5"/>
    <x v="1"/>
  </r>
  <r>
    <s v="PK-101755"/>
    <x v="43"/>
    <s v="Cody Davis"/>
    <s v="stephaniecox@yahoo.com"/>
    <n v="923239607915"/>
    <x v="1"/>
    <s v="Pakistan"/>
    <x v="2"/>
    <n v="5"/>
    <n v="12198"/>
    <n v="60990"/>
    <x v="5"/>
    <x v="3"/>
    <x v="3"/>
  </r>
  <r>
    <s v="PK-101756"/>
    <x v="123"/>
    <s v="Bonnie Perkins"/>
    <s v="howardking@scott-rodriguez.net"/>
    <n v="923223495173"/>
    <x v="1"/>
    <s v="Pakistan"/>
    <x v="2"/>
    <n v="2"/>
    <n v="9178"/>
    <n v="18356"/>
    <x v="4"/>
    <x v="5"/>
    <x v="2"/>
  </r>
  <r>
    <s v="PK-101757"/>
    <x v="74"/>
    <s v="Steven Bradford"/>
    <s v="ortegaangel@gmail.com"/>
    <n v="923300635639"/>
    <x v="2"/>
    <s v="Pakistan"/>
    <x v="2"/>
    <n v="5"/>
    <n v="1365"/>
    <n v="6825"/>
    <x v="4"/>
    <x v="5"/>
    <x v="1"/>
  </r>
  <r>
    <s v="PK-101758"/>
    <x v="234"/>
    <s v="Cody Saunders"/>
    <s v="whitney50@gmail.com"/>
    <n v="923181443752"/>
    <x v="0"/>
    <s v="Pakistan"/>
    <x v="2"/>
    <n v="2"/>
    <n v="13614"/>
    <n v="27228"/>
    <x v="3"/>
    <x v="7"/>
    <x v="1"/>
  </r>
  <r>
    <s v="PK-101759"/>
    <x v="190"/>
    <s v="Dr. Kelsey Rhodes"/>
    <s v="sharon46@heath.biz"/>
    <n v="923302531551"/>
    <x v="8"/>
    <s v="Pakistan"/>
    <x v="4"/>
    <n v="3"/>
    <n v="11672"/>
    <n v="35016"/>
    <x v="5"/>
    <x v="3"/>
    <x v="0"/>
  </r>
  <r>
    <s v="PK-101760"/>
    <x v="312"/>
    <s v="William Roberts Jr."/>
    <s v="davisnathan@merritt.info"/>
    <n v="923311280230"/>
    <x v="9"/>
    <s v="Pakistan"/>
    <x v="3"/>
    <n v="4"/>
    <n v="4183"/>
    <n v="16732"/>
    <x v="4"/>
    <x v="4"/>
    <x v="1"/>
  </r>
  <r>
    <s v="PK-101761"/>
    <x v="289"/>
    <s v="Roger Carter"/>
    <s v="perezalexis@hotmail.com"/>
    <n v="923118168302"/>
    <x v="3"/>
    <s v="Pakistan"/>
    <x v="5"/>
    <n v="3"/>
    <n v="6569"/>
    <n v="19707"/>
    <x v="3"/>
    <x v="5"/>
    <x v="3"/>
  </r>
  <r>
    <s v="PK-101762"/>
    <x v="51"/>
    <s v="Nicole Pineda"/>
    <s v="steven46@miller.biz"/>
    <n v="923374237040"/>
    <x v="4"/>
    <s v="Pakistan"/>
    <x v="2"/>
    <n v="5"/>
    <n v="6771"/>
    <n v="33855"/>
    <x v="0"/>
    <x v="3"/>
    <x v="1"/>
  </r>
  <r>
    <s v="PK-101763"/>
    <x v="115"/>
    <s v="Brandy Garcia"/>
    <s v="christinaserrano@yahoo.com"/>
    <n v="923461393318"/>
    <x v="8"/>
    <s v="Pakistan"/>
    <x v="4"/>
    <n v="1"/>
    <n v="8801"/>
    <n v="8801"/>
    <x v="1"/>
    <x v="6"/>
    <x v="2"/>
  </r>
  <r>
    <s v="PK-101764"/>
    <x v="214"/>
    <s v="Michael Smith"/>
    <s v="tammy55@gmail.com"/>
    <n v="923197163717"/>
    <x v="6"/>
    <s v="Pakistan"/>
    <x v="1"/>
    <n v="1"/>
    <n v="5008"/>
    <n v="5008"/>
    <x v="3"/>
    <x v="5"/>
    <x v="0"/>
  </r>
  <r>
    <s v="PK-101765"/>
    <x v="27"/>
    <s v="Sandra Lee"/>
    <s v="david93@mcpherson-porter.net"/>
    <n v="923469424135"/>
    <x v="2"/>
    <s v="Pakistan"/>
    <x v="3"/>
    <n v="5"/>
    <n v="5946"/>
    <n v="29730"/>
    <x v="3"/>
    <x v="2"/>
    <x v="1"/>
  </r>
  <r>
    <s v="PK-101766"/>
    <x v="155"/>
    <s v="Paula Irwin"/>
    <s v="wendy14@holloway.com"/>
    <n v="923133918634"/>
    <x v="9"/>
    <s v="Pakistan"/>
    <x v="3"/>
    <n v="3"/>
    <n v="12803"/>
    <n v="38409"/>
    <x v="1"/>
    <x v="5"/>
    <x v="1"/>
  </r>
  <r>
    <s v="PK-101767"/>
    <x v="75"/>
    <s v="Stephanie Hanson"/>
    <s v="zjimenez@hotmail.com"/>
    <n v="923381562842"/>
    <x v="6"/>
    <s v="Pakistan"/>
    <x v="2"/>
    <n v="2"/>
    <n v="13468"/>
    <n v="26936"/>
    <x v="0"/>
    <x v="5"/>
    <x v="0"/>
  </r>
  <r>
    <s v="PK-101768"/>
    <x v="123"/>
    <s v="James Patrick"/>
    <s v="spencerlarsen@yahoo.com"/>
    <n v="923184687907"/>
    <x v="7"/>
    <s v="Pakistan"/>
    <x v="1"/>
    <n v="1"/>
    <n v="1224"/>
    <n v="1224"/>
    <x v="1"/>
    <x v="7"/>
    <x v="0"/>
  </r>
  <r>
    <s v="PK-101769"/>
    <x v="71"/>
    <s v="Kelsey Fleming"/>
    <s v="troytate@middleton.com"/>
    <n v="923318802325"/>
    <x v="9"/>
    <s v="Pakistan"/>
    <x v="3"/>
    <n v="3"/>
    <n v="4884"/>
    <n v="14652"/>
    <x v="3"/>
    <x v="0"/>
    <x v="2"/>
  </r>
  <r>
    <s v="PK-101770"/>
    <x v="195"/>
    <s v="Justin Villanueva"/>
    <s v="wellslisa@gmail.com"/>
    <n v="923142912102"/>
    <x v="2"/>
    <s v="Pakistan"/>
    <x v="0"/>
    <n v="2"/>
    <n v="5408"/>
    <n v="10816"/>
    <x v="1"/>
    <x v="6"/>
    <x v="0"/>
  </r>
  <r>
    <s v="PK-101771"/>
    <x v="285"/>
    <s v="Gary Dixon"/>
    <s v="brobinson@jackson.biz"/>
    <n v="923458723438"/>
    <x v="7"/>
    <s v="Pakistan"/>
    <x v="3"/>
    <n v="3"/>
    <n v="8720"/>
    <n v="26160"/>
    <x v="5"/>
    <x v="0"/>
    <x v="0"/>
  </r>
  <r>
    <s v="PK-101772"/>
    <x v="210"/>
    <s v="Katherine Fitzpatrick"/>
    <s v="bowersdustin@mata.com"/>
    <n v="923322050257"/>
    <x v="4"/>
    <s v="Pakistan"/>
    <x v="0"/>
    <n v="2"/>
    <n v="1202"/>
    <n v="2404"/>
    <x v="4"/>
    <x v="7"/>
    <x v="2"/>
  </r>
  <r>
    <s v="PK-101773"/>
    <x v="201"/>
    <s v="Julia Hubbard"/>
    <s v="jamestaylor@smith-richards.org"/>
    <n v="923307763531"/>
    <x v="1"/>
    <s v="Pakistan"/>
    <x v="0"/>
    <n v="4"/>
    <n v="8506"/>
    <n v="34024"/>
    <x v="4"/>
    <x v="7"/>
    <x v="0"/>
  </r>
  <r>
    <s v="PK-101774"/>
    <x v="229"/>
    <s v="Taylor Guerrero"/>
    <s v="smithshannon@parker-cortez.com"/>
    <n v="923140900184"/>
    <x v="9"/>
    <s v="Pakistan"/>
    <x v="3"/>
    <n v="4"/>
    <n v="12633"/>
    <n v="50532"/>
    <x v="2"/>
    <x v="4"/>
    <x v="0"/>
  </r>
  <r>
    <s v="PK-101775"/>
    <x v="281"/>
    <s v="Cynthia Tate"/>
    <s v="vsanders@martinez.biz"/>
    <n v="923031174253"/>
    <x v="1"/>
    <s v="Pakistan"/>
    <x v="4"/>
    <n v="1"/>
    <n v="3316"/>
    <n v="3316"/>
    <x v="3"/>
    <x v="7"/>
    <x v="3"/>
  </r>
  <r>
    <s v="PK-101776"/>
    <x v="209"/>
    <s v="Richard Osborne Jr."/>
    <s v="bobby41@hotmail.com"/>
    <n v="923093759255"/>
    <x v="2"/>
    <s v="Pakistan"/>
    <x v="5"/>
    <n v="5"/>
    <n v="6115"/>
    <n v="30575"/>
    <x v="2"/>
    <x v="2"/>
    <x v="0"/>
  </r>
  <r>
    <s v="PK-101777"/>
    <x v="360"/>
    <s v="Tracy Brooks"/>
    <s v="mbryant@gmail.com"/>
    <n v="923178706773"/>
    <x v="3"/>
    <s v="Pakistan"/>
    <x v="4"/>
    <n v="3"/>
    <n v="2836"/>
    <n v="8508"/>
    <x v="1"/>
    <x v="1"/>
    <x v="2"/>
  </r>
  <r>
    <s v="PK-101778"/>
    <x v="85"/>
    <s v="Sarah Phillips"/>
    <s v="brian46@yahoo.com"/>
    <n v="923232906985"/>
    <x v="5"/>
    <s v="Pakistan"/>
    <x v="4"/>
    <n v="5"/>
    <n v="11989"/>
    <n v="59945"/>
    <x v="5"/>
    <x v="6"/>
    <x v="2"/>
  </r>
  <r>
    <s v="PK-101779"/>
    <x v="132"/>
    <s v="Laura Sellers"/>
    <s v="brianhanson@johnston.info"/>
    <n v="923005643256"/>
    <x v="9"/>
    <s v="Pakistan"/>
    <x v="2"/>
    <n v="1"/>
    <n v="11835"/>
    <n v="11835"/>
    <x v="2"/>
    <x v="6"/>
    <x v="2"/>
  </r>
  <r>
    <s v="PK-101780"/>
    <x v="356"/>
    <s v="Michael Collins"/>
    <s v="cynthia32@yahoo.com"/>
    <n v="923476402359"/>
    <x v="0"/>
    <s v="Pakistan"/>
    <x v="5"/>
    <n v="4"/>
    <n v="7446"/>
    <n v="29784"/>
    <x v="1"/>
    <x v="3"/>
    <x v="0"/>
  </r>
  <r>
    <s v="PK-101781"/>
    <x v="67"/>
    <s v="Cory Brown"/>
    <s v="steven11@gilmore.info"/>
    <n v="923203541765"/>
    <x v="9"/>
    <s v="Pakistan"/>
    <x v="5"/>
    <n v="3"/>
    <n v="5750"/>
    <n v="17250"/>
    <x v="5"/>
    <x v="4"/>
    <x v="2"/>
  </r>
  <r>
    <s v="PK-101782"/>
    <x v="330"/>
    <s v="Steven Fields"/>
    <s v="vcortez@webb-dunn.info"/>
    <n v="923109901117"/>
    <x v="6"/>
    <s v="Pakistan"/>
    <x v="0"/>
    <n v="1"/>
    <n v="6846"/>
    <n v="6846"/>
    <x v="3"/>
    <x v="0"/>
    <x v="0"/>
  </r>
  <r>
    <s v="PK-101783"/>
    <x v="314"/>
    <s v="Lawrence Martinez"/>
    <s v="agardner@hernandez.com"/>
    <n v="923472698867"/>
    <x v="1"/>
    <s v="Pakistan"/>
    <x v="2"/>
    <n v="4"/>
    <n v="1728"/>
    <n v="6912"/>
    <x v="5"/>
    <x v="0"/>
    <x v="3"/>
  </r>
  <r>
    <s v="PK-101784"/>
    <x v="328"/>
    <s v="Raymond Edwards"/>
    <s v="mannjason@tanner-russell.biz"/>
    <n v="923420889076"/>
    <x v="0"/>
    <s v="Pakistan"/>
    <x v="3"/>
    <n v="2"/>
    <n v="7826"/>
    <n v="15652"/>
    <x v="3"/>
    <x v="1"/>
    <x v="2"/>
  </r>
  <r>
    <s v="PK-101785"/>
    <x v="12"/>
    <s v="Elizabeth Wade"/>
    <s v="kimberlylyons@carter-coleman.info"/>
    <n v="923444272698"/>
    <x v="9"/>
    <s v="Pakistan"/>
    <x v="1"/>
    <n v="3"/>
    <n v="3859"/>
    <n v="11577"/>
    <x v="5"/>
    <x v="7"/>
    <x v="0"/>
  </r>
  <r>
    <s v="PK-101786"/>
    <x v="356"/>
    <s v="Deanna Perez"/>
    <s v="nwhitney@collins.org"/>
    <n v="923137979988"/>
    <x v="7"/>
    <s v="Pakistan"/>
    <x v="0"/>
    <n v="2"/>
    <n v="7552"/>
    <n v="15104"/>
    <x v="3"/>
    <x v="2"/>
    <x v="3"/>
  </r>
  <r>
    <s v="PK-101787"/>
    <x v="15"/>
    <s v="Cody Howard"/>
    <s v="michael67@jackson.net"/>
    <n v="923474371409"/>
    <x v="2"/>
    <s v="Pakistan"/>
    <x v="5"/>
    <n v="3"/>
    <n v="2305"/>
    <n v="6915"/>
    <x v="4"/>
    <x v="7"/>
    <x v="3"/>
  </r>
  <r>
    <s v="PK-101788"/>
    <x v="137"/>
    <s v="James Benitez"/>
    <s v="christopher78@hotmail.com"/>
    <n v="923393109509"/>
    <x v="6"/>
    <s v="Pakistan"/>
    <x v="0"/>
    <n v="4"/>
    <n v="10157"/>
    <n v="40628"/>
    <x v="2"/>
    <x v="3"/>
    <x v="2"/>
  </r>
  <r>
    <s v="PK-101789"/>
    <x v="180"/>
    <s v="Tammy Moses"/>
    <s v="daniel22@meza.com"/>
    <n v="923002989858"/>
    <x v="7"/>
    <s v="Pakistan"/>
    <x v="2"/>
    <n v="1"/>
    <n v="8651"/>
    <n v="8651"/>
    <x v="2"/>
    <x v="0"/>
    <x v="3"/>
  </r>
  <r>
    <s v="PK-101790"/>
    <x v="252"/>
    <s v="Leslie Kaiser"/>
    <s v="pearsonalexander@hotmail.com"/>
    <n v="923205107654"/>
    <x v="7"/>
    <s v="Pakistan"/>
    <x v="1"/>
    <n v="2"/>
    <n v="13369"/>
    <n v="26738"/>
    <x v="4"/>
    <x v="4"/>
    <x v="0"/>
  </r>
  <r>
    <s v="PK-101791"/>
    <x v="247"/>
    <s v="Mark Bailey"/>
    <s v="jeremysanchez@greer.com"/>
    <n v="923470441134"/>
    <x v="6"/>
    <s v="Pakistan"/>
    <x v="5"/>
    <n v="3"/>
    <n v="13173"/>
    <n v="39519"/>
    <x v="4"/>
    <x v="7"/>
    <x v="3"/>
  </r>
  <r>
    <s v="PK-101792"/>
    <x v="193"/>
    <s v="Robert Hudson"/>
    <s v="ramseydenise@yahoo.com"/>
    <n v="923236122483"/>
    <x v="4"/>
    <s v="Pakistan"/>
    <x v="0"/>
    <n v="2"/>
    <n v="13039"/>
    <n v="26078"/>
    <x v="3"/>
    <x v="5"/>
    <x v="2"/>
  </r>
  <r>
    <s v="PK-101793"/>
    <x v="50"/>
    <s v="Casey Castillo"/>
    <s v="georgechelsea@brady-ochoa.com"/>
    <n v="923159027745"/>
    <x v="1"/>
    <s v="Pakistan"/>
    <x v="0"/>
    <n v="5"/>
    <n v="5695"/>
    <n v="28475"/>
    <x v="2"/>
    <x v="3"/>
    <x v="1"/>
  </r>
  <r>
    <s v="PK-101794"/>
    <x v="14"/>
    <s v="Kaitlyn Richmond"/>
    <s v="clittle@yahoo.com"/>
    <n v="923108478658"/>
    <x v="6"/>
    <s v="Pakistan"/>
    <x v="5"/>
    <n v="3"/>
    <n v="5832"/>
    <n v="17496"/>
    <x v="4"/>
    <x v="6"/>
    <x v="2"/>
  </r>
  <r>
    <s v="PK-101795"/>
    <x v="360"/>
    <s v="Robert Tran"/>
    <s v="carlsonelizabeth@hunt.org"/>
    <n v="923198997694"/>
    <x v="6"/>
    <s v="Pakistan"/>
    <x v="0"/>
    <n v="2"/>
    <n v="9894"/>
    <n v="19788"/>
    <x v="2"/>
    <x v="0"/>
    <x v="1"/>
  </r>
  <r>
    <s v="PK-101796"/>
    <x v="120"/>
    <s v="Robin Montgomery"/>
    <s v="jason69@hernandez.biz"/>
    <n v="923354484838"/>
    <x v="3"/>
    <s v="Pakistan"/>
    <x v="5"/>
    <n v="5"/>
    <n v="6259"/>
    <n v="31295"/>
    <x v="3"/>
    <x v="0"/>
    <x v="1"/>
  </r>
  <r>
    <s v="PK-101797"/>
    <x v="38"/>
    <s v="Jennifer Mcguire"/>
    <s v="christophersilva@gmail.com"/>
    <n v="923300314752"/>
    <x v="5"/>
    <s v="Pakistan"/>
    <x v="2"/>
    <n v="3"/>
    <n v="8254"/>
    <n v="24762"/>
    <x v="4"/>
    <x v="2"/>
    <x v="1"/>
  </r>
  <r>
    <s v="PK-101798"/>
    <x v="323"/>
    <s v="Joshua Rowe"/>
    <s v="ebauer@lynch.biz"/>
    <n v="923256167823"/>
    <x v="5"/>
    <s v="Pakistan"/>
    <x v="3"/>
    <n v="4"/>
    <n v="6941"/>
    <n v="27764"/>
    <x v="2"/>
    <x v="4"/>
    <x v="3"/>
  </r>
  <r>
    <s v="PK-101799"/>
    <x v="11"/>
    <s v="Jeanette Rivera"/>
    <s v="jessica55@king.org"/>
    <n v="923254420956"/>
    <x v="2"/>
    <s v="Pakistan"/>
    <x v="4"/>
    <n v="4"/>
    <n v="5076"/>
    <n v="20304"/>
    <x v="5"/>
    <x v="6"/>
    <x v="1"/>
  </r>
  <r>
    <s v="PK-101800"/>
    <x v="141"/>
    <s v="Sheila Wilson"/>
    <s v="dawnfrench@diaz.com"/>
    <n v="923432934062"/>
    <x v="0"/>
    <s v="Pakistan"/>
    <x v="2"/>
    <n v="4"/>
    <n v="13650"/>
    <n v="54600"/>
    <x v="5"/>
    <x v="6"/>
    <x v="3"/>
  </r>
  <r>
    <s v="PK-101801"/>
    <x v="310"/>
    <s v="Lindsey Gillespie"/>
    <s v="hardinjames@gmail.com"/>
    <n v="923467345497"/>
    <x v="3"/>
    <s v="Pakistan"/>
    <x v="5"/>
    <n v="1"/>
    <n v="6166"/>
    <n v="6166"/>
    <x v="4"/>
    <x v="4"/>
    <x v="0"/>
  </r>
  <r>
    <s v="PK-101802"/>
    <x v="78"/>
    <s v="Randy Contreras"/>
    <s v="mrogers@yahoo.com"/>
    <n v="923327499870"/>
    <x v="6"/>
    <s v="Pakistan"/>
    <x v="4"/>
    <n v="2"/>
    <n v="13313"/>
    <n v="26626"/>
    <x v="0"/>
    <x v="0"/>
    <x v="0"/>
  </r>
  <r>
    <s v="PK-101803"/>
    <x v="200"/>
    <s v="John Adams"/>
    <s v="nathanbarber@jennings-craig.com"/>
    <n v="923100584085"/>
    <x v="9"/>
    <s v="Pakistan"/>
    <x v="1"/>
    <n v="2"/>
    <n v="2239"/>
    <n v="4478"/>
    <x v="2"/>
    <x v="6"/>
    <x v="1"/>
  </r>
  <r>
    <s v="PK-101804"/>
    <x v="351"/>
    <s v="Kristen Cross"/>
    <s v="adriantorres@yahoo.com"/>
    <n v="923036729233"/>
    <x v="7"/>
    <s v="Pakistan"/>
    <x v="3"/>
    <n v="2"/>
    <n v="12004"/>
    <n v="24008"/>
    <x v="1"/>
    <x v="7"/>
    <x v="1"/>
  </r>
  <r>
    <s v="PK-101805"/>
    <x v="312"/>
    <s v="Dylan Thomas"/>
    <s v="russobrendan@richmond-austin.com"/>
    <n v="923101771387"/>
    <x v="5"/>
    <s v="Pakistan"/>
    <x v="2"/>
    <n v="4"/>
    <n v="11051"/>
    <n v="44204"/>
    <x v="1"/>
    <x v="2"/>
    <x v="2"/>
  </r>
  <r>
    <s v="PK-101806"/>
    <x v="310"/>
    <s v="Tina Joseph"/>
    <s v="jill40@hotmail.com"/>
    <n v="923246446320"/>
    <x v="8"/>
    <s v="Pakistan"/>
    <x v="0"/>
    <n v="5"/>
    <n v="7469"/>
    <n v="37345"/>
    <x v="3"/>
    <x v="7"/>
    <x v="1"/>
  </r>
  <r>
    <s v="PK-101807"/>
    <x v="79"/>
    <s v="Margaret Cook"/>
    <s v="williamsdavid@gmail.com"/>
    <n v="923432775477"/>
    <x v="2"/>
    <s v="Pakistan"/>
    <x v="4"/>
    <n v="3"/>
    <n v="9880"/>
    <n v="29640"/>
    <x v="4"/>
    <x v="3"/>
    <x v="3"/>
  </r>
  <r>
    <s v="PK-101808"/>
    <x v="206"/>
    <s v="Scott Brown"/>
    <s v="tpage@wall-martin.info"/>
    <n v="923193288984"/>
    <x v="1"/>
    <s v="Pakistan"/>
    <x v="0"/>
    <n v="2"/>
    <n v="2532"/>
    <n v="5064"/>
    <x v="1"/>
    <x v="0"/>
    <x v="1"/>
  </r>
  <r>
    <s v="PK-101809"/>
    <x v="83"/>
    <s v="Russell Hester"/>
    <s v="andrewcherry@flores.com"/>
    <n v="923241374137"/>
    <x v="3"/>
    <s v="Pakistan"/>
    <x v="5"/>
    <n v="1"/>
    <n v="11029"/>
    <n v="11029"/>
    <x v="1"/>
    <x v="1"/>
    <x v="1"/>
  </r>
  <r>
    <s v="PK-101810"/>
    <x v="139"/>
    <s v="Bill Camacho"/>
    <s v="teresawilliams@hotmail.com"/>
    <n v="923440420509"/>
    <x v="7"/>
    <s v="Pakistan"/>
    <x v="5"/>
    <n v="2"/>
    <n v="14942"/>
    <n v="29884"/>
    <x v="3"/>
    <x v="6"/>
    <x v="2"/>
  </r>
  <r>
    <s v="PK-101811"/>
    <x v="97"/>
    <s v="Kevin George"/>
    <s v="richard57@gmail.com"/>
    <n v="923210752885"/>
    <x v="6"/>
    <s v="Pakistan"/>
    <x v="2"/>
    <n v="5"/>
    <n v="1271"/>
    <n v="6355"/>
    <x v="3"/>
    <x v="5"/>
    <x v="0"/>
  </r>
  <r>
    <s v="PK-101812"/>
    <x v="356"/>
    <s v="James Harrington DDS"/>
    <s v="bruce09@taylor.net"/>
    <n v="923442090223"/>
    <x v="0"/>
    <s v="Pakistan"/>
    <x v="1"/>
    <n v="2"/>
    <n v="11045"/>
    <n v="22090"/>
    <x v="1"/>
    <x v="4"/>
    <x v="0"/>
  </r>
  <r>
    <s v="PK-101813"/>
    <x v="290"/>
    <s v="Matthew Nelson"/>
    <s v="schultzjulia@hotmail.com"/>
    <n v="923180047085"/>
    <x v="8"/>
    <s v="Pakistan"/>
    <x v="0"/>
    <n v="3"/>
    <n v="12576"/>
    <n v="37728"/>
    <x v="1"/>
    <x v="7"/>
    <x v="0"/>
  </r>
  <r>
    <s v="PK-101814"/>
    <x v="273"/>
    <s v="Timothy Myers"/>
    <s v="chadsims@parker-freeman.com"/>
    <n v="923159838969"/>
    <x v="6"/>
    <s v="Pakistan"/>
    <x v="3"/>
    <n v="2"/>
    <n v="3800"/>
    <n v="7600"/>
    <x v="0"/>
    <x v="6"/>
    <x v="0"/>
  </r>
  <r>
    <s v="PK-101815"/>
    <x v="43"/>
    <s v="Gerald Gonzalez"/>
    <s v="erica87@sandoval.info"/>
    <n v="923305101044"/>
    <x v="0"/>
    <s v="Pakistan"/>
    <x v="1"/>
    <n v="3"/>
    <n v="2928"/>
    <n v="8784"/>
    <x v="4"/>
    <x v="4"/>
    <x v="1"/>
  </r>
  <r>
    <s v="PK-101816"/>
    <x v="204"/>
    <s v="Amanda Mcdowell"/>
    <s v="martinandrew@gmail.com"/>
    <n v="923465615256"/>
    <x v="4"/>
    <s v="Pakistan"/>
    <x v="1"/>
    <n v="2"/>
    <n v="12882"/>
    <n v="25764"/>
    <x v="5"/>
    <x v="5"/>
    <x v="0"/>
  </r>
  <r>
    <s v="PK-101817"/>
    <x v="151"/>
    <s v="Nicole Morton"/>
    <s v="xalexander@franklin.com"/>
    <n v="923414377366"/>
    <x v="0"/>
    <s v="Pakistan"/>
    <x v="4"/>
    <n v="2"/>
    <n v="12040"/>
    <n v="24080"/>
    <x v="2"/>
    <x v="6"/>
    <x v="1"/>
  </r>
  <r>
    <s v="PK-101818"/>
    <x v="361"/>
    <s v="Amanda Mills"/>
    <s v="jenniferharris@holland.com"/>
    <n v="923173555370"/>
    <x v="5"/>
    <s v="Pakistan"/>
    <x v="3"/>
    <n v="4"/>
    <n v="9241"/>
    <n v="36964"/>
    <x v="1"/>
    <x v="4"/>
    <x v="2"/>
  </r>
  <r>
    <s v="PK-101819"/>
    <x v="69"/>
    <s v="Traci Cohen"/>
    <s v="amy36@hotmail.com"/>
    <n v="923024181030"/>
    <x v="9"/>
    <s v="Pakistan"/>
    <x v="3"/>
    <n v="2"/>
    <n v="2926"/>
    <n v="5852"/>
    <x v="0"/>
    <x v="1"/>
    <x v="3"/>
  </r>
  <r>
    <s v="PK-101820"/>
    <x v="33"/>
    <s v="Eric Jacobson"/>
    <s v="wsingh@lynn-reynolds.info"/>
    <n v="923466504862"/>
    <x v="2"/>
    <s v="Pakistan"/>
    <x v="2"/>
    <n v="3"/>
    <n v="4521"/>
    <n v="13563"/>
    <x v="3"/>
    <x v="2"/>
    <x v="3"/>
  </r>
  <r>
    <s v="PK-101821"/>
    <x v="196"/>
    <s v="Tiffany Jacobs"/>
    <s v="ashleyrush@gmail.com"/>
    <n v="923180283842"/>
    <x v="5"/>
    <s v="Pakistan"/>
    <x v="0"/>
    <n v="2"/>
    <n v="9791"/>
    <n v="19582"/>
    <x v="2"/>
    <x v="6"/>
    <x v="2"/>
  </r>
  <r>
    <s v="PK-101822"/>
    <x v="120"/>
    <s v="Johnny Johnson"/>
    <s v="jamesjackson@yahoo.com"/>
    <n v="923365008958"/>
    <x v="4"/>
    <s v="Pakistan"/>
    <x v="4"/>
    <n v="4"/>
    <n v="14995"/>
    <n v="59980"/>
    <x v="2"/>
    <x v="0"/>
    <x v="0"/>
  </r>
  <r>
    <s v="PK-101823"/>
    <x v="195"/>
    <s v="Timothy Williams"/>
    <s v="johnsonlaura@hotmail.com"/>
    <n v="923012789936"/>
    <x v="3"/>
    <s v="Pakistan"/>
    <x v="3"/>
    <n v="3"/>
    <n v="9668"/>
    <n v="29004"/>
    <x v="1"/>
    <x v="4"/>
    <x v="0"/>
  </r>
  <r>
    <s v="PK-101824"/>
    <x v="35"/>
    <s v="Nicholas Russell"/>
    <s v="lorozco@kline.info"/>
    <n v="923196722585"/>
    <x v="1"/>
    <s v="Pakistan"/>
    <x v="1"/>
    <n v="2"/>
    <n v="5317"/>
    <n v="10634"/>
    <x v="1"/>
    <x v="1"/>
    <x v="1"/>
  </r>
  <r>
    <s v="PK-101825"/>
    <x v="115"/>
    <s v="Amber Ortiz"/>
    <s v="rebeccakelley@holmes-payne.biz"/>
    <n v="923428747930"/>
    <x v="7"/>
    <s v="Pakistan"/>
    <x v="0"/>
    <n v="2"/>
    <n v="2710"/>
    <n v="5420"/>
    <x v="3"/>
    <x v="0"/>
    <x v="1"/>
  </r>
  <r>
    <s v="PK-101826"/>
    <x v="119"/>
    <s v="Stephen Campbell"/>
    <s v="campbelltara@yahoo.com"/>
    <n v="923316777950"/>
    <x v="6"/>
    <s v="Pakistan"/>
    <x v="5"/>
    <n v="2"/>
    <n v="11919"/>
    <n v="23838"/>
    <x v="0"/>
    <x v="1"/>
    <x v="0"/>
  </r>
  <r>
    <s v="PK-101827"/>
    <x v="230"/>
    <s v="Gregory Chandler"/>
    <s v="douglas29@wang-johnson.com"/>
    <n v="923245069770"/>
    <x v="5"/>
    <s v="Pakistan"/>
    <x v="5"/>
    <n v="3"/>
    <n v="6708"/>
    <n v="20124"/>
    <x v="3"/>
    <x v="0"/>
    <x v="1"/>
  </r>
  <r>
    <s v="PK-101828"/>
    <x v="59"/>
    <s v="Theresa Hunter"/>
    <s v="gmartinez@hotmail.com"/>
    <n v="923458328203"/>
    <x v="2"/>
    <s v="Pakistan"/>
    <x v="1"/>
    <n v="3"/>
    <n v="6412"/>
    <n v="19236"/>
    <x v="4"/>
    <x v="5"/>
    <x v="3"/>
  </r>
  <r>
    <s v="PK-101829"/>
    <x v="262"/>
    <s v="Jeffrey Santos"/>
    <s v="lewispamela@hotmail.com"/>
    <n v="923397372118"/>
    <x v="8"/>
    <s v="Pakistan"/>
    <x v="0"/>
    <n v="5"/>
    <n v="11829"/>
    <n v="59145"/>
    <x v="1"/>
    <x v="6"/>
    <x v="2"/>
  </r>
  <r>
    <s v="PK-101830"/>
    <x v="267"/>
    <s v="Larry Bautista"/>
    <s v="salasjudy@hotmail.com"/>
    <n v="923161125528"/>
    <x v="4"/>
    <s v="Pakistan"/>
    <x v="2"/>
    <n v="3"/>
    <n v="1739"/>
    <n v="5217"/>
    <x v="4"/>
    <x v="7"/>
    <x v="2"/>
  </r>
  <r>
    <s v="PK-101831"/>
    <x v="139"/>
    <s v="Charles Allen"/>
    <s v="mooretara@gmail.com"/>
    <n v="923277796348"/>
    <x v="4"/>
    <s v="Pakistan"/>
    <x v="4"/>
    <n v="3"/>
    <n v="12269"/>
    <n v="36807"/>
    <x v="1"/>
    <x v="1"/>
    <x v="0"/>
  </r>
  <r>
    <s v="PK-101832"/>
    <x v="9"/>
    <s v="Michael Ewing"/>
    <s v="ljohnson@campos.com"/>
    <n v="923182870034"/>
    <x v="0"/>
    <s v="Pakistan"/>
    <x v="2"/>
    <n v="2"/>
    <n v="13723"/>
    <n v="27446"/>
    <x v="2"/>
    <x v="3"/>
    <x v="0"/>
  </r>
  <r>
    <s v="PK-101833"/>
    <x v="164"/>
    <s v="Sharon Marshall"/>
    <s v="dustin90@rivera.info"/>
    <n v="923326384698"/>
    <x v="9"/>
    <s v="Pakistan"/>
    <x v="5"/>
    <n v="5"/>
    <n v="1011"/>
    <n v="5055"/>
    <x v="4"/>
    <x v="7"/>
    <x v="2"/>
  </r>
  <r>
    <s v="PK-101834"/>
    <x v="359"/>
    <s v="Misty Martin"/>
    <s v="gibsonamanda@frank-morgan.com"/>
    <n v="923166891218"/>
    <x v="4"/>
    <s v="Pakistan"/>
    <x v="2"/>
    <n v="1"/>
    <n v="8546"/>
    <n v="8546"/>
    <x v="3"/>
    <x v="3"/>
    <x v="3"/>
  </r>
  <r>
    <s v="PK-101835"/>
    <x v="155"/>
    <s v="Alison Patel"/>
    <s v="alexanderbyrd@mills-thornton.com"/>
    <n v="923314242937"/>
    <x v="4"/>
    <s v="Pakistan"/>
    <x v="3"/>
    <n v="4"/>
    <n v="2325"/>
    <n v="9300"/>
    <x v="1"/>
    <x v="4"/>
    <x v="2"/>
  </r>
  <r>
    <s v="PK-101836"/>
    <x v="135"/>
    <s v="Dr. Robert Munoz"/>
    <s v="wwilliams@hotmail.com"/>
    <n v="923392132480"/>
    <x v="7"/>
    <s v="Pakistan"/>
    <x v="0"/>
    <n v="4"/>
    <n v="9995"/>
    <n v="39980"/>
    <x v="4"/>
    <x v="0"/>
    <x v="2"/>
  </r>
  <r>
    <s v="PK-101837"/>
    <x v="215"/>
    <s v="Brian Williams"/>
    <s v="denisegraham@snyder.info"/>
    <n v="923125821786"/>
    <x v="9"/>
    <s v="Pakistan"/>
    <x v="0"/>
    <n v="2"/>
    <n v="6872"/>
    <n v="13744"/>
    <x v="1"/>
    <x v="7"/>
    <x v="1"/>
  </r>
  <r>
    <s v="PK-101838"/>
    <x v="319"/>
    <s v="Elizabeth Lane"/>
    <s v="andreamontgomery@sims.com"/>
    <n v="923126131777"/>
    <x v="9"/>
    <s v="Pakistan"/>
    <x v="5"/>
    <n v="1"/>
    <n v="13790"/>
    <n v="13790"/>
    <x v="5"/>
    <x v="6"/>
    <x v="1"/>
  </r>
  <r>
    <s v="PK-101839"/>
    <x v="282"/>
    <s v="Linda Brown"/>
    <s v="jclayton@richardson.com"/>
    <n v="923303903057"/>
    <x v="8"/>
    <s v="Pakistan"/>
    <x v="0"/>
    <n v="5"/>
    <n v="7986"/>
    <n v="39930"/>
    <x v="1"/>
    <x v="0"/>
    <x v="2"/>
  </r>
  <r>
    <s v="PK-101840"/>
    <x v="169"/>
    <s v="John Atkins"/>
    <s v="zrodriguez@gmail.com"/>
    <n v="923112401647"/>
    <x v="4"/>
    <s v="Pakistan"/>
    <x v="3"/>
    <n v="1"/>
    <n v="4841"/>
    <n v="4841"/>
    <x v="0"/>
    <x v="5"/>
    <x v="3"/>
  </r>
  <r>
    <s v="PK-101841"/>
    <x v="242"/>
    <s v="Dean Anderson"/>
    <s v="dawn97@hotmail.com"/>
    <n v="923060476706"/>
    <x v="5"/>
    <s v="Pakistan"/>
    <x v="3"/>
    <n v="2"/>
    <n v="1753"/>
    <n v="3506"/>
    <x v="4"/>
    <x v="3"/>
    <x v="3"/>
  </r>
  <r>
    <s v="PK-101842"/>
    <x v="161"/>
    <s v="Jose Oliver"/>
    <s v="brittanydaniels@yahoo.com"/>
    <n v="923066908045"/>
    <x v="9"/>
    <s v="Pakistan"/>
    <x v="5"/>
    <n v="5"/>
    <n v="12675"/>
    <n v="63375"/>
    <x v="5"/>
    <x v="5"/>
    <x v="2"/>
  </r>
  <r>
    <s v="PK-101843"/>
    <x v="323"/>
    <s v="Brittany Brown"/>
    <s v="theresamathis@yahoo.com"/>
    <n v="923084391106"/>
    <x v="2"/>
    <s v="Pakistan"/>
    <x v="4"/>
    <n v="3"/>
    <n v="7808"/>
    <n v="23424"/>
    <x v="2"/>
    <x v="3"/>
    <x v="2"/>
  </r>
  <r>
    <s v="PK-101844"/>
    <x v="148"/>
    <s v="Shawn Collins"/>
    <s v="marquezholly@trevino.org"/>
    <n v="923234514743"/>
    <x v="3"/>
    <s v="Pakistan"/>
    <x v="0"/>
    <n v="2"/>
    <n v="4573"/>
    <n v="9146"/>
    <x v="2"/>
    <x v="2"/>
    <x v="0"/>
  </r>
  <r>
    <s v="PK-101845"/>
    <x v="63"/>
    <s v="Melissa Payne"/>
    <s v="rcalhoun@yahoo.com"/>
    <n v="923215727798"/>
    <x v="4"/>
    <s v="Pakistan"/>
    <x v="0"/>
    <n v="3"/>
    <n v="13495"/>
    <n v="40485"/>
    <x v="4"/>
    <x v="7"/>
    <x v="0"/>
  </r>
  <r>
    <s v="PK-101846"/>
    <x v="126"/>
    <s v="Kendra Miller"/>
    <s v="mjones@lamb.biz"/>
    <n v="923451284819"/>
    <x v="4"/>
    <s v="Pakistan"/>
    <x v="1"/>
    <n v="5"/>
    <n v="14337"/>
    <n v="71685"/>
    <x v="4"/>
    <x v="3"/>
    <x v="3"/>
  </r>
  <r>
    <s v="PK-101847"/>
    <x v="289"/>
    <s v="Douglas May"/>
    <s v="matthew85@yahoo.com"/>
    <n v="923042837110"/>
    <x v="3"/>
    <s v="Pakistan"/>
    <x v="3"/>
    <n v="2"/>
    <n v="13027"/>
    <n v="26054"/>
    <x v="4"/>
    <x v="3"/>
    <x v="2"/>
  </r>
  <r>
    <s v="PK-101848"/>
    <x v="142"/>
    <s v="Michelle Johnson"/>
    <s v="jhammond@sandoval-miller.com"/>
    <n v="923033512318"/>
    <x v="2"/>
    <s v="Pakistan"/>
    <x v="3"/>
    <n v="5"/>
    <n v="13097"/>
    <n v="65485"/>
    <x v="1"/>
    <x v="3"/>
    <x v="0"/>
  </r>
  <r>
    <s v="PK-101849"/>
    <x v="64"/>
    <s v="Clayton Duran"/>
    <s v="tonya97@gmail.com"/>
    <n v="923373478597"/>
    <x v="8"/>
    <s v="Pakistan"/>
    <x v="3"/>
    <n v="3"/>
    <n v="1247"/>
    <n v="3741"/>
    <x v="2"/>
    <x v="6"/>
    <x v="0"/>
  </r>
  <r>
    <s v="PK-101850"/>
    <x v="70"/>
    <s v="Max Bowers"/>
    <s v="andrea48@gmail.com"/>
    <n v="923313603384"/>
    <x v="8"/>
    <s v="Pakistan"/>
    <x v="0"/>
    <n v="4"/>
    <n v="3288"/>
    <n v="13152"/>
    <x v="1"/>
    <x v="3"/>
    <x v="1"/>
  </r>
  <r>
    <s v="PK-101851"/>
    <x v="119"/>
    <s v="Elijah Thomas"/>
    <s v="justincannon@yahoo.com"/>
    <n v="923383317255"/>
    <x v="3"/>
    <s v="Pakistan"/>
    <x v="4"/>
    <n v="4"/>
    <n v="8807"/>
    <n v="35228"/>
    <x v="2"/>
    <x v="6"/>
    <x v="2"/>
  </r>
  <r>
    <s v="PK-101852"/>
    <x v="286"/>
    <s v="Anna Thomas"/>
    <s v="carterdonald@smith.com"/>
    <n v="923270774711"/>
    <x v="1"/>
    <s v="Pakistan"/>
    <x v="4"/>
    <n v="2"/>
    <n v="9453"/>
    <n v="18906"/>
    <x v="1"/>
    <x v="5"/>
    <x v="0"/>
  </r>
  <r>
    <s v="PK-101853"/>
    <x v="217"/>
    <s v="Kim Rowland"/>
    <s v="ddavis@duncan.com"/>
    <n v="923124645783"/>
    <x v="4"/>
    <s v="Pakistan"/>
    <x v="5"/>
    <n v="2"/>
    <n v="13714"/>
    <n v="27428"/>
    <x v="4"/>
    <x v="0"/>
    <x v="1"/>
  </r>
  <r>
    <s v="PK-101854"/>
    <x v="334"/>
    <s v="Valerie Smith"/>
    <s v="englishrobert@cruz-dennis.com"/>
    <n v="923226298043"/>
    <x v="2"/>
    <s v="Pakistan"/>
    <x v="2"/>
    <n v="2"/>
    <n v="13087"/>
    <n v="26174"/>
    <x v="4"/>
    <x v="1"/>
    <x v="1"/>
  </r>
  <r>
    <s v="PK-101855"/>
    <x v="348"/>
    <s v="Andrew Dunlap"/>
    <s v="elizabethrandall@gmail.com"/>
    <n v="923099063628"/>
    <x v="2"/>
    <s v="Pakistan"/>
    <x v="0"/>
    <n v="2"/>
    <n v="14211"/>
    <n v="28422"/>
    <x v="5"/>
    <x v="4"/>
    <x v="3"/>
  </r>
  <r>
    <s v="PK-101856"/>
    <x v="48"/>
    <s v="Steven Wilson"/>
    <s v="mahoneychelsea@brooks.com"/>
    <n v="923281923714"/>
    <x v="4"/>
    <s v="Pakistan"/>
    <x v="1"/>
    <n v="4"/>
    <n v="11705"/>
    <n v="46820"/>
    <x v="0"/>
    <x v="3"/>
    <x v="2"/>
  </r>
  <r>
    <s v="PK-101857"/>
    <x v="42"/>
    <s v="Victor Mosley"/>
    <s v="penamargaret@palmer.com"/>
    <n v="923403389913"/>
    <x v="6"/>
    <s v="Pakistan"/>
    <x v="5"/>
    <n v="2"/>
    <n v="5959"/>
    <n v="11918"/>
    <x v="2"/>
    <x v="5"/>
    <x v="3"/>
  </r>
  <r>
    <s v="PK-101858"/>
    <x v="156"/>
    <s v="Adrian Fitzgerald MD"/>
    <s v="ashleyevans@perez-campos.com"/>
    <n v="923144249481"/>
    <x v="5"/>
    <s v="Pakistan"/>
    <x v="3"/>
    <n v="1"/>
    <n v="4605"/>
    <n v="4605"/>
    <x v="2"/>
    <x v="4"/>
    <x v="3"/>
  </r>
  <r>
    <s v="PK-101859"/>
    <x v="264"/>
    <s v="Stacey Haynes"/>
    <s v="lauren01@burton-smith.org"/>
    <n v="923030917955"/>
    <x v="6"/>
    <s v="Pakistan"/>
    <x v="0"/>
    <n v="1"/>
    <n v="14575"/>
    <n v="14575"/>
    <x v="0"/>
    <x v="0"/>
    <x v="1"/>
  </r>
  <r>
    <s v="PK-101860"/>
    <x v="168"/>
    <s v="James Johnson"/>
    <s v="wilkersonwilliam@hotmail.com"/>
    <n v="923231533350"/>
    <x v="5"/>
    <s v="Pakistan"/>
    <x v="0"/>
    <n v="5"/>
    <n v="2431"/>
    <n v="12155"/>
    <x v="4"/>
    <x v="2"/>
    <x v="3"/>
  </r>
  <r>
    <s v="PK-101861"/>
    <x v="128"/>
    <s v="Mr. Rickey Adams"/>
    <s v="smithstephanie@rocha.info"/>
    <n v="923311231166"/>
    <x v="7"/>
    <s v="Pakistan"/>
    <x v="2"/>
    <n v="5"/>
    <n v="1716"/>
    <n v="8580"/>
    <x v="0"/>
    <x v="1"/>
    <x v="3"/>
  </r>
  <r>
    <s v="PK-101862"/>
    <x v="237"/>
    <s v="Christopher Williams"/>
    <s v="ischultz@mayo.info"/>
    <n v="923492707217"/>
    <x v="2"/>
    <s v="Pakistan"/>
    <x v="4"/>
    <n v="3"/>
    <n v="12035"/>
    <n v="36105"/>
    <x v="3"/>
    <x v="7"/>
    <x v="3"/>
  </r>
  <r>
    <s v="PK-101863"/>
    <x v="345"/>
    <s v="Carlos Murray"/>
    <s v="pclark@ferguson-turner.info"/>
    <n v="923403280603"/>
    <x v="0"/>
    <s v="Pakistan"/>
    <x v="4"/>
    <n v="2"/>
    <n v="5479"/>
    <n v="10958"/>
    <x v="2"/>
    <x v="1"/>
    <x v="0"/>
  </r>
  <r>
    <s v="PK-101864"/>
    <x v="148"/>
    <s v="Ronnie Rivas"/>
    <s v="wfrost@gmail.com"/>
    <n v="923265421139"/>
    <x v="1"/>
    <s v="Pakistan"/>
    <x v="1"/>
    <n v="1"/>
    <n v="13683"/>
    <n v="13683"/>
    <x v="2"/>
    <x v="6"/>
    <x v="0"/>
  </r>
  <r>
    <s v="PK-101865"/>
    <x v="166"/>
    <s v="Timothy Burns"/>
    <s v="frances48@moore.org"/>
    <n v="923413580742"/>
    <x v="2"/>
    <s v="Pakistan"/>
    <x v="1"/>
    <n v="2"/>
    <n v="2830"/>
    <n v="5660"/>
    <x v="0"/>
    <x v="6"/>
    <x v="2"/>
  </r>
  <r>
    <s v="PK-101866"/>
    <x v="2"/>
    <s v="Martha Johnson"/>
    <s v="sandra86@gregory.com"/>
    <n v="923477510639"/>
    <x v="9"/>
    <s v="Pakistan"/>
    <x v="2"/>
    <n v="2"/>
    <n v="4998"/>
    <n v="9996"/>
    <x v="1"/>
    <x v="1"/>
    <x v="3"/>
  </r>
  <r>
    <s v="PK-101867"/>
    <x v="14"/>
    <s v="Nathaniel Cole"/>
    <s v="richard52@hotmail.com"/>
    <n v="923171973037"/>
    <x v="8"/>
    <s v="Pakistan"/>
    <x v="5"/>
    <n v="2"/>
    <n v="10032"/>
    <n v="20064"/>
    <x v="4"/>
    <x v="6"/>
    <x v="0"/>
  </r>
  <r>
    <s v="PK-101868"/>
    <x v="315"/>
    <s v="Rachel Williams"/>
    <s v="pbrown@perez-everett.com"/>
    <n v="923390672215"/>
    <x v="1"/>
    <s v="Pakistan"/>
    <x v="4"/>
    <n v="1"/>
    <n v="12364"/>
    <n v="12364"/>
    <x v="4"/>
    <x v="3"/>
    <x v="0"/>
  </r>
  <r>
    <s v="PK-101869"/>
    <x v="260"/>
    <s v="Russell Wilson"/>
    <s v="millerdiane@jackson.com"/>
    <n v="923488601940"/>
    <x v="4"/>
    <s v="Pakistan"/>
    <x v="1"/>
    <n v="1"/>
    <n v="10925"/>
    <n v="10925"/>
    <x v="1"/>
    <x v="7"/>
    <x v="0"/>
  </r>
  <r>
    <s v="PK-101870"/>
    <x v="330"/>
    <s v="Natasha Cox"/>
    <s v="millerdennis@hotmail.com"/>
    <n v="923488947776"/>
    <x v="1"/>
    <s v="Pakistan"/>
    <x v="1"/>
    <n v="1"/>
    <n v="5265"/>
    <n v="5265"/>
    <x v="0"/>
    <x v="6"/>
    <x v="3"/>
  </r>
  <r>
    <s v="PK-101871"/>
    <x v="256"/>
    <s v="Matthew Miller"/>
    <s v="adam85@smith-mcdonald.biz"/>
    <n v="923199742422"/>
    <x v="4"/>
    <s v="Pakistan"/>
    <x v="5"/>
    <n v="3"/>
    <n v="4163"/>
    <n v="12489"/>
    <x v="1"/>
    <x v="2"/>
    <x v="3"/>
  </r>
  <r>
    <s v="PK-101872"/>
    <x v="263"/>
    <s v="Anthony Garcia"/>
    <s v="john92@lester.net"/>
    <n v="923488528047"/>
    <x v="4"/>
    <s v="Pakistan"/>
    <x v="1"/>
    <n v="5"/>
    <n v="2082"/>
    <n v="10410"/>
    <x v="5"/>
    <x v="6"/>
    <x v="1"/>
  </r>
  <r>
    <s v="PK-101873"/>
    <x v="18"/>
    <s v="Jenna Shelton"/>
    <s v="markgomez@vargas-ayala.com"/>
    <n v="923271872692"/>
    <x v="1"/>
    <s v="Pakistan"/>
    <x v="2"/>
    <n v="3"/>
    <n v="6985"/>
    <n v="20955"/>
    <x v="3"/>
    <x v="7"/>
    <x v="1"/>
  </r>
  <r>
    <s v="PK-101874"/>
    <x v="150"/>
    <s v="Dr. Christopher Smith"/>
    <s v="johnnyanderson@wilson.com"/>
    <n v="923295588369"/>
    <x v="8"/>
    <s v="Pakistan"/>
    <x v="1"/>
    <n v="4"/>
    <n v="14213"/>
    <n v="56852"/>
    <x v="2"/>
    <x v="6"/>
    <x v="0"/>
  </r>
  <r>
    <s v="PK-101875"/>
    <x v="326"/>
    <s v="Cody Durham"/>
    <s v="christina79@williamson.com"/>
    <n v="923394134703"/>
    <x v="9"/>
    <s v="Pakistan"/>
    <x v="2"/>
    <n v="2"/>
    <n v="7588"/>
    <n v="15176"/>
    <x v="5"/>
    <x v="4"/>
    <x v="2"/>
  </r>
  <r>
    <s v="PK-101876"/>
    <x v="214"/>
    <s v="Jacob Gillespie"/>
    <s v="yhicks@hotmail.com"/>
    <n v="923429847148"/>
    <x v="3"/>
    <s v="Pakistan"/>
    <x v="2"/>
    <n v="1"/>
    <n v="4981"/>
    <n v="4981"/>
    <x v="4"/>
    <x v="1"/>
    <x v="1"/>
  </r>
  <r>
    <s v="PK-101877"/>
    <x v="108"/>
    <s v="Christy Evans"/>
    <s v="gloverelizabeth@gmail.com"/>
    <n v="923401658935"/>
    <x v="0"/>
    <s v="Pakistan"/>
    <x v="3"/>
    <n v="3"/>
    <n v="9376"/>
    <n v="28128"/>
    <x v="4"/>
    <x v="6"/>
    <x v="3"/>
  </r>
  <r>
    <s v="PK-101878"/>
    <x v="97"/>
    <s v="Jesse Li"/>
    <s v="samantha25@fuller.com"/>
    <n v="923172826581"/>
    <x v="5"/>
    <s v="Pakistan"/>
    <x v="5"/>
    <n v="5"/>
    <n v="5876"/>
    <n v="29380"/>
    <x v="4"/>
    <x v="4"/>
    <x v="1"/>
  </r>
  <r>
    <s v="PK-101879"/>
    <x v="34"/>
    <s v="Harry Ward"/>
    <s v="jamesjacob@smith.org"/>
    <n v="923017319528"/>
    <x v="8"/>
    <s v="Pakistan"/>
    <x v="4"/>
    <n v="1"/>
    <n v="6928"/>
    <n v="6928"/>
    <x v="4"/>
    <x v="5"/>
    <x v="2"/>
  </r>
  <r>
    <s v="PK-101880"/>
    <x v="276"/>
    <s v="Jennifer Pineda"/>
    <s v="austinlopez@yahoo.com"/>
    <n v="923017346427"/>
    <x v="5"/>
    <s v="Pakistan"/>
    <x v="1"/>
    <n v="5"/>
    <n v="12150"/>
    <n v="60750"/>
    <x v="2"/>
    <x v="7"/>
    <x v="1"/>
  </r>
  <r>
    <s v="PK-101881"/>
    <x v="172"/>
    <s v="Rachel Gonzalez"/>
    <s v="nathanmatthews@hotmail.com"/>
    <n v="923308779719"/>
    <x v="3"/>
    <s v="Pakistan"/>
    <x v="0"/>
    <n v="3"/>
    <n v="4475"/>
    <n v="13425"/>
    <x v="0"/>
    <x v="3"/>
    <x v="0"/>
  </r>
  <r>
    <s v="PK-101882"/>
    <x v="184"/>
    <s v="Darlene Gutierrez"/>
    <s v="granthodges@ayers.info"/>
    <n v="923236957256"/>
    <x v="7"/>
    <s v="Pakistan"/>
    <x v="1"/>
    <n v="1"/>
    <n v="8965"/>
    <n v="8965"/>
    <x v="2"/>
    <x v="7"/>
    <x v="1"/>
  </r>
  <r>
    <s v="PK-101883"/>
    <x v="217"/>
    <s v="Mr. David Phillips"/>
    <s v="benjamin07@brown.net"/>
    <n v="923145062873"/>
    <x v="8"/>
    <s v="Pakistan"/>
    <x v="0"/>
    <n v="4"/>
    <n v="4289"/>
    <n v="17156"/>
    <x v="0"/>
    <x v="0"/>
    <x v="3"/>
  </r>
  <r>
    <s v="PK-101884"/>
    <x v="122"/>
    <s v="Jeff Miller"/>
    <s v="cruzmichael@horn.com"/>
    <n v="923100581338"/>
    <x v="2"/>
    <s v="Pakistan"/>
    <x v="4"/>
    <n v="1"/>
    <n v="5097"/>
    <n v="5097"/>
    <x v="3"/>
    <x v="6"/>
    <x v="0"/>
  </r>
  <r>
    <s v="PK-101885"/>
    <x v="285"/>
    <s v="Rachel Dunlap"/>
    <s v="qperry@gmail.com"/>
    <n v="923090240082"/>
    <x v="9"/>
    <s v="Pakistan"/>
    <x v="2"/>
    <n v="5"/>
    <n v="9055"/>
    <n v="45275"/>
    <x v="4"/>
    <x v="0"/>
    <x v="1"/>
  </r>
  <r>
    <s v="PK-101886"/>
    <x v="233"/>
    <s v="Patrick Reed"/>
    <s v="travis59@rowe.info"/>
    <n v="923473820059"/>
    <x v="2"/>
    <s v="Pakistan"/>
    <x v="4"/>
    <n v="3"/>
    <n v="10569"/>
    <n v="31707"/>
    <x v="2"/>
    <x v="1"/>
    <x v="1"/>
  </r>
  <r>
    <s v="PK-101887"/>
    <x v="303"/>
    <s v="Susan Johnson"/>
    <s v="kyleroach@hotmail.com"/>
    <n v="923021106789"/>
    <x v="5"/>
    <s v="Pakistan"/>
    <x v="1"/>
    <n v="3"/>
    <n v="4024"/>
    <n v="12072"/>
    <x v="4"/>
    <x v="5"/>
    <x v="1"/>
  </r>
  <r>
    <s v="PK-101888"/>
    <x v="358"/>
    <s v="Laurie Clayton"/>
    <s v="shawn07@anderson.com"/>
    <n v="923392285166"/>
    <x v="9"/>
    <s v="Pakistan"/>
    <x v="1"/>
    <n v="4"/>
    <n v="4053"/>
    <n v="16212"/>
    <x v="5"/>
    <x v="0"/>
    <x v="1"/>
  </r>
  <r>
    <s v="PK-101889"/>
    <x v="76"/>
    <s v="Margaret Campbell"/>
    <s v="alexismcneil@evans.com"/>
    <n v="923389353922"/>
    <x v="6"/>
    <s v="Pakistan"/>
    <x v="1"/>
    <n v="4"/>
    <n v="14835"/>
    <n v="59340"/>
    <x v="4"/>
    <x v="0"/>
    <x v="3"/>
  </r>
  <r>
    <s v="PK-101890"/>
    <x v="189"/>
    <s v="Steven Clark"/>
    <s v="alanpatterson@nelson.org"/>
    <n v="923487195828"/>
    <x v="8"/>
    <s v="Pakistan"/>
    <x v="4"/>
    <n v="1"/>
    <n v="11793"/>
    <n v="11793"/>
    <x v="5"/>
    <x v="7"/>
    <x v="0"/>
  </r>
  <r>
    <s v="PK-101891"/>
    <x v="239"/>
    <s v="Wanda Hale"/>
    <s v="mrobinson@hotmail.com"/>
    <n v="923265119991"/>
    <x v="4"/>
    <s v="Pakistan"/>
    <x v="5"/>
    <n v="1"/>
    <n v="3577"/>
    <n v="3577"/>
    <x v="4"/>
    <x v="2"/>
    <x v="2"/>
  </r>
  <r>
    <s v="PK-101892"/>
    <x v="113"/>
    <s v="Julie Banks"/>
    <s v="oolson@buchanan.com"/>
    <n v="923374649370"/>
    <x v="8"/>
    <s v="Pakistan"/>
    <x v="2"/>
    <n v="3"/>
    <n v="4869"/>
    <n v="14607"/>
    <x v="5"/>
    <x v="0"/>
    <x v="2"/>
  </r>
  <r>
    <s v="PK-101893"/>
    <x v="315"/>
    <s v="Ashley Craig"/>
    <s v="mariahaynes@yahoo.com"/>
    <n v="923212832305"/>
    <x v="9"/>
    <s v="Pakistan"/>
    <x v="2"/>
    <n v="2"/>
    <n v="10342"/>
    <n v="20684"/>
    <x v="5"/>
    <x v="5"/>
    <x v="2"/>
  </r>
  <r>
    <s v="PK-101894"/>
    <x v="174"/>
    <s v="Austin Juarez"/>
    <s v="sandovaltina@hall-kirby.com"/>
    <n v="923368955987"/>
    <x v="4"/>
    <s v="Pakistan"/>
    <x v="0"/>
    <n v="5"/>
    <n v="9143"/>
    <n v="45715"/>
    <x v="3"/>
    <x v="4"/>
    <x v="3"/>
  </r>
  <r>
    <s v="PK-101895"/>
    <x v="69"/>
    <s v="Laurie Davis"/>
    <s v="esmith@robinson.org"/>
    <n v="923070051430"/>
    <x v="9"/>
    <s v="Pakistan"/>
    <x v="0"/>
    <n v="2"/>
    <n v="14271"/>
    <n v="28542"/>
    <x v="5"/>
    <x v="6"/>
    <x v="2"/>
  </r>
  <r>
    <s v="PK-101896"/>
    <x v="362"/>
    <s v="Christopher Spears"/>
    <s v="vthompson@nguyen-mitchell.com"/>
    <n v="923047700764"/>
    <x v="8"/>
    <s v="Pakistan"/>
    <x v="2"/>
    <n v="3"/>
    <n v="8426"/>
    <n v="25278"/>
    <x v="2"/>
    <x v="2"/>
    <x v="0"/>
  </r>
  <r>
    <s v="PK-101897"/>
    <x v="195"/>
    <s v="Barbara Boyer"/>
    <s v="cindyschmidt@gmail.com"/>
    <n v="923461574730"/>
    <x v="5"/>
    <s v="Pakistan"/>
    <x v="5"/>
    <n v="2"/>
    <n v="5318"/>
    <n v="10636"/>
    <x v="0"/>
    <x v="1"/>
    <x v="2"/>
  </r>
  <r>
    <s v="PK-101898"/>
    <x v="7"/>
    <s v="Scott Delgado"/>
    <s v="zhernandez@montgomery.com"/>
    <n v="923052431995"/>
    <x v="0"/>
    <s v="Pakistan"/>
    <x v="0"/>
    <n v="1"/>
    <n v="10555"/>
    <n v="10555"/>
    <x v="5"/>
    <x v="5"/>
    <x v="0"/>
  </r>
  <r>
    <s v="PK-101899"/>
    <x v="241"/>
    <s v="Stacey Smith"/>
    <s v="crobinson@swanson.net"/>
    <n v="923040764810"/>
    <x v="0"/>
    <s v="Pakistan"/>
    <x v="2"/>
    <n v="5"/>
    <n v="10604"/>
    <n v="53020"/>
    <x v="2"/>
    <x v="3"/>
    <x v="3"/>
  </r>
  <r>
    <s v="PK-101900"/>
    <x v="126"/>
    <s v="Chad Lewis"/>
    <s v="johnsonnancy@livingston.com"/>
    <n v="923334353488"/>
    <x v="4"/>
    <s v="Pakistan"/>
    <x v="0"/>
    <n v="5"/>
    <n v="8502"/>
    <n v="42510"/>
    <x v="5"/>
    <x v="1"/>
    <x v="0"/>
  </r>
  <r>
    <s v="PK-101901"/>
    <x v="248"/>
    <s v="Anna Garza"/>
    <s v="yfuller@yahoo.com"/>
    <n v="923202953062"/>
    <x v="7"/>
    <s v="Pakistan"/>
    <x v="0"/>
    <n v="4"/>
    <n v="6063"/>
    <n v="24252"/>
    <x v="1"/>
    <x v="0"/>
    <x v="1"/>
  </r>
  <r>
    <s v="PK-101902"/>
    <x v="278"/>
    <s v="Kimberly Greene"/>
    <s v="howardespinoza@kelley-morgan.com"/>
    <n v="923123292701"/>
    <x v="0"/>
    <s v="Pakistan"/>
    <x v="2"/>
    <n v="5"/>
    <n v="10202"/>
    <n v="51010"/>
    <x v="5"/>
    <x v="1"/>
    <x v="3"/>
  </r>
  <r>
    <s v="PK-101903"/>
    <x v="41"/>
    <s v="John Wells"/>
    <s v="raymondstephens@yahoo.com"/>
    <n v="923152269944"/>
    <x v="6"/>
    <s v="Pakistan"/>
    <x v="1"/>
    <n v="2"/>
    <n v="6245"/>
    <n v="12490"/>
    <x v="1"/>
    <x v="4"/>
    <x v="3"/>
  </r>
  <r>
    <s v="PK-101904"/>
    <x v="165"/>
    <s v="Kristen Evans DDS"/>
    <s v="thomas40@taylor-chavez.com"/>
    <n v="923184863986"/>
    <x v="4"/>
    <s v="Pakistan"/>
    <x v="1"/>
    <n v="5"/>
    <n v="12896"/>
    <n v="64480"/>
    <x v="5"/>
    <x v="7"/>
    <x v="3"/>
  </r>
  <r>
    <s v="PK-101905"/>
    <x v="0"/>
    <s v="Francisco Clark"/>
    <s v="toddreese@rich.net"/>
    <n v="923080880972"/>
    <x v="0"/>
    <s v="Pakistan"/>
    <x v="1"/>
    <n v="5"/>
    <n v="2451"/>
    <n v="12255"/>
    <x v="5"/>
    <x v="7"/>
    <x v="0"/>
  </r>
  <r>
    <s v="PK-101906"/>
    <x v="103"/>
    <s v="Whitney Padilla"/>
    <s v="rebecca71@gmail.com"/>
    <n v="923204052562"/>
    <x v="6"/>
    <s v="Pakistan"/>
    <x v="2"/>
    <n v="1"/>
    <n v="1485"/>
    <n v="1485"/>
    <x v="5"/>
    <x v="6"/>
    <x v="0"/>
  </r>
  <r>
    <s v="PK-101907"/>
    <x v="164"/>
    <s v="Michael Morrison"/>
    <s v="nicholasthomas@hotmail.com"/>
    <n v="923246257094"/>
    <x v="7"/>
    <s v="Pakistan"/>
    <x v="5"/>
    <n v="4"/>
    <n v="9020"/>
    <n v="36080"/>
    <x v="5"/>
    <x v="5"/>
    <x v="1"/>
  </r>
  <r>
    <s v="PK-101908"/>
    <x v="314"/>
    <s v="Donald Flores"/>
    <s v="tyler96@mathis-tyler.com"/>
    <n v="923286030624"/>
    <x v="1"/>
    <s v="Pakistan"/>
    <x v="5"/>
    <n v="4"/>
    <n v="12301"/>
    <n v="49204"/>
    <x v="1"/>
    <x v="5"/>
    <x v="1"/>
  </r>
  <r>
    <s v="PK-101909"/>
    <x v="108"/>
    <s v="Cynthia Steele"/>
    <s v="gonzalezsara@gmail.com"/>
    <n v="923493443053"/>
    <x v="8"/>
    <s v="Pakistan"/>
    <x v="2"/>
    <n v="4"/>
    <n v="7558"/>
    <n v="30232"/>
    <x v="1"/>
    <x v="6"/>
    <x v="3"/>
  </r>
  <r>
    <s v="PK-101910"/>
    <x v="52"/>
    <s v="Mary Carpenter"/>
    <s v="toddweiss@horton.com"/>
    <n v="923301816133"/>
    <x v="3"/>
    <s v="Pakistan"/>
    <x v="3"/>
    <n v="5"/>
    <n v="6851"/>
    <n v="34255"/>
    <x v="2"/>
    <x v="1"/>
    <x v="0"/>
  </r>
  <r>
    <s v="PK-101911"/>
    <x v="219"/>
    <s v="Matthew Johnson"/>
    <s v="wfowler@taylor.net"/>
    <n v="923467801154"/>
    <x v="8"/>
    <s v="Pakistan"/>
    <x v="3"/>
    <n v="4"/>
    <n v="10524"/>
    <n v="42096"/>
    <x v="2"/>
    <x v="5"/>
    <x v="2"/>
  </r>
  <r>
    <s v="PK-101912"/>
    <x v="98"/>
    <s v="George Williams"/>
    <s v="terri49@hotmail.com"/>
    <n v="923394395829"/>
    <x v="5"/>
    <s v="Pakistan"/>
    <x v="1"/>
    <n v="1"/>
    <n v="6319"/>
    <n v="6319"/>
    <x v="1"/>
    <x v="4"/>
    <x v="2"/>
  </r>
  <r>
    <s v="PK-101913"/>
    <x v="305"/>
    <s v="April Daniels"/>
    <s v="gabriellaramirez@yahoo.com"/>
    <n v="923159053110"/>
    <x v="2"/>
    <s v="Pakistan"/>
    <x v="5"/>
    <n v="5"/>
    <n v="1045"/>
    <n v="5225"/>
    <x v="3"/>
    <x v="5"/>
    <x v="1"/>
  </r>
  <r>
    <s v="PK-101914"/>
    <x v="129"/>
    <s v="Lauren Snyder"/>
    <s v="vincentsuarez@gmail.com"/>
    <n v="923305241179"/>
    <x v="0"/>
    <s v="Pakistan"/>
    <x v="5"/>
    <n v="2"/>
    <n v="5607"/>
    <n v="11214"/>
    <x v="4"/>
    <x v="1"/>
    <x v="0"/>
  </r>
  <r>
    <s v="PK-101915"/>
    <x v="308"/>
    <s v="Edwin Becker"/>
    <s v="mariomiller@yahoo.com"/>
    <n v="923375145806"/>
    <x v="7"/>
    <s v="Pakistan"/>
    <x v="5"/>
    <n v="3"/>
    <n v="7527"/>
    <n v="22581"/>
    <x v="1"/>
    <x v="6"/>
    <x v="1"/>
  </r>
  <r>
    <s v="PK-101916"/>
    <x v="310"/>
    <s v="Dustin Ray"/>
    <s v="russellmichael@yahoo.com"/>
    <n v="923099837125"/>
    <x v="9"/>
    <s v="Pakistan"/>
    <x v="0"/>
    <n v="3"/>
    <n v="7934"/>
    <n v="23802"/>
    <x v="4"/>
    <x v="0"/>
    <x v="0"/>
  </r>
  <r>
    <s v="PK-101917"/>
    <x v="280"/>
    <s v="Marissa Young"/>
    <s v="debra45@hotmail.com"/>
    <n v="923379290520"/>
    <x v="1"/>
    <s v="Pakistan"/>
    <x v="2"/>
    <n v="1"/>
    <n v="1924"/>
    <n v="1924"/>
    <x v="1"/>
    <x v="0"/>
    <x v="1"/>
  </r>
  <r>
    <s v="PK-101918"/>
    <x v="47"/>
    <s v="Raymond Banks"/>
    <s v="beckysanchez@nelson-blevins.com"/>
    <n v="923410112221"/>
    <x v="8"/>
    <s v="Pakistan"/>
    <x v="2"/>
    <n v="5"/>
    <n v="10382"/>
    <n v="51910"/>
    <x v="2"/>
    <x v="0"/>
    <x v="2"/>
  </r>
  <r>
    <s v="PK-101919"/>
    <x v="248"/>
    <s v="Evelyn Wilson"/>
    <s v="maryjohnson@yahoo.com"/>
    <n v="923083170757"/>
    <x v="0"/>
    <s v="Pakistan"/>
    <x v="3"/>
    <n v="1"/>
    <n v="4457"/>
    <n v="4457"/>
    <x v="3"/>
    <x v="3"/>
    <x v="3"/>
  </r>
  <r>
    <s v="PK-101920"/>
    <x v="325"/>
    <s v="Richard Jones"/>
    <s v="brianferguson@wilson-huber.com"/>
    <n v="923336837876"/>
    <x v="6"/>
    <s v="Pakistan"/>
    <x v="5"/>
    <n v="5"/>
    <n v="13708"/>
    <n v="68540"/>
    <x v="3"/>
    <x v="3"/>
    <x v="2"/>
  </r>
  <r>
    <s v="PK-101921"/>
    <x v="63"/>
    <s v="Kristen Anderson"/>
    <s v="hboyer@harrison.com"/>
    <n v="923434830351"/>
    <x v="4"/>
    <s v="Pakistan"/>
    <x v="2"/>
    <n v="5"/>
    <n v="1261"/>
    <n v="6305"/>
    <x v="4"/>
    <x v="4"/>
    <x v="3"/>
  </r>
  <r>
    <s v="PK-101922"/>
    <x v="174"/>
    <s v="Jennifer Mcmahon"/>
    <s v="joseph80@smith.org"/>
    <n v="923493254512"/>
    <x v="0"/>
    <s v="Pakistan"/>
    <x v="0"/>
    <n v="2"/>
    <n v="6713"/>
    <n v="13426"/>
    <x v="4"/>
    <x v="1"/>
    <x v="2"/>
  </r>
  <r>
    <s v="PK-101923"/>
    <x v="84"/>
    <s v="Virginia Bullock"/>
    <s v="kimrodriguez@hotmail.com"/>
    <n v="923296621155"/>
    <x v="5"/>
    <s v="Pakistan"/>
    <x v="5"/>
    <n v="4"/>
    <n v="7996"/>
    <n v="31984"/>
    <x v="5"/>
    <x v="4"/>
    <x v="3"/>
  </r>
  <r>
    <s v="PK-101924"/>
    <x v="164"/>
    <s v="Annette Barnes"/>
    <s v="eric42@yahoo.com"/>
    <n v="923441245512"/>
    <x v="9"/>
    <s v="Pakistan"/>
    <x v="5"/>
    <n v="3"/>
    <n v="14943"/>
    <n v="44829"/>
    <x v="5"/>
    <x v="6"/>
    <x v="2"/>
  </r>
  <r>
    <s v="PK-101925"/>
    <x v="144"/>
    <s v="Mary Carpenter"/>
    <s v="william78@hotmail.com"/>
    <n v="923482924678"/>
    <x v="3"/>
    <s v="Pakistan"/>
    <x v="2"/>
    <n v="4"/>
    <n v="3954"/>
    <n v="15816"/>
    <x v="1"/>
    <x v="1"/>
    <x v="1"/>
  </r>
  <r>
    <s v="PK-101926"/>
    <x v="363"/>
    <s v="Theresa Nelson"/>
    <s v="jeanharris@gmail.com"/>
    <n v="923047104533"/>
    <x v="2"/>
    <s v="Pakistan"/>
    <x v="1"/>
    <n v="5"/>
    <n v="10632"/>
    <n v="53160"/>
    <x v="0"/>
    <x v="4"/>
    <x v="2"/>
  </r>
  <r>
    <s v="PK-101927"/>
    <x v="352"/>
    <s v="Danielle Castillo"/>
    <s v="wwheeler@perez-mcintosh.com"/>
    <n v="923291209504"/>
    <x v="0"/>
    <s v="Pakistan"/>
    <x v="0"/>
    <n v="1"/>
    <n v="3149"/>
    <n v="3149"/>
    <x v="5"/>
    <x v="2"/>
    <x v="3"/>
  </r>
  <r>
    <s v="PK-101928"/>
    <x v="52"/>
    <s v="Lindsey Miranda"/>
    <s v="david39@palmer.com"/>
    <n v="923463336793"/>
    <x v="4"/>
    <s v="Pakistan"/>
    <x v="1"/>
    <n v="3"/>
    <n v="1002"/>
    <n v="3006"/>
    <x v="0"/>
    <x v="2"/>
    <x v="1"/>
  </r>
  <r>
    <s v="PK-101929"/>
    <x v="318"/>
    <s v="Nancy Phillips"/>
    <s v="hillbradley@yahoo.com"/>
    <n v="923347757306"/>
    <x v="2"/>
    <s v="Pakistan"/>
    <x v="2"/>
    <n v="3"/>
    <n v="2360"/>
    <n v="7080"/>
    <x v="3"/>
    <x v="2"/>
    <x v="2"/>
  </r>
  <r>
    <s v="PK-101930"/>
    <x v="310"/>
    <s v="Matthew Ortiz"/>
    <s v="jason44@yahoo.com"/>
    <n v="923460011623"/>
    <x v="1"/>
    <s v="Pakistan"/>
    <x v="1"/>
    <n v="5"/>
    <n v="2422"/>
    <n v="12110"/>
    <x v="1"/>
    <x v="4"/>
    <x v="3"/>
  </r>
  <r>
    <s v="PK-101931"/>
    <x v="326"/>
    <s v="Elizabeth Maldonado"/>
    <s v="hfreeman@yahoo.com"/>
    <n v="923138297417"/>
    <x v="4"/>
    <s v="Pakistan"/>
    <x v="1"/>
    <n v="4"/>
    <n v="12422"/>
    <n v="49688"/>
    <x v="4"/>
    <x v="4"/>
    <x v="2"/>
  </r>
  <r>
    <s v="PK-101932"/>
    <x v="218"/>
    <s v="Mason Brown"/>
    <s v="sandersjohn@martin.com"/>
    <n v="923326767468"/>
    <x v="0"/>
    <s v="Pakistan"/>
    <x v="5"/>
    <n v="4"/>
    <n v="1030"/>
    <n v="4120"/>
    <x v="2"/>
    <x v="6"/>
    <x v="0"/>
  </r>
  <r>
    <s v="PK-101933"/>
    <x v="344"/>
    <s v="Samantha Rodriguez MD"/>
    <s v="pconway@hotmail.com"/>
    <n v="923462146691"/>
    <x v="1"/>
    <s v="Pakistan"/>
    <x v="1"/>
    <n v="2"/>
    <n v="14514"/>
    <n v="29028"/>
    <x v="3"/>
    <x v="2"/>
    <x v="0"/>
  </r>
  <r>
    <s v="PK-101934"/>
    <x v="70"/>
    <s v="Ronald Gordon"/>
    <s v="veronicaparker@schmidt.net"/>
    <n v="923080611519"/>
    <x v="1"/>
    <s v="Pakistan"/>
    <x v="1"/>
    <n v="5"/>
    <n v="14326"/>
    <n v="71630"/>
    <x v="4"/>
    <x v="0"/>
    <x v="2"/>
  </r>
  <r>
    <s v="PK-101935"/>
    <x v="356"/>
    <s v="Courtney Sparks"/>
    <s v="rebecca02@singleton.info"/>
    <n v="923200231945"/>
    <x v="9"/>
    <s v="Pakistan"/>
    <x v="5"/>
    <n v="2"/>
    <n v="8530"/>
    <n v="17060"/>
    <x v="1"/>
    <x v="7"/>
    <x v="2"/>
  </r>
  <r>
    <s v="PK-101936"/>
    <x v="237"/>
    <s v="Thomas Robertson"/>
    <s v="tstewart@hotmail.com"/>
    <n v="923104980789"/>
    <x v="4"/>
    <s v="Pakistan"/>
    <x v="5"/>
    <n v="3"/>
    <n v="12792"/>
    <n v="38376"/>
    <x v="3"/>
    <x v="0"/>
    <x v="2"/>
  </r>
  <r>
    <s v="PK-101937"/>
    <x v="109"/>
    <s v="Brittany Nichols"/>
    <s v="qadams@franklin.info"/>
    <n v="923404056358"/>
    <x v="8"/>
    <s v="Pakistan"/>
    <x v="5"/>
    <n v="1"/>
    <n v="4515"/>
    <n v="4515"/>
    <x v="1"/>
    <x v="3"/>
    <x v="1"/>
  </r>
  <r>
    <s v="PK-101938"/>
    <x v="174"/>
    <s v="Paula Joseph"/>
    <s v="jacksonmatthew@yahoo.com"/>
    <n v="923489785329"/>
    <x v="8"/>
    <s v="Pakistan"/>
    <x v="4"/>
    <n v="1"/>
    <n v="3552"/>
    <n v="3552"/>
    <x v="0"/>
    <x v="7"/>
    <x v="0"/>
  </r>
  <r>
    <s v="PK-101939"/>
    <x v="325"/>
    <s v="Alyssa Kelly"/>
    <s v="mark95@gmail.com"/>
    <n v="923146331458"/>
    <x v="4"/>
    <s v="Pakistan"/>
    <x v="2"/>
    <n v="4"/>
    <n v="12767"/>
    <n v="51068"/>
    <x v="4"/>
    <x v="1"/>
    <x v="1"/>
  </r>
  <r>
    <s v="PK-101940"/>
    <x v="154"/>
    <s v="Shannon Carlson"/>
    <s v="charlestapia@sandoval.com"/>
    <n v="923361498544"/>
    <x v="2"/>
    <s v="Pakistan"/>
    <x v="0"/>
    <n v="2"/>
    <n v="1024"/>
    <n v="2048"/>
    <x v="1"/>
    <x v="2"/>
    <x v="1"/>
  </r>
  <r>
    <s v="PK-101941"/>
    <x v="103"/>
    <s v="James Sanchez"/>
    <s v="patrickshawna@gmail.com"/>
    <n v="923199611042"/>
    <x v="9"/>
    <s v="Pakistan"/>
    <x v="1"/>
    <n v="4"/>
    <n v="10289"/>
    <n v="41156"/>
    <x v="2"/>
    <x v="2"/>
    <x v="0"/>
  </r>
  <r>
    <s v="PK-101942"/>
    <x v="39"/>
    <s v="Mariah Carr"/>
    <s v="pchristensen@parsons.com"/>
    <n v="923012423948"/>
    <x v="4"/>
    <s v="Pakistan"/>
    <x v="5"/>
    <n v="5"/>
    <n v="12462"/>
    <n v="62310"/>
    <x v="0"/>
    <x v="5"/>
    <x v="3"/>
  </r>
  <r>
    <s v="PK-101943"/>
    <x v="113"/>
    <s v="Anne Baker"/>
    <s v="williamedwards@hotmail.com"/>
    <n v="923079835186"/>
    <x v="7"/>
    <s v="Pakistan"/>
    <x v="2"/>
    <n v="4"/>
    <n v="10694"/>
    <n v="42776"/>
    <x v="5"/>
    <x v="0"/>
    <x v="2"/>
  </r>
  <r>
    <s v="PK-101944"/>
    <x v="279"/>
    <s v="Anna Anderson MD"/>
    <s v="ubutler@gmail.com"/>
    <n v="923077025390"/>
    <x v="7"/>
    <s v="Pakistan"/>
    <x v="3"/>
    <n v="3"/>
    <n v="6555"/>
    <n v="19665"/>
    <x v="1"/>
    <x v="5"/>
    <x v="2"/>
  </r>
  <r>
    <s v="PK-101945"/>
    <x v="188"/>
    <s v="Curtis Roberts"/>
    <s v="gdaugherty@lewis.info"/>
    <n v="923306365372"/>
    <x v="1"/>
    <s v="Pakistan"/>
    <x v="5"/>
    <n v="2"/>
    <n v="1876"/>
    <n v="3752"/>
    <x v="1"/>
    <x v="7"/>
    <x v="3"/>
  </r>
  <r>
    <s v="PK-101946"/>
    <x v="35"/>
    <s v="Christopher Turner"/>
    <s v="kevinsmith@mueller.com"/>
    <n v="923312432880"/>
    <x v="2"/>
    <s v="Pakistan"/>
    <x v="3"/>
    <n v="5"/>
    <n v="2325"/>
    <n v="11625"/>
    <x v="2"/>
    <x v="4"/>
    <x v="3"/>
  </r>
  <r>
    <s v="PK-101947"/>
    <x v="305"/>
    <s v="Patricia Gomez"/>
    <s v="vgraham@rogers.com"/>
    <n v="923109229502"/>
    <x v="7"/>
    <s v="Pakistan"/>
    <x v="3"/>
    <n v="2"/>
    <n v="13940"/>
    <n v="27880"/>
    <x v="2"/>
    <x v="1"/>
    <x v="0"/>
  </r>
  <r>
    <s v="PK-101948"/>
    <x v="58"/>
    <s v="Christine Palmer"/>
    <s v="phelpssusan@yahoo.com"/>
    <n v="923215676655"/>
    <x v="0"/>
    <s v="Pakistan"/>
    <x v="2"/>
    <n v="1"/>
    <n v="10934"/>
    <n v="10934"/>
    <x v="5"/>
    <x v="4"/>
    <x v="2"/>
  </r>
  <r>
    <s v="PK-101949"/>
    <x v="201"/>
    <s v="Brittany Williams"/>
    <s v="brianmccullough@clayton-forbes.org"/>
    <n v="923118554609"/>
    <x v="7"/>
    <s v="Pakistan"/>
    <x v="3"/>
    <n v="2"/>
    <n v="9062"/>
    <n v="18124"/>
    <x v="0"/>
    <x v="5"/>
    <x v="1"/>
  </r>
  <r>
    <s v="PK-101950"/>
    <x v="325"/>
    <s v="Julie Mcdonald"/>
    <s v="taylorpierce@gmail.com"/>
    <n v="923355554895"/>
    <x v="9"/>
    <s v="Pakistan"/>
    <x v="4"/>
    <n v="4"/>
    <n v="7528"/>
    <n v="30112"/>
    <x v="3"/>
    <x v="7"/>
    <x v="3"/>
  </r>
  <r>
    <s v="PK-101951"/>
    <x v="38"/>
    <s v="Karl Molina"/>
    <s v="scottbishop@hotmail.com"/>
    <n v="923090563123"/>
    <x v="0"/>
    <s v="Pakistan"/>
    <x v="2"/>
    <n v="1"/>
    <n v="12540"/>
    <n v="12540"/>
    <x v="2"/>
    <x v="4"/>
    <x v="2"/>
  </r>
  <r>
    <s v="PK-101952"/>
    <x v="129"/>
    <s v="Debbie Edwards"/>
    <s v="pfarley@costa.com"/>
    <n v="923410065370"/>
    <x v="6"/>
    <s v="Pakistan"/>
    <x v="2"/>
    <n v="1"/>
    <n v="12611"/>
    <n v="12611"/>
    <x v="5"/>
    <x v="2"/>
    <x v="0"/>
  </r>
  <r>
    <s v="PK-101953"/>
    <x v="88"/>
    <s v="Steven Davis"/>
    <s v="steven03@yahoo.com"/>
    <n v="923408651301"/>
    <x v="2"/>
    <s v="Pakistan"/>
    <x v="2"/>
    <n v="4"/>
    <n v="12823"/>
    <n v="51292"/>
    <x v="0"/>
    <x v="0"/>
    <x v="2"/>
  </r>
  <r>
    <s v="PK-101954"/>
    <x v="280"/>
    <s v="April Griffin"/>
    <s v="ashley54@gmail.com"/>
    <n v="923207179065"/>
    <x v="1"/>
    <s v="Pakistan"/>
    <x v="4"/>
    <n v="2"/>
    <n v="5952"/>
    <n v="11904"/>
    <x v="0"/>
    <x v="3"/>
    <x v="3"/>
  </r>
  <r>
    <s v="PK-101955"/>
    <x v="332"/>
    <s v="Laura Griffin"/>
    <s v="ydorsey@gmail.com"/>
    <n v="923224604585"/>
    <x v="7"/>
    <s v="Pakistan"/>
    <x v="5"/>
    <n v="5"/>
    <n v="5155"/>
    <n v="25775"/>
    <x v="3"/>
    <x v="2"/>
    <x v="0"/>
  </r>
  <r>
    <s v="PK-101956"/>
    <x v="281"/>
    <s v="Sarah Bennett"/>
    <s v="amandacraig@cooper-johnson.info"/>
    <n v="923030292405"/>
    <x v="3"/>
    <s v="Pakistan"/>
    <x v="1"/>
    <n v="3"/>
    <n v="13617"/>
    <n v="40851"/>
    <x v="2"/>
    <x v="2"/>
    <x v="2"/>
  </r>
  <r>
    <s v="PK-101957"/>
    <x v="351"/>
    <s v="Cynthia Mack"/>
    <s v="simmonsangela@ochoa-valenzuela.com"/>
    <n v="923121074716"/>
    <x v="1"/>
    <s v="Pakistan"/>
    <x v="4"/>
    <n v="2"/>
    <n v="8989"/>
    <n v="17978"/>
    <x v="0"/>
    <x v="6"/>
    <x v="3"/>
  </r>
  <r>
    <s v="PK-101958"/>
    <x v="188"/>
    <s v="Miguel Dominguez"/>
    <s v="elizabeth34@lee-anderson.com"/>
    <n v="923347262344"/>
    <x v="6"/>
    <s v="Pakistan"/>
    <x v="1"/>
    <n v="5"/>
    <n v="11107"/>
    <n v="55535"/>
    <x v="0"/>
    <x v="6"/>
    <x v="0"/>
  </r>
  <r>
    <s v="PK-101959"/>
    <x v="336"/>
    <s v="Katelyn Lewis"/>
    <s v="edwardsholly@collins.com"/>
    <n v="923111273935"/>
    <x v="7"/>
    <s v="Pakistan"/>
    <x v="4"/>
    <n v="5"/>
    <n v="3809"/>
    <n v="19045"/>
    <x v="5"/>
    <x v="1"/>
    <x v="1"/>
  </r>
  <r>
    <s v="PK-101960"/>
    <x v="14"/>
    <s v="Jeffrey Hamilton"/>
    <s v="montgomerychristopher@gmail.com"/>
    <n v="923478773083"/>
    <x v="2"/>
    <s v="Pakistan"/>
    <x v="1"/>
    <n v="5"/>
    <n v="3183"/>
    <n v="15915"/>
    <x v="2"/>
    <x v="3"/>
    <x v="3"/>
  </r>
  <r>
    <s v="PK-101961"/>
    <x v="36"/>
    <s v="Rebecca Gardner"/>
    <s v="shannonshannon@hunter-mendoza.com"/>
    <n v="923366907457"/>
    <x v="2"/>
    <s v="Pakistan"/>
    <x v="0"/>
    <n v="2"/>
    <n v="11959"/>
    <n v="23918"/>
    <x v="4"/>
    <x v="3"/>
    <x v="1"/>
  </r>
  <r>
    <s v="PK-101962"/>
    <x v="361"/>
    <s v="Matthew Gonzalez"/>
    <s v="uzamora@edwards.info"/>
    <n v="923284629904"/>
    <x v="0"/>
    <s v="Pakistan"/>
    <x v="1"/>
    <n v="2"/>
    <n v="9335"/>
    <n v="18670"/>
    <x v="1"/>
    <x v="0"/>
    <x v="2"/>
  </r>
  <r>
    <s v="PK-101963"/>
    <x v="104"/>
    <s v="Maria Hamilton"/>
    <s v="gainesbrittany@gmail.com"/>
    <n v="923392913721"/>
    <x v="1"/>
    <s v="Pakistan"/>
    <x v="1"/>
    <n v="5"/>
    <n v="6707"/>
    <n v="33535"/>
    <x v="1"/>
    <x v="2"/>
    <x v="3"/>
  </r>
  <r>
    <s v="PK-101964"/>
    <x v="351"/>
    <s v="Chad Hull"/>
    <s v="smithjuan@gmail.com"/>
    <n v="923319983388"/>
    <x v="7"/>
    <s v="Pakistan"/>
    <x v="3"/>
    <n v="1"/>
    <n v="6088"/>
    <n v="6088"/>
    <x v="1"/>
    <x v="2"/>
    <x v="3"/>
  </r>
  <r>
    <s v="PK-101965"/>
    <x v="213"/>
    <s v="Robert Patel"/>
    <s v="xmyers@gomez-rodgers.com"/>
    <n v="923192818568"/>
    <x v="7"/>
    <s v="Pakistan"/>
    <x v="4"/>
    <n v="2"/>
    <n v="12229"/>
    <n v="24458"/>
    <x v="3"/>
    <x v="3"/>
    <x v="1"/>
  </r>
  <r>
    <s v="PK-101966"/>
    <x v="89"/>
    <s v="Tyler Leon"/>
    <s v="nicole56@hotmail.com"/>
    <n v="923248005247"/>
    <x v="0"/>
    <s v="Pakistan"/>
    <x v="3"/>
    <n v="2"/>
    <n v="8405"/>
    <n v="16810"/>
    <x v="0"/>
    <x v="5"/>
    <x v="2"/>
  </r>
  <r>
    <s v="PK-101967"/>
    <x v="336"/>
    <s v="Alexander Parker"/>
    <s v="karenbenjamin@conway.info"/>
    <n v="923093768493"/>
    <x v="0"/>
    <s v="Pakistan"/>
    <x v="2"/>
    <n v="1"/>
    <n v="12685"/>
    <n v="12685"/>
    <x v="0"/>
    <x v="3"/>
    <x v="3"/>
  </r>
  <r>
    <s v="PK-101968"/>
    <x v="6"/>
    <s v="Victoria Cruz"/>
    <s v="adamclark@peters-pitts.net"/>
    <n v="923444805877"/>
    <x v="0"/>
    <s v="Pakistan"/>
    <x v="2"/>
    <n v="1"/>
    <n v="11571"/>
    <n v="11571"/>
    <x v="2"/>
    <x v="0"/>
    <x v="2"/>
  </r>
  <r>
    <s v="PK-101969"/>
    <x v="233"/>
    <s v="Charles Turner"/>
    <s v="megan69@yahoo.com"/>
    <n v="923048361401"/>
    <x v="6"/>
    <s v="Pakistan"/>
    <x v="1"/>
    <n v="4"/>
    <n v="3878"/>
    <n v="15512"/>
    <x v="4"/>
    <x v="4"/>
    <x v="2"/>
  </r>
  <r>
    <s v="PK-101970"/>
    <x v="29"/>
    <s v="Justin House"/>
    <s v="paul15@yang.net"/>
    <n v="923248686747"/>
    <x v="5"/>
    <s v="Pakistan"/>
    <x v="3"/>
    <n v="3"/>
    <n v="8254"/>
    <n v="24762"/>
    <x v="4"/>
    <x v="1"/>
    <x v="3"/>
  </r>
  <r>
    <s v="PK-101971"/>
    <x v="29"/>
    <s v="Ashley Brooks"/>
    <s v="jacoblarson@stevenson.biz"/>
    <n v="923430781050"/>
    <x v="4"/>
    <s v="Pakistan"/>
    <x v="0"/>
    <n v="5"/>
    <n v="13053"/>
    <n v="65265"/>
    <x v="0"/>
    <x v="1"/>
    <x v="2"/>
  </r>
  <r>
    <s v="PK-101972"/>
    <x v="37"/>
    <s v="Kristina Johnston"/>
    <s v="zmalone@dixon-ibarra.com"/>
    <n v="923106253399"/>
    <x v="5"/>
    <s v="Pakistan"/>
    <x v="5"/>
    <n v="1"/>
    <n v="11252"/>
    <n v="11252"/>
    <x v="2"/>
    <x v="5"/>
    <x v="3"/>
  </r>
  <r>
    <s v="PK-101973"/>
    <x v="33"/>
    <s v="Debra Morales"/>
    <s v="erichorne@ortiz-walker.com"/>
    <n v="923096848289"/>
    <x v="8"/>
    <s v="Pakistan"/>
    <x v="0"/>
    <n v="3"/>
    <n v="7008"/>
    <n v="21024"/>
    <x v="5"/>
    <x v="6"/>
    <x v="0"/>
  </r>
  <r>
    <s v="PK-101974"/>
    <x v="294"/>
    <s v="Christopher Bond MD"/>
    <s v="lcruz@gibson-miller.org"/>
    <n v="923413941939"/>
    <x v="1"/>
    <s v="Pakistan"/>
    <x v="3"/>
    <n v="4"/>
    <n v="7735"/>
    <n v="30940"/>
    <x v="3"/>
    <x v="3"/>
    <x v="2"/>
  </r>
  <r>
    <s v="PK-101975"/>
    <x v="39"/>
    <s v="Andrea Burns"/>
    <s v="jessica53@hotmail.com"/>
    <n v="923066743220"/>
    <x v="4"/>
    <s v="Pakistan"/>
    <x v="3"/>
    <n v="3"/>
    <n v="12788"/>
    <n v="38364"/>
    <x v="4"/>
    <x v="1"/>
    <x v="3"/>
  </r>
  <r>
    <s v="PK-101976"/>
    <x v="5"/>
    <s v="Courtney Lewis"/>
    <s v="joshuahernandez@baxter.com"/>
    <n v="923347480295"/>
    <x v="1"/>
    <s v="Pakistan"/>
    <x v="2"/>
    <n v="2"/>
    <n v="6687"/>
    <n v="13374"/>
    <x v="0"/>
    <x v="0"/>
    <x v="3"/>
  </r>
  <r>
    <s v="PK-101977"/>
    <x v="230"/>
    <s v="Antonio Rodriguez"/>
    <s v="cookjimmy@hotmail.com"/>
    <n v="923054824027"/>
    <x v="5"/>
    <s v="Pakistan"/>
    <x v="5"/>
    <n v="2"/>
    <n v="3356"/>
    <n v="6712"/>
    <x v="0"/>
    <x v="5"/>
    <x v="1"/>
  </r>
  <r>
    <s v="PK-101978"/>
    <x v="173"/>
    <s v="Jennifer Munoz"/>
    <s v="tina19@yahoo.com"/>
    <n v="923379892648"/>
    <x v="8"/>
    <s v="Pakistan"/>
    <x v="0"/>
    <n v="2"/>
    <n v="8589"/>
    <n v="17178"/>
    <x v="3"/>
    <x v="3"/>
    <x v="0"/>
  </r>
  <r>
    <s v="PK-101979"/>
    <x v="269"/>
    <s v="Brent Garcia"/>
    <s v="dmoore@yahoo.com"/>
    <n v="923260802824"/>
    <x v="3"/>
    <s v="Pakistan"/>
    <x v="1"/>
    <n v="1"/>
    <n v="10711"/>
    <n v="10711"/>
    <x v="5"/>
    <x v="6"/>
    <x v="0"/>
  </r>
  <r>
    <s v="PK-101980"/>
    <x v="80"/>
    <s v="Kelly Gonzalez"/>
    <s v="middletonantonio@jones-richardson.com"/>
    <n v="923163179074"/>
    <x v="9"/>
    <s v="Pakistan"/>
    <x v="0"/>
    <n v="2"/>
    <n v="11021"/>
    <n v="22042"/>
    <x v="3"/>
    <x v="1"/>
    <x v="0"/>
  </r>
  <r>
    <s v="PK-101981"/>
    <x v="38"/>
    <s v="Courtney George"/>
    <s v="michaelcoleman@hotmail.com"/>
    <n v="923112909250"/>
    <x v="5"/>
    <s v="Pakistan"/>
    <x v="2"/>
    <n v="4"/>
    <n v="1001"/>
    <n v="4004"/>
    <x v="4"/>
    <x v="1"/>
    <x v="3"/>
  </r>
  <r>
    <s v="PK-101982"/>
    <x v="229"/>
    <s v="Bryan Myers"/>
    <s v="briannasharp@byrd.com"/>
    <n v="923010469897"/>
    <x v="6"/>
    <s v="Pakistan"/>
    <x v="5"/>
    <n v="3"/>
    <n v="7266"/>
    <n v="21798"/>
    <x v="0"/>
    <x v="2"/>
    <x v="1"/>
  </r>
  <r>
    <s v="PK-101983"/>
    <x v="56"/>
    <s v="Dennis Hamilton"/>
    <s v="michael56@gmail.com"/>
    <n v="923294384423"/>
    <x v="4"/>
    <s v="Pakistan"/>
    <x v="4"/>
    <n v="5"/>
    <n v="8084"/>
    <n v="40420"/>
    <x v="4"/>
    <x v="0"/>
    <x v="3"/>
  </r>
  <r>
    <s v="PK-101984"/>
    <x v="58"/>
    <s v="Nathaniel Scott"/>
    <s v="josemiller@hotmail.com"/>
    <n v="923195953704"/>
    <x v="8"/>
    <s v="Pakistan"/>
    <x v="2"/>
    <n v="1"/>
    <n v="5925"/>
    <n v="5925"/>
    <x v="3"/>
    <x v="6"/>
    <x v="2"/>
  </r>
  <r>
    <s v="PK-101985"/>
    <x v="329"/>
    <s v="Amy Gray"/>
    <s v="vmueller@flores-gordon.com"/>
    <n v="923020665700"/>
    <x v="8"/>
    <s v="Pakistan"/>
    <x v="4"/>
    <n v="3"/>
    <n v="7530"/>
    <n v="22590"/>
    <x v="5"/>
    <x v="6"/>
    <x v="0"/>
  </r>
  <r>
    <s v="PK-101986"/>
    <x v="94"/>
    <s v="Sharon Cole"/>
    <s v="leechelsea@crosby-taylor.com"/>
    <n v="923129907525"/>
    <x v="2"/>
    <s v="Pakistan"/>
    <x v="0"/>
    <n v="3"/>
    <n v="10614"/>
    <n v="31842"/>
    <x v="3"/>
    <x v="1"/>
    <x v="1"/>
  </r>
  <r>
    <s v="PK-101987"/>
    <x v="194"/>
    <s v="Evan Griffin"/>
    <s v="stephenaguirre@stein.com"/>
    <n v="923296690885"/>
    <x v="3"/>
    <s v="Pakistan"/>
    <x v="4"/>
    <n v="4"/>
    <n v="12379"/>
    <n v="49516"/>
    <x v="5"/>
    <x v="1"/>
    <x v="0"/>
  </r>
  <r>
    <s v="PK-101988"/>
    <x v="26"/>
    <s v="Aaron Gonzales"/>
    <s v="tiffany85@gmail.com"/>
    <n v="923290886665"/>
    <x v="5"/>
    <s v="Pakistan"/>
    <x v="1"/>
    <n v="4"/>
    <n v="9178"/>
    <n v="36712"/>
    <x v="0"/>
    <x v="3"/>
    <x v="2"/>
  </r>
  <r>
    <s v="PK-101989"/>
    <x v="361"/>
    <s v="Lance Perkins"/>
    <s v="pjohnson@johnson.com"/>
    <n v="923282696643"/>
    <x v="8"/>
    <s v="Pakistan"/>
    <x v="5"/>
    <n v="2"/>
    <n v="9810"/>
    <n v="19620"/>
    <x v="0"/>
    <x v="0"/>
    <x v="1"/>
  </r>
  <r>
    <s v="PK-101990"/>
    <x v="150"/>
    <s v="Joseph Ashley"/>
    <s v="aprilbishop@gmail.com"/>
    <n v="923107666097"/>
    <x v="1"/>
    <s v="Pakistan"/>
    <x v="3"/>
    <n v="5"/>
    <n v="13788"/>
    <n v="68940"/>
    <x v="4"/>
    <x v="3"/>
    <x v="3"/>
  </r>
  <r>
    <s v="PK-101991"/>
    <x v="2"/>
    <s v="Tyler Scott"/>
    <s v="greenkelsey@vaughn-spears.net"/>
    <n v="923321128688"/>
    <x v="7"/>
    <s v="Pakistan"/>
    <x v="1"/>
    <n v="4"/>
    <n v="1272"/>
    <n v="5088"/>
    <x v="5"/>
    <x v="6"/>
    <x v="2"/>
  </r>
  <r>
    <s v="PK-101992"/>
    <x v="90"/>
    <s v="Karen Fitzpatrick"/>
    <s v="pbrown@lowe-flores.biz"/>
    <n v="923483908493"/>
    <x v="1"/>
    <s v="Pakistan"/>
    <x v="0"/>
    <n v="3"/>
    <n v="3497"/>
    <n v="10491"/>
    <x v="0"/>
    <x v="6"/>
    <x v="0"/>
  </r>
  <r>
    <s v="PK-101993"/>
    <x v="35"/>
    <s v="Jordan Hodges"/>
    <s v="bonnie68@petty.biz"/>
    <n v="923342934692"/>
    <x v="3"/>
    <s v="Pakistan"/>
    <x v="3"/>
    <n v="4"/>
    <n v="14371"/>
    <n v="57484"/>
    <x v="4"/>
    <x v="7"/>
    <x v="2"/>
  </r>
  <r>
    <s v="PK-101994"/>
    <x v="210"/>
    <s v="William Moyer"/>
    <s v="chapmanadam@smith.com"/>
    <n v="923025263916"/>
    <x v="7"/>
    <s v="Pakistan"/>
    <x v="0"/>
    <n v="3"/>
    <n v="12098"/>
    <n v="36294"/>
    <x v="1"/>
    <x v="5"/>
    <x v="3"/>
  </r>
  <r>
    <s v="PK-101995"/>
    <x v="321"/>
    <s v="Isaac Juarez"/>
    <s v="jimenezashley@gmail.com"/>
    <n v="923249859560"/>
    <x v="8"/>
    <s v="Pakistan"/>
    <x v="4"/>
    <n v="2"/>
    <n v="5651"/>
    <n v="11302"/>
    <x v="2"/>
    <x v="5"/>
    <x v="2"/>
  </r>
  <r>
    <s v="PK-101996"/>
    <x v="224"/>
    <s v="Maureen Anderson"/>
    <s v="catherinehill@gmail.com"/>
    <n v="923186038178"/>
    <x v="8"/>
    <s v="Pakistan"/>
    <x v="1"/>
    <n v="3"/>
    <n v="7881"/>
    <n v="23643"/>
    <x v="0"/>
    <x v="4"/>
    <x v="1"/>
  </r>
  <r>
    <s v="PK-101997"/>
    <x v="323"/>
    <s v="Elizabeth Keith"/>
    <s v="amy15@yahoo.com"/>
    <n v="923432438228"/>
    <x v="2"/>
    <s v="Pakistan"/>
    <x v="0"/>
    <n v="2"/>
    <n v="3316"/>
    <n v="6632"/>
    <x v="3"/>
    <x v="4"/>
    <x v="1"/>
  </r>
  <r>
    <s v="PK-101998"/>
    <x v="186"/>
    <s v="Jeremy Bell"/>
    <s v="james96@wheeler.com"/>
    <n v="923141885774"/>
    <x v="5"/>
    <s v="Pakistan"/>
    <x v="0"/>
    <n v="2"/>
    <n v="4189"/>
    <n v="8378"/>
    <x v="5"/>
    <x v="6"/>
    <x v="1"/>
  </r>
  <r>
    <s v="PK-101999"/>
    <x v="67"/>
    <s v="Thomas Evans"/>
    <s v="brandonglover@yahoo.com"/>
    <n v="923221155172"/>
    <x v="9"/>
    <s v="Pakistan"/>
    <x v="5"/>
    <n v="4"/>
    <n v="10135"/>
    <n v="40540"/>
    <x v="1"/>
    <x v="7"/>
    <x v="1"/>
  </r>
  <r>
    <s v="PK-102000"/>
    <x v="309"/>
    <s v="Mrs. Ann Jackson"/>
    <s v="carsondalton@gmail.com"/>
    <n v="923116509637"/>
    <x v="9"/>
    <s v="Pakistan"/>
    <x v="1"/>
    <n v="5"/>
    <n v="13556"/>
    <n v="67780"/>
    <x v="3"/>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C6A51-7BAE-4F4D-BF6A-F5AD198FAD7E}" name="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3:B10" firstHeaderRow="1"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showAll="0">
      <items count="11">
        <item x="5"/>
        <item x="1"/>
        <item x="0"/>
        <item x="2"/>
        <item x="7"/>
        <item x="8"/>
        <item x="4"/>
        <item x="3"/>
        <item x="6"/>
        <item x="9"/>
        <item t="default"/>
      </items>
    </pivotField>
    <pivotField showAll="0"/>
    <pivotField showAll="0">
      <items count="7">
        <item x="5"/>
        <item x="0"/>
        <item x="3"/>
        <item x="4"/>
        <item x="1"/>
        <item x="2"/>
        <item t="default"/>
      </items>
    </pivotField>
    <pivotField showAll="0"/>
    <pivotField showAll="0"/>
    <pivotField dataField="1" showAll="0"/>
    <pivotField axis="axisRow" showAll="0">
      <items count="7">
        <item x="3"/>
        <item x="2"/>
        <item x="0"/>
        <item x="4"/>
        <item x="1"/>
        <item x="5"/>
        <item t="default"/>
      </items>
    </pivotField>
    <pivotField showAll="0">
      <items count="9">
        <item x="3"/>
        <item x="6"/>
        <item x="1"/>
        <item x="7"/>
        <item x="5"/>
        <item x="2"/>
        <item x="4"/>
        <item x="0"/>
        <item t="default"/>
      </items>
    </pivotField>
    <pivotField showAll="0">
      <items count="5">
        <item x="0"/>
        <item x="3"/>
        <item x="1"/>
        <item x="2"/>
        <item t="default"/>
      </items>
    </pivotField>
  </pivotFields>
  <rowFields count="1">
    <field x="11"/>
  </rowFields>
  <rowItems count="7">
    <i>
      <x/>
    </i>
    <i>
      <x v="1"/>
    </i>
    <i>
      <x v="2"/>
    </i>
    <i>
      <x v="3"/>
    </i>
    <i>
      <x v="4"/>
    </i>
    <i>
      <x v="5"/>
    </i>
    <i t="grand">
      <x/>
    </i>
  </rowItems>
  <colItems count="1">
    <i/>
  </colItems>
  <dataFields count="1">
    <dataField name="Sum of Total Sales (PKR)" fld="10" showDataAs="percentOfTotal" baseField="0" baseItem="0" numFmtId="1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25"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1" count="1" selected="0">
            <x v="0"/>
          </reference>
        </references>
      </pivotArea>
    </chartFormat>
    <chartFormat chart="31" format="10">
      <pivotArea type="data" outline="0" fieldPosition="0">
        <references count="2">
          <reference field="4294967294" count="1" selected="0">
            <x v="0"/>
          </reference>
          <reference field="11" count="1" selected="0">
            <x v="1"/>
          </reference>
        </references>
      </pivotArea>
    </chartFormat>
    <chartFormat chart="31" format="11">
      <pivotArea type="data" outline="0" fieldPosition="0">
        <references count="2">
          <reference field="4294967294" count="1" selected="0">
            <x v="0"/>
          </reference>
          <reference field="11" count="1" selected="0">
            <x v="2"/>
          </reference>
        </references>
      </pivotArea>
    </chartFormat>
    <chartFormat chart="31" format="12">
      <pivotArea type="data" outline="0" fieldPosition="0">
        <references count="2">
          <reference field="4294967294" count="1" selected="0">
            <x v="0"/>
          </reference>
          <reference field="11" count="1" selected="0">
            <x v="3"/>
          </reference>
        </references>
      </pivotArea>
    </chartFormat>
    <chartFormat chart="31" format="13">
      <pivotArea type="data" outline="0" fieldPosition="0">
        <references count="2">
          <reference field="4294967294" count="1" selected="0">
            <x v="0"/>
          </reference>
          <reference field="11" count="1" selected="0">
            <x v="4"/>
          </reference>
        </references>
      </pivotArea>
    </chartFormat>
    <chartFormat chart="31" format="14">
      <pivotArea type="data" outline="0" fieldPosition="0">
        <references count="2">
          <reference field="4294967294" count="1" selected="0">
            <x v="0"/>
          </reference>
          <reference field="11" count="1" selected="0">
            <x v="5"/>
          </reference>
        </references>
      </pivotArea>
    </chartFormat>
    <chartFormat chart="25" format="1">
      <pivotArea type="data" outline="0" fieldPosition="0">
        <references count="2">
          <reference field="4294967294" count="1" selected="0">
            <x v="0"/>
          </reference>
          <reference field="11" count="1" selected="0">
            <x v="0"/>
          </reference>
        </references>
      </pivotArea>
    </chartFormat>
    <chartFormat chart="25" format="2">
      <pivotArea type="data" outline="0" fieldPosition="0">
        <references count="2">
          <reference field="4294967294" count="1" selected="0">
            <x v="0"/>
          </reference>
          <reference field="11" count="1" selected="0">
            <x v="1"/>
          </reference>
        </references>
      </pivotArea>
    </chartFormat>
    <chartFormat chart="25" format="3">
      <pivotArea type="data" outline="0" fieldPosition="0">
        <references count="2">
          <reference field="4294967294" count="1" selected="0">
            <x v="0"/>
          </reference>
          <reference field="11" count="1" selected="0">
            <x v="2"/>
          </reference>
        </references>
      </pivotArea>
    </chartFormat>
    <chartFormat chart="25" format="4">
      <pivotArea type="data" outline="0" fieldPosition="0">
        <references count="2">
          <reference field="4294967294" count="1" selected="0">
            <x v="0"/>
          </reference>
          <reference field="11" count="1" selected="0">
            <x v="3"/>
          </reference>
        </references>
      </pivotArea>
    </chartFormat>
    <chartFormat chart="25" format="5">
      <pivotArea type="data" outline="0" fieldPosition="0">
        <references count="2">
          <reference field="4294967294" count="1" selected="0">
            <x v="0"/>
          </reference>
          <reference field="11" count="1" selected="0">
            <x v="4"/>
          </reference>
        </references>
      </pivotArea>
    </chartFormat>
    <chartFormat chart="25"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A7047-FE14-484C-A53C-0D159039522D}"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E47:F54" firstHeaderRow="1"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showAll="0">
      <items count="11">
        <item x="5"/>
        <item x="1"/>
        <item x="0"/>
        <item x="2"/>
        <item x="7"/>
        <item x="8"/>
        <item x="4"/>
        <item x="3"/>
        <item x="6"/>
        <item x="9"/>
        <item t="default"/>
      </items>
    </pivotField>
    <pivotField showAll="0"/>
    <pivotField axis="axisRow" showAll="0">
      <items count="7">
        <item x="5"/>
        <item x="0"/>
        <item x="3"/>
        <item x="4"/>
        <item x="1"/>
        <item x="2"/>
        <item t="default"/>
      </items>
    </pivotField>
    <pivotField showAll="0"/>
    <pivotField showAll="0"/>
    <pivotField dataField="1" showAll="0"/>
    <pivotField showAll="0">
      <items count="7">
        <item x="3"/>
        <item x="2"/>
        <item x="0"/>
        <item x="4"/>
        <item x="1"/>
        <item x="5"/>
        <item t="default"/>
      </items>
    </pivotField>
    <pivotField showAll="0">
      <items count="9">
        <item x="3"/>
        <item x="6"/>
        <item x="1"/>
        <item x="7"/>
        <item x="5"/>
        <item x="2"/>
        <item x="4"/>
        <item x="0"/>
        <item t="default"/>
      </items>
    </pivotField>
    <pivotField showAll="0">
      <items count="5">
        <item x="0"/>
        <item x="3"/>
        <item x="1"/>
        <item x="2"/>
        <item t="default"/>
      </items>
    </pivotField>
  </pivotFields>
  <rowFields count="1">
    <field x="7"/>
  </rowFields>
  <rowItems count="7">
    <i>
      <x/>
    </i>
    <i>
      <x v="1"/>
    </i>
    <i>
      <x v="2"/>
    </i>
    <i>
      <x v="3"/>
    </i>
    <i>
      <x v="4"/>
    </i>
    <i>
      <x v="5"/>
    </i>
    <i t="grand">
      <x/>
    </i>
  </rowItems>
  <colItems count="1">
    <i/>
  </colItems>
  <dataFields count="1">
    <dataField name="sales" fld="10" baseField="7" baseItem="0"/>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12265C-C350-463B-A7EB-269659CA4C3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AE67:AF78" firstHeaderRow="1"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axis="axisRow" showAll="0">
      <items count="11">
        <item x="1"/>
        <item x="5"/>
        <item x="0"/>
        <item x="2"/>
        <item x="7"/>
        <item x="8"/>
        <item x="4"/>
        <item x="3"/>
        <item x="6"/>
        <item x="9"/>
        <item t="default"/>
      </items>
    </pivotField>
    <pivotField showAll="0"/>
    <pivotField showAll="0">
      <items count="7">
        <item x="5"/>
        <item x="0"/>
        <item x="3"/>
        <item x="4"/>
        <item x="1"/>
        <item x="2"/>
        <item t="default"/>
      </items>
    </pivotField>
    <pivotField dataField="1" showAll="0"/>
    <pivotField showAll="0"/>
    <pivotField showAll="0"/>
    <pivotField showAll="0">
      <items count="7">
        <item x="3"/>
        <item x="2"/>
        <item x="0"/>
        <item x="4"/>
        <item x="1"/>
        <item x="5"/>
        <item t="default"/>
      </items>
    </pivotField>
    <pivotField showAll="0">
      <items count="9">
        <item x="3"/>
        <item x="6"/>
        <item x="1"/>
        <item x="7"/>
        <item x="5"/>
        <item x="2"/>
        <item x="4"/>
        <item x="0"/>
        <item t="default"/>
      </items>
    </pivotField>
    <pivotField showAll="0">
      <items count="5">
        <item x="0"/>
        <item x="3"/>
        <item x="1"/>
        <item x="2"/>
        <item t="default"/>
      </items>
    </pivotField>
  </pivotFields>
  <rowFields count="1">
    <field x="5"/>
  </rowFields>
  <rowItems count="11">
    <i>
      <x/>
    </i>
    <i>
      <x v="1"/>
    </i>
    <i>
      <x v="2"/>
    </i>
    <i>
      <x v="3"/>
    </i>
    <i>
      <x v="4"/>
    </i>
    <i>
      <x v="5"/>
    </i>
    <i>
      <x v="6"/>
    </i>
    <i>
      <x v="7"/>
    </i>
    <i>
      <x v="8"/>
    </i>
    <i>
      <x v="9"/>
    </i>
    <i t="grand">
      <x/>
    </i>
  </rowItems>
  <colItems count="1">
    <i/>
  </colItems>
  <dataFields count="1">
    <dataField name="Quantities" fld="8" baseField="5" baseItem="0"/>
  </dataFields>
  <chartFormats count="4">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A4A3E0-0060-464E-BCA5-7BEC695C3E1F}" name="Orderstau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ity">
  <location ref="AD7:AE12" firstHeaderRow="1"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showAll="0">
      <items count="11">
        <item x="5"/>
        <item x="1"/>
        <item x="0"/>
        <item x="2"/>
        <item x="7"/>
        <item x="8"/>
        <item x="4"/>
        <item x="3"/>
        <item x="6"/>
        <item x="9"/>
        <item t="default"/>
      </items>
    </pivotField>
    <pivotField showAll="0"/>
    <pivotField showAll="0">
      <items count="7">
        <item x="5"/>
        <item x="0"/>
        <item x="3"/>
        <item x="4"/>
        <item x="1"/>
        <item x="2"/>
        <item t="default"/>
      </items>
    </pivotField>
    <pivotField dataField="1" showAll="0"/>
    <pivotField showAll="0"/>
    <pivotField showAll="0"/>
    <pivotField showAll="0">
      <items count="7">
        <item x="3"/>
        <item x="2"/>
        <item x="0"/>
        <item x="4"/>
        <item x="1"/>
        <item x="5"/>
        <item t="default"/>
      </items>
    </pivotField>
    <pivotField showAll="0">
      <items count="9">
        <item x="3"/>
        <item x="6"/>
        <item x="1"/>
        <item x="7"/>
        <item x="5"/>
        <item x="2"/>
        <item x="4"/>
        <item x="0"/>
        <item t="default"/>
      </items>
    </pivotField>
    <pivotField axis="axisRow" showAll="0">
      <items count="5">
        <item x="0"/>
        <item x="3"/>
        <item x="1"/>
        <item x="2"/>
        <item t="default"/>
      </items>
    </pivotField>
  </pivotFields>
  <rowFields count="1">
    <field x="13"/>
  </rowFields>
  <rowItems count="5">
    <i>
      <x/>
    </i>
    <i>
      <x v="1"/>
    </i>
    <i>
      <x v="2"/>
    </i>
    <i>
      <x v="3"/>
    </i>
    <i t="grand">
      <x/>
    </i>
  </rowItems>
  <colItems count="1">
    <i/>
  </colItems>
  <dataFields count="1">
    <dataField name="Sum of Quantity" fld="8"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C9EA8A-1A38-4EF8-BEDA-AA2B3277505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ity">
  <location ref="G47:G48" firstHeaderRow="1" firstDataRow="1" firstDataCol="0"/>
  <pivotFields count="14">
    <pivotField dataField="1"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showAll="0">
      <items count="11">
        <item x="5"/>
        <item x="1"/>
        <item x="0"/>
        <item x="2"/>
        <item x="7"/>
        <item x="8"/>
        <item x="4"/>
        <item x="3"/>
        <item x="6"/>
        <item x="9"/>
        <item t="default"/>
      </items>
    </pivotField>
    <pivotField showAll="0"/>
    <pivotField showAll="0">
      <items count="7">
        <item x="5"/>
        <item x="0"/>
        <item x="3"/>
        <item x="4"/>
        <item x="1"/>
        <item x="2"/>
        <item t="default"/>
      </items>
    </pivotField>
    <pivotField showAll="0"/>
    <pivotField showAll="0"/>
    <pivotField showAll="0"/>
    <pivotField showAll="0">
      <items count="7">
        <item x="3"/>
        <item x="2"/>
        <item x="0"/>
        <item x="4"/>
        <item x="1"/>
        <item x="5"/>
        <item t="default"/>
      </items>
    </pivotField>
    <pivotField showAll="0">
      <items count="9">
        <item x="3"/>
        <item x="6"/>
        <item x="1"/>
        <item x="7"/>
        <item x="5"/>
        <item x="2"/>
        <item x="4"/>
        <item x="0"/>
        <item t="default"/>
      </items>
    </pivotField>
    <pivotField showAll="0">
      <items count="5">
        <item x="0"/>
        <item x="3"/>
        <item x="1"/>
        <item x="2"/>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9D6508-16B5-4573-9B13-13853C860112}" name="Ad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H9:I18" firstHeaderRow="1"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showAll="0">
      <items count="11">
        <item x="5"/>
        <item x="1"/>
        <item x="0"/>
        <item x="2"/>
        <item x="7"/>
        <item x="8"/>
        <item x="4"/>
        <item x="3"/>
        <item x="6"/>
        <item x="9"/>
        <item t="default"/>
      </items>
    </pivotField>
    <pivotField showAll="0"/>
    <pivotField showAll="0">
      <items count="7">
        <item x="5"/>
        <item x="0"/>
        <item x="3"/>
        <item x="4"/>
        <item x="1"/>
        <item x="2"/>
        <item t="default"/>
      </items>
    </pivotField>
    <pivotField dataField="1" showAll="0"/>
    <pivotField showAll="0"/>
    <pivotField showAll="0"/>
    <pivotField showAll="0">
      <items count="7">
        <item x="3"/>
        <item x="2"/>
        <item x="0"/>
        <item x="4"/>
        <item x="1"/>
        <item x="5"/>
        <item t="default"/>
      </items>
    </pivotField>
    <pivotField axis="axisRow" showAll="0">
      <items count="9">
        <item x="3"/>
        <item x="6"/>
        <item x="1"/>
        <item x="7"/>
        <item x="5"/>
        <item x="2"/>
        <item x="4"/>
        <item x="0"/>
        <item t="default"/>
      </items>
    </pivotField>
    <pivotField showAll="0">
      <items count="5">
        <item x="0"/>
        <item x="3"/>
        <item x="1"/>
        <item x="2"/>
        <item t="default"/>
      </items>
    </pivotField>
  </pivotFields>
  <rowFields count="1">
    <field x="12"/>
  </rowFields>
  <rowItems count="9">
    <i>
      <x/>
    </i>
    <i>
      <x v="1"/>
    </i>
    <i>
      <x v="2"/>
    </i>
    <i>
      <x v="3"/>
    </i>
    <i>
      <x v="4"/>
    </i>
    <i>
      <x v="5"/>
    </i>
    <i>
      <x v="6"/>
    </i>
    <i>
      <x v="7"/>
    </i>
    <i t="grand">
      <x/>
    </i>
  </rowItems>
  <colItems count="1">
    <i/>
  </colItems>
  <dataFields count="1">
    <dataField name="Sum of Quantity" fld="8"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58DAED-A689-482C-A24C-E169CC1A5A5F}" name="cit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P8:R19" firstHeaderRow="0" firstDataRow="1" firstDataCol="1"/>
  <pivotFields count="14">
    <pivotField showAll="0"/>
    <pivotField numFmtId="14" showAll="0">
      <items count="365">
        <item x="131"/>
        <item x="75"/>
        <item x="201"/>
        <item x="321"/>
        <item x="61"/>
        <item x="250"/>
        <item x="359"/>
        <item x="13"/>
        <item x="161"/>
        <item x="231"/>
        <item x="279"/>
        <item x="235"/>
        <item x="237"/>
        <item x="80"/>
        <item x="53"/>
        <item x="189"/>
        <item x="246"/>
        <item x="318"/>
        <item x="294"/>
        <item x="101"/>
        <item x="344"/>
        <item x="11"/>
        <item x="245"/>
        <item x="127"/>
        <item x="256"/>
        <item x="239"/>
        <item x="130"/>
        <item x="283"/>
        <item x="300"/>
        <item x="278"/>
        <item x="200"/>
        <item x="299"/>
        <item x="222"/>
        <item x="17"/>
        <item x="69"/>
        <item x="4"/>
        <item x="330"/>
        <item x="320"/>
        <item x="319"/>
        <item x="73"/>
        <item x="337"/>
        <item x="87"/>
        <item x="228"/>
        <item x="258"/>
        <item x="22"/>
        <item x="191"/>
        <item x="19"/>
        <item x="215"/>
        <item x="167"/>
        <item x="232"/>
        <item x="265"/>
        <item x="115"/>
        <item x="244"/>
        <item x="333"/>
        <item x="269"/>
        <item x="356"/>
        <item x="84"/>
        <item x="306"/>
        <item x="205"/>
        <item x="99"/>
        <item x="268"/>
        <item x="168"/>
        <item x="20"/>
        <item x="291"/>
        <item x="343"/>
        <item x="241"/>
        <item x="46"/>
        <item x="140"/>
        <item x="185"/>
        <item x="90"/>
        <item x="339"/>
        <item x="219"/>
        <item x="70"/>
        <item x="120"/>
        <item x="178"/>
        <item x="289"/>
        <item x="295"/>
        <item x="63"/>
        <item x="350"/>
        <item x="154"/>
        <item x="184"/>
        <item x="160"/>
        <item x="124"/>
        <item x="50"/>
        <item x="251"/>
        <item x="193"/>
        <item x="26"/>
        <item x="155"/>
        <item x="199"/>
        <item x="207"/>
        <item x="195"/>
        <item x="342"/>
        <item x="173"/>
        <item x="196"/>
        <item x="25"/>
        <item x="285"/>
        <item x="93"/>
        <item x="313"/>
        <item x="290"/>
        <item x="349"/>
        <item x="54"/>
        <item x="144"/>
        <item x="187"/>
        <item x="203"/>
        <item x="149"/>
        <item x="150"/>
        <item x="118"/>
        <item x="117"/>
        <item x="266"/>
        <item x="309"/>
        <item x="68"/>
        <item x="52"/>
        <item x="96"/>
        <item x="129"/>
        <item x="304"/>
        <item x="214"/>
        <item x="83"/>
        <item x="316"/>
        <item x="116"/>
        <item x="174"/>
        <item x="227"/>
        <item x="288"/>
        <item x="345"/>
        <item x="267"/>
        <item x="190"/>
        <item x="44"/>
        <item x="286"/>
        <item x="0"/>
        <item x="137"/>
        <item x="260"/>
        <item x="92"/>
        <item x="164"/>
        <item x="324"/>
        <item x="74"/>
        <item x="296"/>
        <item x="65"/>
        <item x="147"/>
        <item x="128"/>
        <item x="77"/>
        <item x="58"/>
        <item x="171"/>
        <item x="198"/>
        <item x="175"/>
        <item x="38"/>
        <item x="327"/>
        <item x="323"/>
        <item x="317"/>
        <item x="206"/>
        <item x="40"/>
        <item x="303"/>
        <item x="276"/>
        <item x="312"/>
        <item x="81"/>
        <item x="33"/>
        <item x="197"/>
        <item x="71"/>
        <item x="166"/>
        <item x="47"/>
        <item x="106"/>
        <item x="31"/>
        <item x="59"/>
        <item x="112"/>
        <item x="133"/>
        <item x="109"/>
        <item x="111"/>
        <item x="72"/>
        <item x="170"/>
        <item x="15"/>
        <item x="148"/>
        <item x="23"/>
        <item x="123"/>
        <item x="217"/>
        <item x="152"/>
        <item x="110"/>
        <item x="159"/>
        <item x="302"/>
        <item x="103"/>
        <item x="82"/>
        <item x="105"/>
        <item x="16"/>
        <item x="334"/>
        <item x="308"/>
        <item x="64"/>
        <item x="326"/>
        <item x="338"/>
        <item x="340"/>
        <item x="341"/>
        <item x="56"/>
        <item x="125"/>
        <item x="328"/>
        <item x="134"/>
        <item x="311"/>
        <item x="146"/>
        <item x="113"/>
        <item x="314"/>
        <item x="141"/>
        <item x="293"/>
        <item x="351"/>
        <item x="163"/>
        <item x="42"/>
        <item x="292"/>
        <item x="162"/>
        <item x="325"/>
        <item x="247"/>
        <item x="361"/>
        <item x="35"/>
        <item x="332"/>
        <item x="230"/>
        <item x="145"/>
        <item x="60"/>
        <item x="102"/>
        <item x="183"/>
        <item x="165"/>
        <item x="97"/>
        <item x="233"/>
        <item x="254"/>
        <item x="79"/>
        <item x="264"/>
        <item x="346"/>
        <item x="114"/>
        <item x="7"/>
        <item x="218"/>
        <item x="8"/>
        <item x="274"/>
        <item x="136"/>
        <item x="177"/>
        <item x="45"/>
        <item x="236"/>
        <item x="216"/>
        <item x="240"/>
        <item x="43"/>
        <item x="282"/>
        <item x="287"/>
        <item x="122"/>
        <item x="57"/>
        <item x="252"/>
        <item x="335"/>
        <item x="271"/>
        <item x="284"/>
        <item x="362"/>
        <item x="76"/>
        <item x="41"/>
        <item x="204"/>
        <item x="301"/>
        <item x="202"/>
        <item x="226"/>
        <item x="297"/>
        <item x="213"/>
        <item x="30"/>
        <item x="2"/>
        <item x="104"/>
        <item x="132"/>
        <item x="135"/>
        <item x="88"/>
        <item x="307"/>
        <item x="66"/>
        <item x="281"/>
        <item x="3"/>
        <item x="157"/>
        <item x="234"/>
        <item x="208"/>
        <item x="310"/>
        <item x="29"/>
        <item x="357"/>
        <item x="186"/>
        <item x="21"/>
        <item x="1"/>
        <item x="36"/>
        <item x="156"/>
        <item x="180"/>
        <item x="18"/>
        <item x="37"/>
        <item x="322"/>
        <item x="48"/>
        <item x="142"/>
        <item x="172"/>
        <item x="273"/>
        <item x="100"/>
        <item x="98"/>
        <item x="91"/>
        <item x="220"/>
        <item x="67"/>
        <item x="347"/>
        <item x="253"/>
        <item x="62"/>
        <item x="108"/>
        <item x="209"/>
        <item x="188"/>
        <item x="211"/>
        <item x="270"/>
        <item x="331"/>
        <item x="107"/>
        <item x="119"/>
        <item x="305"/>
        <item x="238"/>
        <item x="34"/>
        <item x="223"/>
        <item x="151"/>
        <item x="224"/>
        <item x="360"/>
        <item x="176"/>
        <item x="181"/>
        <item x="275"/>
        <item x="358"/>
        <item x="229"/>
        <item x="298"/>
        <item x="89"/>
        <item x="263"/>
        <item x="32"/>
        <item x="243"/>
        <item x="348"/>
        <item x="95"/>
        <item x="315"/>
        <item x="39"/>
        <item x="329"/>
        <item x="262"/>
        <item x="352"/>
        <item x="78"/>
        <item x="182"/>
        <item x="248"/>
        <item x="277"/>
        <item x="354"/>
        <item x="85"/>
        <item x="14"/>
        <item x="51"/>
        <item x="10"/>
        <item x="94"/>
        <item x="27"/>
        <item x="9"/>
        <item x="280"/>
        <item x="210"/>
        <item x="363"/>
        <item x="49"/>
        <item x="55"/>
        <item x="212"/>
        <item x="5"/>
        <item x="272"/>
        <item x="225"/>
        <item x="24"/>
        <item x="353"/>
        <item x="221"/>
        <item x="139"/>
        <item x="255"/>
        <item x="143"/>
        <item x="138"/>
        <item x="179"/>
        <item x="249"/>
        <item x="28"/>
        <item x="169"/>
        <item x="121"/>
        <item x="257"/>
        <item x="86"/>
        <item x="355"/>
        <item x="261"/>
        <item x="259"/>
        <item x="158"/>
        <item x="153"/>
        <item x="242"/>
        <item x="192"/>
        <item x="336"/>
        <item x="6"/>
        <item x="194"/>
        <item x="12"/>
        <item x="126"/>
        <item t="default"/>
      </items>
    </pivotField>
    <pivotField showAll="0"/>
    <pivotField showAll="0"/>
    <pivotField showAll="0"/>
    <pivotField axis="axisRow" showAll="0">
      <items count="11">
        <item x="1"/>
        <item x="5"/>
        <item x="0"/>
        <item x="2"/>
        <item x="7"/>
        <item x="8"/>
        <item x="4"/>
        <item x="3"/>
        <item x="6"/>
        <item x="9"/>
        <item t="default"/>
      </items>
    </pivotField>
    <pivotField showAll="0"/>
    <pivotField showAll="0">
      <items count="7">
        <item x="5"/>
        <item x="0"/>
        <item x="3"/>
        <item x="4"/>
        <item x="1"/>
        <item x="2"/>
        <item t="default"/>
      </items>
    </pivotField>
    <pivotField dataField="1" showAll="0"/>
    <pivotField showAll="0"/>
    <pivotField dataField="1" showAll="0"/>
    <pivotField showAll="0">
      <items count="7">
        <item x="3"/>
        <item x="2"/>
        <item x="0"/>
        <item x="4"/>
        <item x="1"/>
        <item x="5"/>
        <item t="default"/>
      </items>
    </pivotField>
    <pivotField showAll="0">
      <items count="9">
        <item x="3"/>
        <item x="6"/>
        <item x="1"/>
        <item x="7"/>
        <item x="5"/>
        <item x="2"/>
        <item x="4"/>
        <item x="0"/>
        <item t="default"/>
      </items>
    </pivotField>
    <pivotField showAll="0">
      <items count="5">
        <item x="0"/>
        <item x="3"/>
        <item x="1"/>
        <item x="2"/>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Total Sales(PKR)" fld="10" baseField="5" baseItem="0"/>
    <dataField name="Quantities" fld="8" baseField="5" baseItem="0"/>
  </dataFields>
  <chartFormats count="6">
    <chartFormat chart="9" format="0" series="1">
      <pivotArea type="data" outline="0" fieldPosition="0">
        <references count="1">
          <reference field="4294967294" count="1" selected="0">
            <x v="1"/>
          </reference>
        </references>
      </pivotArea>
    </chartFormat>
    <chartFormat chart="11" format="1"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51" format="4" series="1">
      <pivotArea type="data" outline="0" fieldPosition="0">
        <references count="1">
          <reference field="4294967294" count="1" selected="0">
            <x v="1"/>
          </reference>
        </references>
      </pivotArea>
    </chartFormat>
    <chartFormat chart="5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593E38-DA01-4FF4-AF4C-53E9E84CEBF4}" sourceName="City">
  <pivotTables>
    <pivotTable tabId="2" name="Payment"/>
    <pivotTable tabId="2" name="Adsales"/>
    <pivotTable tabId="2" name="citysale"/>
    <pivotTable tabId="2" name="Orderstauts"/>
    <pivotTable tabId="2" name="PivotTable21"/>
    <pivotTable tabId="2" name="PivotTable2"/>
    <pivotTable tabId="2" name="PivotTable1"/>
  </pivotTables>
  <data>
    <tabular pivotCacheId="1213603032">
      <items count="10">
        <i x="5" s="1"/>
        <i x="1" s="1"/>
        <i x="0" s="1"/>
        <i x="2" s="1"/>
        <i x="7" s="1"/>
        <i x="8" s="1"/>
        <i x="4" s="1"/>
        <i x="3" s="1"/>
        <i x="6"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E5C7B1F-D031-4EE2-9DBE-0A9761396A3B}" sourceName="Product Category">
  <pivotTables>
    <pivotTable tabId="2" name="Payment"/>
    <pivotTable tabId="2" name="Adsales"/>
    <pivotTable tabId="2" name="citysale"/>
    <pivotTable tabId="2" name="Orderstauts"/>
    <pivotTable tabId="2" name="PivotTable2"/>
    <pivotTable tabId="2" name="PivotTable1"/>
    <pivotTable tabId="2" name="PivotTable21"/>
  </pivotTables>
  <data>
    <tabular pivotCacheId="1213603032">
      <items count="6">
        <i x="5" s="1"/>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BC8D934-25C3-4204-A980-BE5151D9738D}" sourceName="Payment Method">
  <pivotTables>
    <pivotTable tabId="2" name="Adsales"/>
    <pivotTable tabId="2" name="citysale"/>
    <pivotTable tabId="2" name="Orderstauts"/>
    <pivotTable tabId="2" name="PivotTable21"/>
    <pivotTable tabId="2" name="Payment"/>
    <pivotTable tabId="2" name="PivotTable2"/>
    <pivotTable tabId="2" name="PivotTable1"/>
  </pivotTables>
  <data>
    <tabular pivotCacheId="1213603032">
      <items count="6">
        <i x="3" s="1"/>
        <i x="2" s="1"/>
        <i x="0" s="1"/>
        <i x="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quisition_Source" xr10:uid="{5D2D54E1-E126-48E9-96FF-B40C0BC53D1B}" sourceName="Acquisition Source">
  <pivotTables>
    <pivotTable tabId="2" name="Payment"/>
    <pivotTable tabId="2" name="Adsales"/>
    <pivotTable tabId="2" name="citysale"/>
    <pivotTable tabId="2" name="Orderstauts"/>
    <pivotTable tabId="2" name="PivotTable21"/>
    <pivotTable tabId="2" name="PivotTable2"/>
    <pivotTable tabId="2" name="PivotTable1"/>
  </pivotTables>
  <data>
    <tabular pivotCacheId="1213603032">
      <items count="8">
        <i x="3" s="1"/>
        <i x="6" s="1"/>
        <i x="1" s="1"/>
        <i x="7" s="1"/>
        <i x="5" s="1"/>
        <i x="2"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026F97D-0B0F-4CBB-8B5C-10972160FB8A}" sourceName="Order Status">
  <pivotTables>
    <pivotTable tabId="2" name="Payment"/>
    <pivotTable tabId="2" name="Adsales"/>
    <pivotTable tabId="2" name="citysale"/>
    <pivotTable tabId="2" name="PivotTable21"/>
    <pivotTable tabId="2" name="Orderstauts"/>
    <pivotTable tabId="2" name="PivotTable2"/>
    <pivotTable tabId="2" name="PivotTable1"/>
  </pivotTables>
  <data>
    <tabular pivotCacheId="1213603032">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F18D648-F598-42BC-8829-EE7CF4A343B1}" cache="Slicer_City" caption="City" startItem="2" rowHeight="247650"/>
  <slicer name="City 2" xr10:uid="{C552AFE3-2E63-494C-BDF1-78116AA9632B}" cache="Slicer_City" caption="City" rowHeight="247650"/>
  <slicer name="Product Category" xr10:uid="{71B90D43-999E-4A45-BCA9-49FD861CC719}" cache="Slicer_Product_Category" caption="Product Category" rowHeight="247650"/>
  <slicer name="Payment Method" xr10:uid="{CAA4B425-BC67-4458-B29D-7600309B3EAD}" cache="Slicer_Payment_Method" caption="Payment Method" rowHeight="247650"/>
  <slicer name="Acquisition Source" xr10:uid="{6F2CB5DF-0D77-4028-A8E8-DE054D730547}" cache="Slicer_Acquisition_Source" caption="Acquisition Source" rowHeight="247650"/>
  <slicer name="Order Status" xr10:uid="{E86099D5-2B29-4AC6-8485-5642EF9316F8}" cache="Slicer_Order_Status" caption="Order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EED83D9-5EFC-44CD-9FCB-98EFF9AD5FC4}" cache="Slicer_City" caption="City" columnCount="2" rowHeight="247650"/>
  <slicer name="Product Category 1" xr10:uid="{809A8D02-9F10-4EBD-A252-9317C63BE8B9}" cache="Slicer_Product_Category" caption="Product Category" columnCount="2" rowHeight="247650"/>
  <slicer name="Payment Method 1" xr10:uid="{8863417D-2869-479E-932D-73970E3F320B}" cache="Slicer_Payment_Method" caption="Payment Method" rowHeight="247650"/>
  <slicer name="Acquisition Source 1" xr10:uid="{E4092E45-4CD3-4287-9FA9-0C44C3BE8578}" cache="Slicer_Acquisition_Source" caption="Acquisition Source" rowHeight="274320"/>
  <slicer name="Order Status 1" xr10:uid="{B1908C59-AB27-42AC-B73F-9B36F87095E1}" cache="Slicer_Order_Status" caption="Order Status" columnCount="2"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9A59C23-C9AE-4C61-89A6-79090688F8B8}" sourceName="Order Date">
  <pivotTables>
    <pivotTable tabId="2" name="Payment"/>
    <pivotTable tabId="2" name="Adsales"/>
    <pivotTable tabId="2" name="citysale"/>
    <pivotTable tabId="2" name="Orderstauts"/>
    <pivotTable tabId="2" name="PivotTable21"/>
    <pivotTable tabId="2" name="PivotTable2"/>
    <pivotTable tabId="2" name="PivotTable1"/>
  </pivotTables>
  <state minimalRefreshVersion="6" lastRefreshVersion="6" pivotCacheId="121360303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1FA408-735F-4553-97E1-56DB61E7C2FA}" cache="NativeTimeline_Order_Date" caption="Order Date" level="2" selectionLevel="2" scrollPosition="2025-04-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237E841-F631-498C-9AAB-1AAD31993E96}" cache="NativeTimeline_Order_Date" caption="Order Date" level="1" selectionLevel="1"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347E-2AD7-4657-A509-32EAFF13F6F5}">
  <dimension ref="B3:B10"/>
  <sheetViews>
    <sheetView workbookViewId="0">
      <selection activeCell="B3" sqref="B3"/>
    </sheetView>
  </sheetViews>
  <sheetFormatPr defaultRowHeight="27.6" x14ac:dyDescent="0.45"/>
  <cols>
    <col min="1" max="1" width="8.796875" style="3"/>
    <col min="2" max="2" width="31.09765625" style="3" customWidth="1"/>
    <col min="3" max="16384" width="8.796875" style="3"/>
  </cols>
  <sheetData>
    <row r="3" spans="2:2" x14ac:dyDescent="0.45">
      <c r="B3" s="3" t="s">
        <v>6008</v>
      </c>
    </row>
    <row r="4" spans="2:2" x14ac:dyDescent="0.45">
      <c r="B4" s="3" t="s">
        <v>6009</v>
      </c>
    </row>
    <row r="5" spans="2:2" x14ac:dyDescent="0.45">
      <c r="B5" s="3" t="s">
        <v>6010</v>
      </c>
    </row>
    <row r="6" spans="2:2" x14ac:dyDescent="0.45">
      <c r="B6" s="3" t="s">
        <v>6011</v>
      </c>
    </row>
    <row r="7" spans="2:2" x14ac:dyDescent="0.45">
      <c r="B7" s="3" t="s">
        <v>6012</v>
      </c>
    </row>
    <row r="8" spans="2:2" x14ac:dyDescent="0.45">
      <c r="B8" s="3" t="s">
        <v>6013</v>
      </c>
    </row>
    <row r="9" spans="2:2" x14ac:dyDescent="0.45">
      <c r="B9" s="3" t="s">
        <v>6014</v>
      </c>
    </row>
    <row r="10" spans="2:2" x14ac:dyDescent="0.45">
      <c r="B10" s="3" t="s">
        <v>6015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8150-6EF7-4F6E-8002-6AD9FFCE956A}">
  <dimension ref="A1:N2001"/>
  <sheetViews>
    <sheetView topLeftCell="D1" workbookViewId="0">
      <selection activeCell="M1" sqref="M1"/>
    </sheetView>
  </sheetViews>
  <sheetFormatPr defaultRowHeight="13.8" x14ac:dyDescent="0.25"/>
  <cols>
    <col min="1" max="1" width="9.69921875" customWidth="1"/>
    <col min="2" max="2" width="10.69921875" bestFit="1" customWidth="1"/>
    <col min="3" max="3" width="22.8984375" bestFit="1" customWidth="1"/>
    <col min="4" max="4" width="42.796875" bestFit="1" customWidth="1"/>
    <col min="5" max="5" width="14.59765625" style="14" bestFit="1" customWidth="1"/>
    <col min="6" max="6" width="10.8984375" bestFit="1" customWidth="1"/>
    <col min="7" max="7" width="8.59765625" bestFit="1" customWidth="1"/>
    <col min="8" max="8" width="16.59765625" bestFit="1" customWidth="1"/>
    <col min="9" max="9" width="8.19921875" bestFit="1" customWidth="1"/>
    <col min="10" max="10" width="14.09765625" bestFit="1" customWidth="1"/>
    <col min="11" max="11" width="15.09765625" bestFit="1" customWidth="1"/>
    <col min="12" max="12" width="16" bestFit="1" customWidth="1"/>
    <col min="13" max="13" width="17.3984375" bestFit="1" customWidth="1"/>
    <col min="14" max="14" width="11.5" bestFit="1" customWidth="1"/>
  </cols>
  <sheetData>
    <row r="1" spans="1:14" x14ac:dyDescent="0.25">
      <c r="A1" s="2" t="s">
        <v>0</v>
      </c>
      <c r="B1" s="2" t="s">
        <v>1</v>
      </c>
      <c r="C1" s="2" t="s">
        <v>2</v>
      </c>
      <c r="D1" s="2" t="s">
        <v>3</v>
      </c>
      <c r="E1" s="13" t="s">
        <v>4</v>
      </c>
      <c r="F1" s="2" t="s">
        <v>5</v>
      </c>
      <c r="G1" s="2" t="s">
        <v>6</v>
      </c>
      <c r="H1" s="2" t="s">
        <v>7</v>
      </c>
      <c r="I1" s="2" t="s">
        <v>8</v>
      </c>
      <c r="J1" s="2" t="s">
        <v>9</v>
      </c>
      <c r="K1" s="2" t="s">
        <v>10</v>
      </c>
      <c r="L1" s="2" t="s">
        <v>11</v>
      </c>
      <c r="M1" s="2" t="s">
        <v>12</v>
      </c>
      <c r="N1" s="2" t="s">
        <v>13</v>
      </c>
    </row>
    <row r="2" spans="1:14" x14ac:dyDescent="0.25">
      <c r="A2" t="s">
        <v>14</v>
      </c>
      <c r="B2" s="1">
        <v>45832</v>
      </c>
      <c r="C2" t="s">
        <v>15</v>
      </c>
      <c r="D2" t="s">
        <v>16</v>
      </c>
      <c r="E2" s="14">
        <v>923243997420</v>
      </c>
      <c r="F2" t="s">
        <v>17</v>
      </c>
      <c r="G2" t="s">
        <v>18</v>
      </c>
      <c r="H2" t="s">
        <v>19</v>
      </c>
      <c r="I2">
        <v>9</v>
      </c>
      <c r="J2">
        <v>7945</v>
      </c>
      <c r="K2">
        <v>39725</v>
      </c>
      <c r="L2" t="s">
        <v>20</v>
      </c>
      <c r="M2" t="s">
        <v>21</v>
      </c>
      <c r="N2" t="s">
        <v>22</v>
      </c>
    </row>
    <row r="3" spans="1:14" x14ac:dyDescent="0.25">
      <c r="A3" t="s">
        <v>23</v>
      </c>
      <c r="B3" s="1">
        <v>45973</v>
      </c>
      <c r="C3" t="s">
        <v>24</v>
      </c>
      <c r="D3" t="s">
        <v>25</v>
      </c>
      <c r="E3" s="14">
        <v>923321060239</v>
      </c>
      <c r="F3" t="s">
        <v>17</v>
      </c>
      <c r="G3" t="s">
        <v>18</v>
      </c>
      <c r="H3" t="s">
        <v>19</v>
      </c>
      <c r="I3">
        <v>1</v>
      </c>
      <c r="J3">
        <v>6676</v>
      </c>
      <c r="K3">
        <v>6676</v>
      </c>
      <c r="L3" t="s">
        <v>26</v>
      </c>
      <c r="M3" t="s">
        <v>27</v>
      </c>
      <c r="N3" t="s">
        <v>28</v>
      </c>
    </row>
    <row r="4" spans="1:14" x14ac:dyDescent="0.25">
      <c r="A4" t="s">
        <v>29</v>
      </c>
      <c r="B4" s="1">
        <v>45956</v>
      </c>
      <c r="C4" t="s">
        <v>30</v>
      </c>
      <c r="D4" t="s">
        <v>31</v>
      </c>
      <c r="E4" s="14">
        <v>923388726076</v>
      </c>
      <c r="F4" t="s">
        <v>32</v>
      </c>
      <c r="G4" t="s">
        <v>18</v>
      </c>
      <c r="H4" t="s">
        <v>33</v>
      </c>
      <c r="I4">
        <v>3</v>
      </c>
      <c r="J4">
        <v>2829</v>
      </c>
      <c r="K4">
        <v>8487</v>
      </c>
      <c r="L4" t="s">
        <v>20</v>
      </c>
      <c r="M4" t="s">
        <v>34</v>
      </c>
      <c r="N4" t="s">
        <v>35</v>
      </c>
    </row>
    <row r="5" spans="1:14" x14ac:dyDescent="0.25">
      <c r="A5" t="s">
        <v>36</v>
      </c>
      <c r="B5" s="1">
        <v>45964</v>
      </c>
      <c r="C5" t="s">
        <v>37</v>
      </c>
      <c r="D5" t="s">
        <v>38</v>
      </c>
      <c r="E5" s="14">
        <v>923080718797</v>
      </c>
      <c r="F5" t="s">
        <v>17</v>
      </c>
      <c r="G5" t="s">
        <v>18</v>
      </c>
      <c r="H5" t="s">
        <v>39</v>
      </c>
      <c r="I5">
        <v>8</v>
      </c>
      <c r="J5">
        <v>6001</v>
      </c>
      <c r="K5">
        <v>24004</v>
      </c>
      <c r="L5" t="s">
        <v>40</v>
      </c>
      <c r="M5" t="s">
        <v>27</v>
      </c>
      <c r="N5" t="s">
        <v>35</v>
      </c>
    </row>
    <row r="6" spans="1:14" x14ac:dyDescent="0.25">
      <c r="A6" t="s">
        <v>41</v>
      </c>
      <c r="B6" s="1">
        <v>45740</v>
      </c>
      <c r="C6" t="s">
        <v>42</v>
      </c>
      <c r="D6" t="s">
        <v>43</v>
      </c>
      <c r="E6" s="14">
        <v>923259607706</v>
      </c>
      <c r="F6" t="s">
        <v>44</v>
      </c>
      <c r="G6" t="s">
        <v>18</v>
      </c>
      <c r="H6" t="s">
        <v>39</v>
      </c>
      <c r="I6">
        <v>2</v>
      </c>
      <c r="J6">
        <v>9641</v>
      </c>
      <c r="K6">
        <v>19282</v>
      </c>
      <c r="L6" t="s">
        <v>26</v>
      </c>
      <c r="M6" t="s">
        <v>45</v>
      </c>
      <c r="N6" t="s">
        <v>28</v>
      </c>
    </row>
    <row r="7" spans="1:14" x14ac:dyDescent="0.25">
      <c r="A7" t="s">
        <v>46</v>
      </c>
      <c r="B7" s="1">
        <v>46042</v>
      </c>
      <c r="C7" t="s">
        <v>47</v>
      </c>
      <c r="D7" t="s">
        <v>48</v>
      </c>
      <c r="E7" s="14">
        <v>923377364020</v>
      </c>
      <c r="F7" t="s">
        <v>49</v>
      </c>
      <c r="G7" t="s">
        <v>18</v>
      </c>
      <c r="H7" t="s">
        <v>50</v>
      </c>
      <c r="I7">
        <v>3</v>
      </c>
      <c r="J7">
        <v>2933</v>
      </c>
      <c r="K7">
        <v>8799</v>
      </c>
      <c r="L7" t="s">
        <v>26</v>
      </c>
      <c r="M7" t="s">
        <v>45</v>
      </c>
      <c r="N7" t="s">
        <v>28</v>
      </c>
    </row>
    <row r="8" spans="1:14" x14ac:dyDescent="0.25">
      <c r="A8" t="s">
        <v>51</v>
      </c>
      <c r="B8" s="1">
        <v>46067</v>
      </c>
      <c r="C8" t="s">
        <v>52</v>
      </c>
      <c r="D8" t="s">
        <v>53</v>
      </c>
      <c r="E8" s="14">
        <v>923452272073</v>
      </c>
      <c r="F8" t="s">
        <v>54</v>
      </c>
      <c r="G8" t="s">
        <v>18</v>
      </c>
      <c r="H8" t="s">
        <v>50</v>
      </c>
      <c r="I8">
        <v>1</v>
      </c>
      <c r="J8">
        <v>12431</v>
      </c>
      <c r="K8">
        <v>12431</v>
      </c>
      <c r="L8" t="s">
        <v>20</v>
      </c>
      <c r="M8" t="s">
        <v>55</v>
      </c>
      <c r="N8" t="s">
        <v>22</v>
      </c>
    </row>
    <row r="9" spans="1:14" x14ac:dyDescent="0.25">
      <c r="A9" t="s">
        <v>56</v>
      </c>
      <c r="B9" s="1">
        <v>45926</v>
      </c>
      <c r="C9" t="s">
        <v>57</v>
      </c>
      <c r="D9" t="s">
        <v>58</v>
      </c>
      <c r="E9" s="14">
        <v>923334736769</v>
      </c>
      <c r="F9" t="s">
        <v>17</v>
      </c>
      <c r="G9" t="s">
        <v>18</v>
      </c>
      <c r="H9" t="s">
        <v>59</v>
      </c>
      <c r="I9">
        <v>1</v>
      </c>
      <c r="J9">
        <v>6065</v>
      </c>
      <c r="K9">
        <v>6065</v>
      </c>
      <c r="L9" t="s">
        <v>40</v>
      </c>
      <c r="M9" t="s">
        <v>45</v>
      </c>
      <c r="N9" t="s">
        <v>35</v>
      </c>
    </row>
    <row r="10" spans="1:14" x14ac:dyDescent="0.25">
      <c r="A10" t="s">
        <v>60</v>
      </c>
      <c r="B10" s="1">
        <v>45928</v>
      </c>
      <c r="C10" t="s">
        <v>61</v>
      </c>
      <c r="D10" t="s">
        <v>62</v>
      </c>
      <c r="E10" s="14">
        <v>923292400325</v>
      </c>
      <c r="F10" t="s">
        <v>54</v>
      </c>
      <c r="G10" t="s">
        <v>18</v>
      </c>
      <c r="H10" t="s">
        <v>33</v>
      </c>
      <c r="I10">
        <v>2</v>
      </c>
      <c r="J10">
        <v>2313</v>
      </c>
      <c r="K10">
        <v>4626</v>
      </c>
      <c r="L10" t="s">
        <v>63</v>
      </c>
      <c r="M10" t="s">
        <v>21</v>
      </c>
      <c r="N10" t="s">
        <v>35</v>
      </c>
    </row>
    <row r="11" spans="1:14" x14ac:dyDescent="0.25">
      <c r="A11" t="s">
        <v>64</v>
      </c>
      <c r="B11" s="1">
        <v>46035</v>
      </c>
      <c r="C11" t="s">
        <v>65</v>
      </c>
      <c r="D11" t="s">
        <v>66</v>
      </c>
      <c r="E11" s="14">
        <v>923446692755</v>
      </c>
      <c r="F11" t="s">
        <v>67</v>
      </c>
      <c r="G11" t="s">
        <v>18</v>
      </c>
      <c r="H11" t="s">
        <v>59</v>
      </c>
      <c r="I11">
        <v>5</v>
      </c>
      <c r="J11">
        <v>8597</v>
      </c>
      <c r="K11">
        <v>42985</v>
      </c>
      <c r="L11" t="s">
        <v>68</v>
      </c>
      <c r="M11" t="s">
        <v>55</v>
      </c>
      <c r="N11" t="s">
        <v>69</v>
      </c>
    </row>
    <row r="12" spans="1:14" x14ac:dyDescent="0.25">
      <c r="A12" t="s">
        <v>70</v>
      </c>
      <c r="B12" s="1">
        <v>46032</v>
      </c>
      <c r="C12" t="s">
        <v>71</v>
      </c>
      <c r="D12" t="s">
        <v>72</v>
      </c>
      <c r="E12" s="14">
        <v>923005765917</v>
      </c>
      <c r="F12" t="s">
        <v>67</v>
      </c>
      <c r="G12" t="s">
        <v>18</v>
      </c>
      <c r="H12" t="s">
        <v>73</v>
      </c>
      <c r="I12">
        <v>5</v>
      </c>
      <c r="J12">
        <v>9734</v>
      </c>
      <c r="K12">
        <v>48670</v>
      </c>
      <c r="L12" t="s">
        <v>20</v>
      </c>
      <c r="M12" t="s">
        <v>45</v>
      </c>
      <c r="N12" t="s">
        <v>35</v>
      </c>
    </row>
    <row r="13" spans="1:14" x14ac:dyDescent="0.25">
      <c r="A13" t="s">
        <v>74</v>
      </c>
      <c r="B13" s="1">
        <v>45726</v>
      </c>
      <c r="C13" t="s">
        <v>75</v>
      </c>
      <c r="D13" t="s">
        <v>76</v>
      </c>
      <c r="E13" s="14">
        <v>923257211714</v>
      </c>
      <c r="F13" t="s">
        <v>77</v>
      </c>
      <c r="G13" t="s">
        <v>18</v>
      </c>
      <c r="H13" t="s">
        <v>50</v>
      </c>
      <c r="I13">
        <v>1</v>
      </c>
      <c r="J13">
        <v>5515</v>
      </c>
      <c r="K13">
        <v>5515</v>
      </c>
      <c r="L13" t="s">
        <v>78</v>
      </c>
      <c r="M13" t="s">
        <v>34</v>
      </c>
      <c r="N13" t="s">
        <v>28</v>
      </c>
    </row>
    <row r="14" spans="1:14" x14ac:dyDescent="0.25">
      <c r="A14" t="s">
        <v>79</v>
      </c>
      <c r="B14" s="1">
        <v>46069</v>
      </c>
      <c r="C14" t="s">
        <v>80</v>
      </c>
      <c r="D14" t="s">
        <v>81</v>
      </c>
      <c r="E14" s="14">
        <v>923397664768</v>
      </c>
      <c r="F14" t="s">
        <v>77</v>
      </c>
      <c r="G14" t="s">
        <v>18</v>
      </c>
      <c r="H14" t="s">
        <v>33</v>
      </c>
      <c r="I14">
        <v>2</v>
      </c>
      <c r="J14">
        <v>2355</v>
      </c>
      <c r="K14">
        <v>4710</v>
      </c>
      <c r="L14" t="s">
        <v>20</v>
      </c>
      <c r="M14" t="s">
        <v>82</v>
      </c>
      <c r="N14" t="s">
        <v>35</v>
      </c>
    </row>
    <row r="15" spans="1:14" x14ac:dyDescent="0.25">
      <c r="A15" t="s">
        <v>83</v>
      </c>
      <c r="B15" s="1">
        <v>45712</v>
      </c>
      <c r="C15" t="s">
        <v>84</v>
      </c>
      <c r="D15" t="s">
        <v>85</v>
      </c>
      <c r="E15" s="14">
        <v>923096548102</v>
      </c>
      <c r="F15" t="s">
        <v>17</v>
      </c>
      <c r="G15" t="s">
        <v>18</v>
      </c>
      <c r="H15" t="s">
        <v>33</v>
      </c>
      <c r="I15">
        <v>3</v>
      </c>
      <c r="J15">
        <v>2079</v>
      </c>
      <c r="K15">
        <v>6237</v>
      </c>
      <c r="L15" t="s">
        <v>26</v>
      </c>
      <c r="M15" t="s">
        <v>27</v>
      </c>
      <c r="N15" t="s">
        <v>35</v>
      </c>
    </row>
    <row r="16" spans="1:14" x14ac:dyDescent="0.25">
      <c r="A16" t="s">
        <v>86</v>
      </c>
      <c r="B16" s="1">
        <v>46030</v>
      </c>
      <c r="C16" t="s">
        <v>87</v>
      </c>
      <c r="D16" t="s">
        <v>88</v>
      </c>
      <c r="E16" s="14">
        <v>923397763573</v>
      </c>
      <c r="F16" t="s">
        <v>54</v>
      </c>
      <c r="G16" t="s">
        <v>18</v>
      </c>
      <c r="H16" t="s">
        <v>19</v>
      </c>
      <c r="I16">
        <v>4</v>
      </c>
      <c r="J16">
        <v>3897</v>
      </c>
      <c r="K16">
        <v>15588</v>
      </c>
      <c r="L16" t="s">
        <v>68</v>
      </c>
      <c r="M16" t="s">
        <v>55</v>
      </c>
      <c r="N16" t="s">
        <v>69</v>
      </c>
    </row>
    <row r="17" spans="1:14" x14ac:dyDescent="0.25">
      <c r="A17" t="s">
        <v>89</v>
      </c>
      <c r="B17" s="1">
        <v>45872</v>
      </c>
      <c r="C17" t="s">
        <v>90</v>
      </c>
      <c r="D17" t="s">
        <v>91</v>
      </c>
      <c r="E17" s="14">
        <v>923277429970</v>
      </c>
      <c r="F17" t="s">
        <v>92</v>
      </c>
      <c r="G17" t="s">
        <v>18</v>
      </c>
      <c r="H17" t="s">
        <v>50</v>
      </c>
      <c r="I17">
        <v>2</v>
      </c>
      <c r="J17">
        <v>8432</v>
      </c>
      <c r="K17">
        <v>16864</v>
      </c>
      <c r="L17" t="s">
        <v>40</v>
      </c>
      <c r="M17" t="s">
        <v>93</v>
      </c>
      <c r="N17" t="s">
        <v>22</v>
      </c>
    </row>
    <row r="18" spans="1:14" x14ac:dyDescent="0.25">
      <c r="A18" t="s">
        <v>94</v>
      </c>
      <c r="B18" s="1">
        <v>45884</v>
      </c>
      <c r="C18" t="s">
        <v>95</v>
      </c>
      <c r="D18" t="s">
        <v>96</v>
      </c>
      <c r="E18" s="14">
        <v>923225707422</v>
      </c>
      <c r="F18" t="s">
        <v>44</v>
      </c>
      <c r="G18" t="s">
        <v>18</v>
      </c>
      <c r="H18" t="s">
        <v>73</v>
      </c>
      <c r="I18">
        <v>4</v>
      </c>
      <c r="J18">
        <v>2139</v>
      </c>
      <c r="K18">
        <v>8556</v>
      </c>
      <c r="L18" t="s">
        <v>78</v>
      </c>
      <c r="M18" t="s">
        <v>82</v>
      </c>
      <c r="N18" t="s">
        <v>28</v>
      </c>
    </row>
    <row r="19" spans="1:14" x14ac:dyDescent="0.25">
      <c r="A19" t="s">
        <v>97</v>
      </c>
      <c r="B19" s="1">
        <v>45738</v>
      </c>
      <c r="C19" t="s">
        <v>98</v>
      </c>
      <c r="D19" t="s">
        <v>99</v>
      </c>
      <c r="E19" s="14">
        <v>923142864654</v>
      </c>
      <c r="F19" t="s">
        <v>44</v>
      </c>
      <c r="G19" t="s">
        <v>18</v>
      </c>
      <c r="H19" t="s">
        <v>33</v>
      </c>
      <c r="I19">
        <v>1</v>
      </c>
      <c r="J19">
        <v>7896</v>
      </c>
      <c r="K19">
        <v>7896</v>
      </c>
      <c r="L19" t="s">
        <v>40</v>
      </c>
      <c r="M19" t="s">
        <v>34</v>
      </c>
      <c r="N19" t="s">
        <v>28</v>
      </c>
    </row>
    <row r="20" spans="1:14" x14ac:dyDescent="0.25">
      <c r="A20" t="s">
        <v>100</v>
      </c>
      <c r="B20" s="1">
        <v>45977</v>
      </c>
      <c r="C20" t="s">
        <v>101</v>
      </c>
      <c r="D20" t="s">
        <v>102</v>
      </c>
      <c r="E20" s="14">
        <v>923140511347</v>
      </c>
      <c r="F20" t="s">
        <v>77</v>
      </c>
      <c r="G20" t="s">
        <v>18</v>
      </c>
      <c r="H20" t="s">
        <v>19</v>
      </c>
      <c r="I20">
        <v>5</v>
      </c>
      <c r="J20">
        <v>3493</v>
      </c>
      <c r="K20">
        <v>17465</v>
      </c>
      <c r="L20" t="s">
        <v>26</v>
      </c>
      <c r="M20" t="s">
        <v>55</v>
      </c>
      <c r="N20" t="s">
        <v>69</v>
      </c>
    </row>
    <row r="21" spans="1:14" x14ac:dyDescent="0.25">
      <c r="A21" t="s">
        <v>103</v>
      </c>
      <c r="B21" s="1">
        <v>45751</v>
      </c>
      <c r="C21" t="s">
        <v>104</v>
      </c>
      <c r="D21" t="s">
        <v>105</v>
      </c>
      <c r="E21" s="14">
        <v>923233214407</v>
      </c>
      <c r="F21" t="s">
        <v>106</v>
      </c>
      <c r="G21" t="s">
        <v>18</v>
      </c>
      <c r="H21" t="s">
        <v>33</v>
      </c>
      <c r="I21">
        <v>1</v>
      </c>
      <c r="J21">
        <v>13067</v>
      </c>
      <c r="K21">
        <v>13067</v>
      </c>
      <c r="L21" t="s">
        <v>26</v>
      </c>
      <c r="M21" t="s">
        <v>27</v>
      </c>
      <c r="N21" t="s">
        <v>22</v>
      </c>
    </row>
    <row r="22" spans="1:14" x14ac:dyDescent="0.25">
      <c r="A22" t="s">
        <v>107</v>
      </c>
      <c r="B22" s="1">
        <v>46069</v>
      </c>
      <c r="C22" t="s">
        <v>108</v>
      </c>
      <c r="D22" t="s">
        <v>109</v>
      </c>
      <c r="E22" s="14">
        <v>923201362694</v>
      </c>
      <c r="F22" t="s">
        <v>44</v>
      </c>
      <c r="G22" t="s">
        <v>18</v>
      </c>
      <c r="H22" t="s">
        <v>33</v>
      </c>
      <c r="I22">
        <v>4</v>
      </c>
      <c r="J22">
        <v>8869</v>
      </c>
      <c r="K22">
        <v>35476</v>
      </c>
      <c r="L22" t="s">
        <v>26</v>
      </c>
      <c r="M22" t="s">
        <v>55</v>
      </c>
      <c r="N22" t="s">
        <v>69</v>
      </c>
    </row>
    <row r="23" spans="1:14" x14ac:dyDescent="0.25">
      <c r="A23" t="s">
        <v>110</v>
      </c>
      <c r="B23" s="1">
        <v>45767</v>
      </c>
      <c r="C23" t="s">
        <v>111</v>
      </c>
      <c r="D23" t="s">
        <v>112</v>
      </c>
      <c r="E23" s="14">
        <v>923343263917</v>
      </c>
      <c r="F23" t="s">
        <v>92</v>
      </c>
      <c r="G23" t="s">
        <v>18</v>
      </c>
      <c r="H23" t="s">
        <v>50</v>
      </c>
      <c r="I23">
        <v>1</v>
      </c>
      <c r="J23">
        <v>11272</v>
      </c>
      <c r="K23">
        <v>11272</v>
      </c>
      <c r="L23" t="s">
        <v>26</v>
      </c>
      <c r="M23" t="s">
        <v>55</v>
      </c>
      <c r="N23" t="s">
        <v>22</v>
      </c>
    </row>
    <row r="24" spans="1:14" x14ac:dyDescent="0.25">
      <c r="A24" t="s">
        <v>113</v>
      </c>
      <c r="B24" s="1">
        <v>45972</v>
      </c>
      <c r="C24" t="s">
        <v>114</v>
      </c>
      <c r="D24" t="s">
        <v>115</v>
      </c>
      <c r="E24" s="14">
        <v>923116053263</v>
      </c>
      <c r="F24" t="s">
        <v>49</v>
      </c>
      <c r="G24" t="s">
        <v>18</v>
      </c>
      <c r="H24" t="s">
        <v>59</v>
      </c>
      <c r="I24">
        <v>1</v>
      </c>
      <c r="J24">
        <v>6404</v>
      </c>
      <c r="K24">
        <v>6404</v>
      </c>
      <c r="L24" t="s">
        <v>63</v>
      </c>
      <c r="M24" t="s">
        <v>93</v>
      </c>
      <c r="N24" t="s">
        <v>69</v>
      </c>
    </row>
    <row r="25" spans="1:14" x14ac:dyDescent="0.25">
      <c r="A25" t="s">
        <v>116</v>
      </c>
      <c r="B25" s="1">
        <v>45749</v>
      </c>
      <c r="C25" t="s">
        <v>117</v>
      </c>
      <c r="D25" t="s">
        <v>118</v>
      </c>
      <c r="E25" s="14">
        <v>923462903430</v>
      </c>
      <c r="F25" t="s">
        <v>17</v>
      </c>
      <c r="G25" t="s">
        <v>18</v>
      </c>
      <c r="H25" t="s">
        <v>50</v>
      </c>
      <c r="I25">
        <v>4</v>
      </c>
      <c r="J25">
        <v>12456</v>
      </c>
      <c r="K25">
        <v>49824</v>
      </c>
      <c r="L25" t="s">
        <v>20</v>
      </c>
      <c r="M25" t="s">
        <v>21</v>
      </c>
      <c r="N25" t="s">
        <v>22</v>
      </c>
    </row>
    <row r="26" spans="1:14" x14ac:dyDescent="0.25">
      <c r="A26" t="s">
        <v>119</v>
      </c>
      <c r="B26" s="1">
        <v>45874</v>
      </c>
      <c r="C26" t="s">
        <v>120</v>
      </c>
      <c r="D26" t="s">
        <v>121</v>
      </c>
      <c r="E26" s="14">
        <v>923473643233</v>
      </c>
      <c r="F26" t="s">
        <v>122</v>
      </c>
      <c r="G26" t="s">
        <v>18</v>
      </c>
      <c r="H26" t="s">
        <v>50</v>
      </c>
      <c r="I26">
        <v>4</v>
      </c>
      <c r="J26">
        <v>6576</v>
      </c>
      <c r="K26">
        <v>26304</v>
      </c>
      <c r="L26" t="s">
        <v>63</v>
      </c>
      <c r="M26" t="s">
        <v>93</v>
      </c>
      <c r="N26" t="s">
        <v>28</v>
      </c>
    </row>
    <row r="27" spans="1:14" x14ac:dyDescent="0.25">
      <c r="A27" t="s">
        <v>123</v>
      </c>
      <c r="B27" s="1">
        <v>46045</v>
      </c>
      <c r="C27" t="s">
        <v>124</v>
      </c>
      <c r="D27" t="s">
        <v>125</v>
      </c>
      <c r="E27" s="14">
        <v>923365360273</v>
      </c>
      <c r="F27" t="s">
        <v>44</v>
      </c>
      <c r="G27" t="s">
        <v>18</v>
      </c>
      <c r="H27" t="s">
        <v>39</v>
      </c>
      <c r="I27">
        <v>2</v>
      </c>
      <c r="J27">
        <v>1274</v>
      </c>
      <c r="K27">
        <v>2548</v>
      </c>
      <c r="L27" t="s">
        <v>78</v>
      </c>
      <c r="M27" t="s">
        <v>45</v>
      </c>
      <c r="N27" t="s">
        <v>28</v>
      </c>
    </row>
    <row r="28" spans="1:14" x14ac:dyDescent="0.25">
      <c r="A28" t="s">
        <v>126</v>
      </c>
      <c r="B28" s="1">
        <v>45799</v>
      </c>
      <c r="C28" t="s">
        <v>127</v>
      </c>
      <c r="D28" t="s">
        <v>128</v>
      </c>
      <c r="E28" s="14">
        <v>923091138729</v>
      </c>
      <c r="F28" t="s">
        <v>92</v>
      </c>
      <c r="G28" t="s">
        <v>18</v>
      </c>
      <c r="H28" t="s">
        <v>39</v>
      </c>
      <c r="I28">
        <v>5</v>
      </c>
      <c r="J28">
        <v>11283</v>
      </c>
      <c r="K28">
        <v>56415</v>
      </c>
      <c r="L28" t="s">
        <v>68</v>
      </c>
      <c r="M28" t="s">
        <v>93</v>
      </c>
      <c r="N28" t="s">
        <v>35</v>
      </c>
    </row>
    <row r="29" spans="1:14" x14ac:dyDescent="0.25">
      <c r="A29" t="s">
        <v>129</v>
      </c>
      <c r="B29" s="1">
        <v>45791</v>
      </c>
      <c r="C29" t="s">
        <v>130</v>
      </c>
      <c r="D29" t="s">
        <v>131</v>
      </c>
      <c r="E29" s="14">
        <v>923041337890</v>
      </c>
      <c r="F29" t="s">
        <v>92</v>
      </c>
      <c r="G29" t="s">
        <v>18</v>
      </c>
      <c r="H29" t="s">
        <v>50</v>
      </c>
      <c r="I29">
        <v>4</v>
      </c>
      <c r="J29">
        <v>7013</v>
      </c>
      <c r="K29">
        <v>28052</v>
      </c>
      <c r="L29" t="s">
        <v>68</v>
      </c>
      <c r="M29" t="s">
        <v>34</v>
      </c>
      <c r="N29" t="s">
        <v>28</v>
      </c>
    </row>
    <row r="30" spans="1:14" x14ac:dyDescent="0.25">
      <c r="A30" t="s">
        <v>132</v>
      </c>
      <c r="B30" s="1">
        <v>46034</v>
      </c>
      <c r="C30" t="s">
        <v>133</v>
      </c>
      <c r="D30" t="s">
        <v>134</v>
      </c>
      <c r="E30" s="14">
        <v>923174483103</v>
      </c>
      <c r="F30" t="s">
        <v>44</v>
      </c>
      <c r="G30" t="s">
        <v>18</v>
      </c>
      <c r="H30" t="s">
        <v>33</v>
      </c>
      <c r="I30">
        <v>5</v>
      </c>
      <c r="J30">
        <v>11056</v>
      </c>
      <c r="K30">
        <v>55280</v>
      </c>
      <c r="L30" t="s">
        <v>68</v>
      </c>
      <c r="M30" t="s">
        <v>135</v>
      </c>
      <c r="N30" t="s">
        <v>35</v>
      </c>
    </row>
    <row r="31" spans="1:14" x14ac:dyDescent="0.25">
      <c r="A31" t="s">
        <v>136</v>
      </c>
      <c r="B31" s="1">
        <v>46054</v>
      </c>
      <c r="C31" t="s">
        <v>137</v>
      </c>
      <c r="D31" t="s">
        <v>138</v>
      </c>
      <c r="E31" s="14">
        <v>923062436731</v>
      </c>
      <c r="F31" t="s">
        <v>17</v>
      </c>
      <c r="G31" t="s">
        <v>18</v>
      </c>
      <c r="H31" t="s">
        <v>59</v>
      </c>
      <c r="I31">
        <v>3</v>
      </c>
      <c r="J31">
        <v>4892</v>
      </c>
      <c r="K31">
        <v>14676</v>
      </c>
      <c r="L31" t="s">
        <v>68</v>
      </c>
      <c r="M31" t="s">
        <v>55</v>
      </c>
      <c r="N31" t="s">
        <v>28</v>
      </c>
    </row>
    <row r="32" spans="1:14" x14ac:dyDescent="0.25">
      <c r="A32" t="s">
        <v>139</v>
      </c>
      <c r="B32" s="1">
        <v>45969</v>
      </c>
      <c r="C32" t="s">
        <v>140</v>
      </c>
      <c r="D32" t="s">
        <v>141</v>
      </c>
      <c r="E32" s="14">
        <v>923350725488</v>
      </c>
      <c r="F32" t="s">
        <v>122</v>
      </c>
      <c r="G32" t="s">
        <v>18</v>
      </c>
      <c r="H32" t="s">
        <v>33</v>
      </c>
      <c r="I32">
        <v>5</v>
      </c>
      <c r="J32">
        <v>14664</v>
      </c>
      <c r="K32">
        <v>73320</v>
      </c>
      <c r="L32" t="s">
        <v>78</v>
      </c>
      <c r="M32" t="s">
        <v>21</v>
      </c>
      <c r="N32" t="s">
        <v>69</v>
      </c>
    </row>
    <row r="33" spans="1:14" x14ac:dyDescent="0.25">
      <c r="A33" t="s">
        <v>142</v>
      </c>
      <c r="B33" s="1">
        <v>45955</v>
      </c>
      <c r="C33" t="s">
        <v>143</v>
      </c>
      <c r="D33" t="s">
        <v>144</v>
      </c>
      <c r="E33" s="14">
        <v>923312525588</v>
      </c>
      <c r="F33" t="s">
        <v>122</v>
      </c>
      <c r="G33" t="s">
        <v>18</v>
      </c>
      <c r="H33" t="s">
        <v>50</v>
      </c>
      <c r="I33">
        <v>2</v>
      </c>
      <c r="J33">
        <v>14511</v>
      </c>
      <c r="K33">
        <v>29022</v>
      </c>
      <c r="L33" t="s">
        <v>20</v>
      </c>
      <c r="M33" t="s">
        <v>34</v>
      </c>
      <c r="N33" t="s">
        <v>22</v>
      </c>
    </row>
    <row r="34" spans="1:14" x14ac:dyDescent="0.25">
      <c r="A34" t="s">
        <v>145</v>
      </c>
      <c r="B34" s="1">
        <v>45864</v>
      </c>
      <c r="C34" t="s">
        <v>146</v>
      </c>
      <c r="D34" t="s">
        <v>147</v>
      </c>
      <c r="E34" s="14">
        <v>923442240661</v>
      </c>
      <c r="F34" t="s">
        <v>67</v>
      </c>
      <c r="G34" t="s">
        <v>18</v>
      </c>
      <c r="H34" t="s">
        <v>73</v>
      </c>
      <c r="I34">
        <v>2</v>
      </c>
      <c r="J34">
        <v>4482</v>
      </c>
      <c r="K34">
        <v>8964</v>
      </c>
      <c r="L34" t="s">
        <v>20</v>
      </c>
      <c r="M34" t="s">
        <v>21</v>
      </c>
      <c r="N34" t="s">
        <v>22</v>
      </c>
    </row>
    <row r="35" spans="1:14" x14ac:dyDescent="0.25">
      <c r="A35" t="s">
        <v>148</v>
      </c>
      <c r="B35" s="1">
        <v>46015</v>
      </c>
      <c r="C35" t="s">
        <v>149</v>
      </c>
      <c r="D35" t="s">
        <v>150</v>
      </c>
      <c r="E35" s="14">
        <v>923162380806</v>
      </c>
      <c r="F35" t="s">
        <v>54</v>
      </c>
      <c r="G35" t="s">
        <v>18</v>
      </c>
      <c r="H35" t="s">
        <v>59</v>
      </c>
      <c r="I35">
        <v>5</v>
      </c>
      <c r="J35">
        <v>5596</v>
      </c>
      <c r="K35">
        <v>27980</v>
      </c>
      <c r="L35" t="s">
        <v>40</v>
      </c>
      <c r="M35" t="s">
        <v>55</v>
      </c>
      <c r="N35" t="s">
        <v>35</v>
      </c>
    </row>
    <row r="36" spans="1:14" x14ac:dyDescent="0.25">
      <c r="A36" t="s">
        <v>151</v>
      </c>
      <c r="B36" s="1">
        <v>45858</v>
      </c>
      <c r="C36" t="s">
        <v>152</v>
      </c>
      <c r="D36" t="s">
        <v>153</v>
      </c>
      <c r="E36" s="14">
        <v>923490987473</v>
      </c>
      <c r="F36" t="s">
        <v>92</v>
      </c>
      <c r="G36" t="s">
        <v>18</v>
      </c>
      <c r="H36" t="s">
        <v>73</v>
      </c>
      <c r="I36">
        <v>3</v>
      </c>
      <c r="J36">
        <v>6052</v>
      </c>
      <c r="K36">
        <v>18156</v>
      </c>
      <c r="L36" t="s">
        <v>63</v>
      </c>
      <c r="M36" t="s">
        <v>93</v>
      </c>
      <c r="N36" t="s">
        <v>28</v>
      </c>
    </row>
    <row r="37" spans="1:14" x14ac:dyDescent="0.25">
      <c r="A37" t="s">
        <v>154</v>
      </c>
      <c r="B37" s="1">
        <v>46002</v>
      </c>
      <c r="C37" t="s">
        <v>155</v>
      </c>
      <c r="D37" t="s">
        <v>156</v>
      </c>
      <c r="E37" s="14">
        <v>923093178686</v>
      </c>
      <c r="F37" t="s">
        <v>106</v>
      </c>
      <c r="G37" t="s">
        <v>18</v>
      </c>
      <c r="H37" t="s">
        <v>33</v>
      </c>
      <c r="I37">
        <v>3</v>
      </c>
      <c r="J37">
        <v>9855</v>
      </c>
      <c r="K37">
        <v>29565</v>
      </c>
      <c r="L37" t="s">
        <v>20</v>
      </c>
      <c r="M37" t="s">
        <v>27</v>
      </c>
      <c r="N37" t="s">
        <v>69</v>
      </c>
    </row>
    <row r="38" spans="1:14" x14ac:dyDescent="0.25">
      <c r="A38" t="s">
        <v>157</v>
      </c>
      <c r="B38" s="1">
        <v>45911</v>
      </c>
      <c r="C38" t="s">
        <v>158</v>
      </c>
      <c r="D38" t="s">
        <v>159</v>
      </c>
      <c r="E38" s="14">
        <v>923489645159</v>
      </c>
      <c r="F38" t="s">
        <v>49</v>
      </c>
      <c r="G38" t="s">
        <v>18</v>
      </c>
      <c r="H38" t="s">
        <v>59</v>
      </c>
      <c r="I38">
        <v>2</v>
      </c>
      <c r="J38">
        <v>5531</v>
      </c>
      <c r="K38">
        <v>11062</v>
      </c>
      <c r="L38" t="s">
        <v>40</v>
      </c>
      <c r="M38" t="s">
        <v>27</v>
      </c>
      <c r="N38" t="s">
        <v>28</v>
      </c>
    </row>
    <row r="39" spans="1:14" x14ac:dyDescent="0.25">
      <c r="A39" t="s">
        <v>160</v>
      </c>
      <c r="B39" s="1">
        <v>45974</v>
      </c>
      <c r="C39" t="s">
        <v>161</v>
      </c>
      <c r="D39" t="s">
        <v>162</v>
      </c>
      <c r="E39" s="14">
        <v>923348443004</v>
      </c>
      <c r="F39" t="s">
        <v>49</v>
      </c>
      <c r="G39" t="s">
        <v>18</v>
      </c>
      <c r="H39" t="s">
        <v>19</v>
      </c>
      <c r="I39">
        <v>4</v>
      </c>
      <c r="J39">
        <v>12820</v>
      </c>
      <c r="K39">
        <v>51280</v>
      </c>
      <c r="L39" t="s">
        <v>20</v>
      </c>
      <c r="M39" t="s">
        <v>45</v>
      </c>
      <c r="N39" t="s">
        <v>28</v>
      </c>
    </row>
    <row r="40" spans="1:14" x14ac:dyDescent="0.25">
      <c r="A40" t="s">
        <v>163</v>
      </c>
      <c r="B40" s="1">
        <v>45978</v>
      </c>
      <c r="C40" t="s">
        <v>164</v>
      </c>
      <c r="D40" t="s">
        <v>165</v>
      </c>
      <c r="E40" s="14">
        <v>923287167247</v>
      </c>
      <c r="F40" t="s">
        <v>49</v>
      </c>
      <c r="G40" t="s">
        <v>18</v>
      </c>
      <c r="H40" t="s">
        <v>73</v>
      </c>
      <c r="I40">
        <v>2</v>
      </c>
      <c r="J40">
        <v>10109</v>
      </c>
      <c r="K40">
        <v>20218</v>
      </c>
      <c r="L40" t="s">
        <v>26</v>
      </c>
      <c r="M40" t="s">
        <v>135</v>
      </c>
      <c r="N40" t="s">
        <v>69</v>
      </c>
    </row>
    <row r="41" spans="1:14" x14ac:dyDescent="0.25">
      <c r="A41" t="s">
        <v>166</v>
      </c>
      <c r="B41" s="1">
        <v>45848</v>
      </c>
      <c r="C41" t="s">
        <v>167</v>
      </c>
      <c r="D41" t="s">
        <v>168</v>
      </c>
      <c r="E41" s="14">
        <v>923422006444</v>
      </c>
      <c r="F41" t="s">
        <v>49</v>
      </c>
      <c r="G41" t="s">
        <v>18</v>
      </c>
      <c r="H41" t="s">
        <v>59</v>
      </c>
      <c r="I41">
        <v>5</v>
      </c>
      <c r="J41">
        <v>2546</v>
      </c>
      <c r="K41">
        <v>12730</v>
      </c>
      <c r="L41" t="s">
        <v>63</v>
      </c>
      <c r="M41" t="s">
        <v>93</v>
      </c>
      <c r="N41" t="s">
        <v>69</v>
      </c>
    </row>
    <row r="42" spans="1:14" x14ac:dyDescent="0.25">
      <c r="A42" t="s">
        <v>169</v>
      </c>
      <c r="B42" s="1">
        <v>46020</v>
      </c>
      <c r="C42" t="s">
        <v>170</v>
      </c>
      <c r="D42" t="s">
        <v>171</v>
      </c>
      <c r="E42" s="14">
        <v>923481303902</v>
      </c>
      <c r="F42" t="s">
        <v>77</v>
      </c>
      <c r="G42" t="s">
        <v>18</v>
      </c>
      <c r="H42" t="s">
        <v>50</v>
      </c>
      <c r="I42">
        <v>3</v>
      </c>
      <c r="J42">
        <v>6829</v>
      </c>
      <c r="K42">
        <v>20487</v>
      </c>
      <c r="L42" t="s">
        <v>68</v>
      </c>
      <c r="M42" t="s">
        <v>82</v>
      </c>
      <c r="N42" t="s">
        <v>69</v>
      </c>
    </row>
    <row r="43" spans="1:14" x14ac:dyDescent="0.25">
      <c r="A43" t="s">
        <v>172</v>
      </c>
      <c r="B43" s="1">
        <v>45853</v>
      </c>
      <c r="C43" t="s">
        <v>173</v>
      </c>
      <c r="D43" t="s">
        <v>174</v>
      </c>
      <c r="E43" s="14">
        <v>923047550886</v>
      </c>
      <c r="F43" t="s">
        <v>44</v>
      </c>
      <c r="G43" t="s">
        <v>18</v>
      </c>
      <c r="H43" t="s">
        <v>39</v>
      </c>
      <c r="I43">
        <v>5</v>
      </c>
      <c r="J43">
        <v>13139</v>
      </c>
      <c r="K43">
        <v>65695</v>
      </c>
      <c r="L43" t="s">
        <v>20</v>
      </c>
      <c r="M43" t="s">
        <v>55</v>
      </c>
      <c r="N43" t="s">
        <v>35</v>
      </c>
    </row>
    <row r="44" spans="1:14" x14ac:dyDescent="0.25">
      <c r="A44" t="s">
        <v>175</v>
      </c>
      <c r="B44" s="1">
        <v>45948</v>
      </c>
      <c r="C44" t="s">
        <v>176</v>
      </c>
      <c r="D44" t="s">
        <v>177</v>
      </c>
      <c r="E44" s="14">
        <v>923228010057</v>
      </c>
      <c r="F44" t="s">
        <v>32</v>
      </c>
      <c r="G44" t="s">
        <v>18</v>
      </c>
      <c r="H44" t="s">
        <v>39</v>
      </c>
      <c r="I44">
        <v>5</v>
      </c>
      <c r="J44">
        <v>9858</v>
      </c>
      <c r="K44">
        <v>49290</v>
      </c>
      <c r="L44" t="s">
        <v>20</v>
      </c>
      <c r="M44" t="s">
        <v>82</v>
      </c>
      <c r="N44" t="s">
        <v>28</v>
      </c>
    </row>
    <row r="45" spans="1:14" x14ac:dyDescent="0.25">
      <c r="A45" t="s">
        <v>178</v>
      </c>
      <c r="B45" s="1">
        <v>45904</v>
      </c>
      <c r="C45" t="s">
        <v>179</v>
      </c>
      <c r="D45" t="s">
        <v>180</v>
      </c>
      <c r="E45" s="14">
        <v>923164365781</v>
      </c>
      <c r="F45" t="s">
        <v>32</v>
      </c>
      <c r="G45" t="s">
        <v>18</v>
      </c>
      <c r="H45" t="s">
        <v>59</v>
      </c>
      <c r="I45">
        <v>2</v>
      </c>
      <c r="J45">
        <v>5020</v>
      </c>
      <c r="K45">
        <v>10040</v>
      </c>
      <c r="L45" t="s">
        <v>78</v>
      </c>
      <c r="M45" t="s">
        <v>93</v>
      </c>
      <c r="N45" t="s">
        <v>35</v>
      </c>
    </row>
    <row r="46" spans="1:14" x14ac:dyDescent="0.25">
      <c r="A46" t="s">
        <v>181</v>
      </c>
      <c r="B46" s="1">
        <v>45936</v>
      </c>
      <c r="C46" t="s">
        <v>182</v>
      </c>
      <c r="D46" t="s">
        <v>183</v>
      </c>
      <c r="E46" s="14">
        <v>923084431456</v>
      </c>
      <c r="F46" t="s">
        <v>92</v>
      </c>
      <c r="G46" t="s">
        <v>18</v>
      </c>
      <c r="H46" t="s">
        <v>59</v>
      </c>
      <c r="I46">
        <v>3</v>
      </c>
      <c r="J46">
        <v>6383</v>
      </c>
      <c r="K46">
        <v>19149</v>
      </c>
      <c r="L46" t="s">
        <v>26</v>
      </c>
      <c r="M46" t="s">
        <v>34</v>
      </c>
      <c r="N46" t="s">
        <v>69</v>
      </c>
    </row>
    <row r="47" spans="1:14" x14ac:dyDescent="0.25">
      <c r="A47" t="s">
        <v>184</v>
      </c>
      <c r="B47" s="1">
        <v>45830</v>
      </c>
      <c r="C47" t="s">
        <v>185</v>
      </c>
      <c r="D47" t="s">
        <v>186</v>
      </c>
      <c r="E47" s="14">
        <v>923262025928</v>
      </c>
      <c r="F47" t="s">
        <v>92</v>
      </c>
      <c r="G47" t="s">
        <v>18</v>
      </c>
      <c r="H47" t="s">
        <v>19</v>
      </c>
      <c r="I47">
        <v>5</v>
      </c>
      <c r="J47">
        <v>14140</v>
      </c>
      <c r="K47">
        <v>70700</v>
      </c>
      <c r="L47" t="s">
        <v>20</v>
      </c>
      <c r="M47" t="s">
        <v>135</v>
      </c>
      <c r="N47" t="s">
        <v>69</v>
      </c>
    </row>
    <row r="48" spans="1:14" x14ac:dyDescent="0.25">
      <c r="A48" t="s">
        <v>187</v>
      </c>
      <c r="B48" s="1">
        <v>45932</v>
      </c>
      <c r="C48" t="s">
        <v>188</v>
      </c>
      <c r="D48" t="s">
        <v>189</v>
      </c>
      <c r="E48" s="14">
        <v>923466288330</v>
      </c>
      <c r="F48" t="s">
        <v>77</v>
      </c>
      <c r="G48" t="s">
        <v>18</v>
      </c>
      <c r="H48" t="s">
        <v>50</v>
      </c>
      <c r="I48">
        <v>1</v>
      </c>
      <c r="J48">
        <v>6986</v>
      </c>
      <c r="K48">
        <v>6986</v>
      </c>
      <c r="L48" t="s">
        <v>20</v>
      </c>
      <c r="M48" t="s">
        <v>93</v>
      </c>
      <c r="N48" t="s">
        <v>22</v>
      </c>
    </row>
    <row r="49" spans="1:14" x14ac:dyDescent="0.25">
      <c r="A49" t="s">
        <v>190</v>
      </c>
      <c r="B49" s="1">
        <v>45771</v>
      </c>
      <c r="C49" t="s">
        <v>191</v>
      </c>
      <c r="D49" t="s">
        <v>192</v>
      </c>
      <c r="E49" s="14">
        <v>923299054057</v>
      </c>
      <c r="F49" t="s">
        <v>49</v>
      </c>
      <c r="G49" t="s">
        <v>18</v>
      </c>
      <c r="H49" t="s">
        <v>73</v>
      </c>
      <c r="I49">
        <v>4</v>
      </c>
      <c r="J49">
        <v>9737</v>
      </c>
      <c r="K49">
        <v>38948</v>
      </c>
      <c r="L49" t="s">
        <v>40</v>
      </c>
      <c r="M49" t="s">
        <v>45</v>
      </c>
      <c r="N49" t="s">
        <v>22</v>
      </c>
    </row>
    <row r="50" spans="1:14" x14ac:dyDescent="0.25">
      <c r="A50" t="s">
        <v>193</v>
      </c>
      <c r="B50" s="1">
        <v>45862</v>
      </c>
      <c r="C50" t="s">
        <v>194</v>
      </c>
      <c r="D50" t="s">
        <v>195</v>
      </c>
      <c r="E50" s="14">
        <v>923472422660</v>
      </c>
      <c r="F50" t="s">
        <v>32</v>
      </c>
      <c r="G50" t="s">
        <v>18</v>
      </c>
      <c r="H50" t="s">
        <v>33</v>
      </c>
      <c r="I50">
        <v>1</v>
      </c>
      <c r="J50">
        <v>10307</v>
      </c>
      <c r="K50">
        <v>10307</v>
      </c>
      <c r="L50" t="s">
        <v>68</v>
      </c>
      <c r="M50" t="s">
        <v>135</v>
      </c>
      <c r="N50" t="s">
        <v>22</v>
      </c>
    </row>
    <row r="51" spans="1:14" x14ac:dyDescent="0.25">
      <c r="A51" t="s">
        <v>196</v>
      </c>
      <c r="B51" s="1">
        <v>45980</v>
      </c>
      <c r="C51" t="s">
        <v>197</v>
      </c>
      <c r="D51" t="s">
        <v>198</v>
      </c>
      <c r="E51" s="14">
        <v>923311226919</v>
      </c>
      <c r="F51" t="s">
        <v>17</v>
      </c>
      <c r="G51" t="s">
        <v>18</v>
      </c>
      <c r="H51" t="s">
        <v>39</v>
      </c>
      <c r="I51">
        <v>1</v>
      </c>
      <c r="J51">
        <v>2924</v>
      </c>
      <c r="K51">
        <v>2924</v>
      </c>
      <c r="L51" t="s">
        <v>26</v>
      </c>
      <c r="M51" t="s">
        <v>82</v>
      </c>
      <c r="N51" t="s">
        <v>28</v>
      </c>
    </row>
    <row r="52" spans="1:14" x14ac:dyDescent="0.25">
      <c r="A52" t="s">
        <v>199</v>
      </c>
      <c r="B52" s="1">
        <v>46039</v>
      </c>
      <c r="C52" t="s">
        <v>200</v>
      </c>
      <c r="D52" t="s">
        <v>201</v>
      </c>
      <c r="E52" s="14">
        <v>923490366684</v>
      </c>
      <c r="F52" t="s">
        <v>67</v>
      </c>
      <c r="G52" t="s">
        <v>18</v>
      </c>
      <c r="H52" t="s">
        <v>73</v>
      </c>
      <c r="I52">
        <v>3</v>
      </c>
      <c r="J52">
        <v>8813</v>
      </c>
      <c r="K52">
        <v>26439</v>
      </c>
      <c r="L52" t="s">
        <v>78</v>
      </c>
      <c r="M52" t="s">
        <v>82</v>
      </c>
      <c r="N52" t="s">
        <v>35</v>
      </c>
    </row>
    <row r="53" spans="1:14" x14ac:dyDescent="0.25">
      <c r="A53" t="s">
        <v>202</v>
      </c>
      <c r="B53" s="1">
        <v>45788</v>
      </c>
      <c r="C53" t="s">
        <v>203</v>
      </c>
      <c r="D53" t="s">
        <v>204</v>
      </c>
      <c r="E53" s="14">
        <v>923345644894</v>
      </c>
      <c r="F53" t="s">
        <v>32</v>
      </c>
      <c r="G53" t="s">
        <v>18</v>
      </c>
      <c r="H53" t="s">
        <v>59</v>
      </c>
      <c r="I53">
        <v>3</v>
      </c>
      <c r="J53">
        <v>3059</v>
      </c>
      <c r="K53">
        <v>9177</v>
      </c>
      <c r="L53" t="s">
        <v>63</v>
      </c>
      <c r="M53" t="s">
        <v>21</v>
      </c>
      <c r="N53" t="s">
        <v>28</v>
      </c>
    </row>
    <row r="54" spans="1:14" x14ac:dyDescent="0.25">
      <c r="A54" t="s">
        <v>205</v>
      </c>
      <c r="B54" s="1">
        <v>46031</v>
      </c>
      <c r="C54" t="s">
        <v>206</v>
      </c>
      <c r="D54" t="s">
        <v>207</v>
      </c>
      <c r="E54" s="14">
        <v>923245816345</v>
      </c>
      <c r="F54" t="s">
        <v>54</v>
      </c>
      <c r="G54" t="s">
        <v>18</v>
      </c>
      <c r="H54" t="s">
        <v>50</v>
      </c>
      <c r="I54">
        <v>5</v>
      </c>
      <c r="J54">
        <v>2389</v>
      </c>
      <c r="K54">
        <v>11945</v>
      </c>
      <c r="L54" t="s">
        <v>20</v>
      </c>
      <c r="M54" t="s">
        <v>27</v>
      </c>
      <c r="N54" t="s">
        <v>35</v>
      </c>
    </row>
    <row r="55" spans="1:14" x14ac:dyDescent="0.25">
      <c r="A55" t="s">
        <v>208</v>
      </c>
      <c r="B55" s="1">
        <v>45816</v>
      </c>
      <c r="C55" t="s">
        <v>209</v>
      </c>
      <c r="D55" t="s">
        <v>210</v>
      </c>
      <c r="E55" s="14">
        <v>923212603435</v>
      </c>
      <c r="F55" t="s">
        <v>77</v>
      </c>
      <c r="G55" t="s">
        <v>18</v>
      </c>
      <c r="H55" t="s">
        <v>50</v>
      </c>
      <c r="I55">
        <v>2</v>
      </c>
      <c r="J55">
        <v>9998</v>
      </c>
      <c r="K55">
        <v>19996</v>
      </c>
      <c r="L55" t="s">
        <v>63</v>
      </c>
      <c r="M55" t="s">
        <v>21</v>
      </c>
      <c r="N55" t="s">
        <v>28</v>
      </c>
    </row>
    <row r="56" spans="1:14" x14ac:dyDescent="0.25">
      <c r="A56" t="s">
        <v>211</v>
      </c>
      <c r="B56" s="1">
        <v>45830</v>
      </c>
      <c r="C56" t="s">
        <v>212</v>
      </c>
      <c r="D56" t="s">
        <v>213</v>
      </c>
      <c r="E56" s="14">
        <v>923093483330</v>
      </c>
      <c r="F56" t="s">
        <v>122</v>
      </c>
      <c r="G56" t="s">
        <v>18</v>
      </c>
      <c r="H56" t="s">
        <v>19</v>
      </c>
      <c r="I56">
        <v>3</v>
      </c>
      <c r="J56">
        <v>8655</v>
      </c>
      <c r="K56">
        <v>25965</v>
      </c>
      <c r="L56" t="s">
        <v>63</v>
      </c>
      <c r="M56" t="s">
        <v>21</v>
      </c>
      <c r="N56" t="s">
        <v>69</v>
      </c>
    </row>
    <row r="57" spans="1:14" x14ac:dyDescent="0.25">
      <c r="A57" t="s">
        <v>214</v>
      </c>
      <c r="B57" s="1">
        <v>45969</v>
      </c>
      <c r="C57" t="s">
        <v>215</v>
      </c>
      <c r="D57" t="s">
        <v>216</v>
      </c>
      <c r="E57" s="14">
        <v>923189095780</v>
      </c>
      <c r="F57" t="s">
        <v>17</v>
      </c>
      <c r="G57" t="s">
        <v>18</v>
      </c>
      <c r="H57" t="s">
        <v>73</v>
      </c>
      <c r="I57">
        <v>4</v>
      </c>
      <c r="J57">
        <v>14887</v>
      </c>
      <c r="K57">
        <v>59548</v>
      </c>
      <c r="L57" t="s">
        <v>68</v>
      </c>
      <c r="M57" t="s">
        <v>135</v>
      </c>
      <c r="N57" t="s">
        <v>22</v>
      </c>
    </row>
    <row r="58" spans="1:14" x14ac:dyDescent="0.25">
      <c r="A58" t="s">
        <v>217</v>
      </c>
      <c r="B58" s="1">
        <v>45719</v>
      </c>
      <c r="C58" t="s">
        <v>218</v>
      </c>
      <c r="D58" t="s">
        <v>219</v>
      </c>
      <c r="E58" s="14">
        <v>923116775609</v>
      </c>
      <c r="F58" t="s">
        <v>122</v>
      </c>
      <c r="G58" t="s">
        <v>18</v>
      </c>
      <c r="H58" t="s">
        <v>73</v>
      </c>
      <c r="I58">
        <v>4</v>
      </c>
      <c r="J58">
        <v>6025</v>
      </c>
      <c r="K58">
        <v>24100</v>
      </c>
      <c r="L58" t="s">
        <v>78</v>
      </c>
      <c r="M58" t="s">
        <v>27</v>
      </c>
      <c r="N58" t="s">
        <v>28</v>
      </c>
    </row>
    <row r="59" spans="1:14" x14ac:dyDescent="0.25">
      <c r="A59" t="s">
        <v>220</v>
      </c>
      <c r="B59" s="1">
        <v>45805</v>
      </c>
      <c r="C59" t="s">
        <v>221</v>
      </c>
      <c r="D59" t="s">
        <v>222</v>
      </c>
      <c r="E59" s="14">
        <v>923310019745</v>
      </c>
      <c r="F59" t="s">
        <v>77</v>
      </c>
      <c r="G59" t="s">
        <v>18</v>
      </c>
      <c r="H59" t="s">
        <v>50</v>
      </c>
      <c r="I59">
        <v>3</v>
      </c>
      <c r="J59">
        <v>5285</v>
      </c>
      <c r="K59">
        <v>15855</v>
      </c>
      <c r="L59" t="s">
        <v>40</v>
      </c>
      <c r="M59" t="s">
        <v>34</v>
      </c>
      <c r="N59" t="s">
        <v>35</v>
      </c>
    </row>
    <row r="60" spans="1:14" x14ac:dyDescent="0.25">
      <c r="A60" t="s">
        <v>223</v>
      </c>
      <c r="B60" s="1">
        <v>46002</v>
      </c>
      <c r="C60" t="s">
        <v>224</v>
      </c>
      <c r="D60" t="s">
        <v>225</v>
      </c>
      <c r="E60" s="14">
        <v>923190148920</v>
      </c>
      <c r="F60" t="s">
        <v>32</v>
      </c>
      <c r="G60" t="s">
        <v>18</v>
      </c>
      <c r="H60" t="s">
        <v>19</v>
      </c>
      <c r="I60">
        <v>5</v>
      </c>
      <c r="J60">
        <v>10491</v>
      </c>
      <c r="K60">
        <v>52455</v>
      </c>
      <c r="L60" t="s">
        <v>26</v>
      </c>
      <c r="M60" t="s">
        <v>82</v>
      </c>
      <c r="N60" t="s">
        <v>28</v>
      </c>
    </row>
    <row r="61" spans="1:14" x14ac:dyDescent="0.25">
      <c r="A61" t="s">
        <v>226</v>
      </c>
      <c r="B61" s="1">
        <v>46040</v>
      </c>
      <c r="C61" t="s">
        <v>227</v>
      </c>
      <c r="D61" t="s">
        <v>228</v>
      </c>
      <c r="E61" s="14">
        <v>923329027708</v>
      </c>
      <c r="F61" t="s">
        <v>17</v>
      </c>
      <c r="G61" t="s">
        <v>18</v>
      </c>
      <c r="H61" t="s">
        <v>33</v>
      </c>
      <c r="I61">
        <v>5</v>
      </c>
      <c r="J61">
        <v>12578</v>
      </c>
      <c r="K61">
        <v>62890</v>
      </c>
      <c r="L61" t="s">
        <v>68</v>
      </c>
      <c r="M61" t="s">
        <v>21</v>
      </c>
      <c r="N61" t="s">
        <v>35</v>
      </c>
    </row>
    <row r="62" spans="1:14" x14ac:dyDescent="0.25">
      <c r="A62" t="s">
        <v>229</v>
      </c>
      <c r="B62" s="1">
        <v>45892</v>
      </c>
      <c r="C62" t="s">
        <v>230</v>
      </c>
      <c r="D62" t="s">
        <v>231</v>
      </c>
      <c r="E62" s="14">
        <v>923322593603</v>
      </c>
      <c r="F62" t="s">
        <v>67</v>
      </c>
      <c r="G62" t="s">
        <v>18</v>
      </c>
      <c r="H62" t="s">
        <v>59</v>
      </c>
      <c r="I62">
        <v>3</v>
      </c>
      <c r="J62">
        <v>8893</v>
      </c>
      <c r="K62">
        <v>26679</v>
      </c>
      <c r="L62" t="s">
        <v>26</v>
      </c>
      <c r="M62" t="s">
        <v>82</v>
      </c>
      <c r="N62" t="s">
        <v>35</v>
      </c>
    </row>
    <row r="63" spans="1:14" x14ac:dyDescent="0.25">
      <c r="A63" t="s">
        <v>232</v>
      </c>
      <c r="B63" s="1">
        <v>45956</v>
      </c>
      <c r="C63" t="s">
        <v>233</v>
      </c>
      <c r="D63" t="s">
        <v>234</v>
      </c>
      <c r="E63" s="14">
        <v>923328493784</v>
      </c>
      <c r="F63" t="s">
        <v>54</v>
      </c>
      <c r="G63" t="s">
        <v>18</v>
      </c>
      <c r="H63" t="s">
        <v>33</v>
      </c>
      <c r="I63">
        <v>5</v>
      </c>
      <c r="J63">
        <v>4209</v>
      </c>
      <c r="K63">
        <v>21045</v>
      </c>
      <c r="L63" t="s">
        <v>40</v>
      </c>
      <c r="M63" t="s">
        <v>93</v>
      </c>
      <c r="N63" t="s">
        <v>69</v>
      </c>
    </row>
    <row r="64" spans="1:14" x14ac:dyDescent="0.25">
      <c r="A64" t="s">
        <v>235</v>
      </c>
      <c r="B64" s="1">
        <v>45941</v>
      </c>
      <c r="C64" t="s">
        <v>236</v>
      </c>
      <c r="D64" t="s">
        <v>237</v>
      </c>
      <c r="E64" s="14">
        <v>923208759965</v>
      </c>
      <c r="F64" t="s">
        <v>17</v>
      </c>
      <c r="G64" t="s">
        <v>18</v>
      </c>
      <c r="H64" t="s">
        <v>59</v>
      </c>
      <c r="I64">
        <v>2</v>
      </c>
      <c r="J64">
        <v>7087</v>
      </c>
      <c r="K64">
        <v>14174</v>
      </c>
      <c r="L64" t="s">
        <v>63</v>
      </c>
      <c r="M64" t="s">
        <v>27</v>
      </c>
      <c r="N64" t="s">
        <v>69</v>
      </c>
    </row>
    <row r="65" spans="1:14" x14ac:dyDescent="0.25">
      <c r="A65" t="s">
        <v>238</v>
      </c>
      <c r="B65" s="1">
        <v>45844</v>
      </c>
      <c r="C65" t="s">
        <v>239</v>
      </c>
      <c r="D65" t="s">
        <v>240</v>
      </c>
      <c r="E65" s="14">
        <v>923035287855</v>
      </c>
      <c r="F65" t="s">
        <v>106</v>
      </c>
      <c r="G65" t="s">
        <v>18</v>
      </c>
      <c r="H65" t="s">
        <v>39</v>
      </c>
      <c r="I65">
        <v>4</v>
      </c>
      <c r="J65">
        <v>1976</v>
      </c>
      <c r="K65">
        <v>7904</v>
      </c>
      <c r="L65" t="s">
        <v>26</v>
      </c>
      <c r="M65" t="s">
        <v>55</v>
      </c>
      <c r="N65" t="s">
        <v>35</v>
      </c>
    </row>
    <row r="66" spans="1:14" x14ac:dyDescent="0.25">
      <c r="A66" t="s">
        <v>241</v>
      </c>
      <c r="B66" s="1">
        <v>45865</v>
      </c>
      <c r="C66" t="s">
        <v>242</v>
      </c>
      <c r="D66" t="s">
        <v>243</v>
      </c>
      <c r="E66" s="14">
        <v>923298177811</v>
      </c>
      <c r="F66" t="s">
        <v>32</v>
      </c>
      <c r="G66" t="s">
        <v>18</v>
      </c>
      <c r="H66" t="s">
        <v>39</v>
      </c>
      <c r="I66">
        <v>5</v>
      </c>
      <c r="J66">
        <v>7098</v>
      </c>
      <c r="K66">
        <v>35490</v>
      </c>
      <c r="L66" t="s">
        <v>78</v>
      </c>
      <c r="M66" t="s">
        <v>21</v>
      </c>
      <c r="N66" t="s">
        <v>28</v>
      </c>
    </row>
    <row r="67" spans="1:14" x14ac:dyDescent="0.25">
      <c r="A67" t="s">
        <v>244</v>
      </c>
      <c r="B67" s="1">
        <v>45915</v>
      </c>
      <c r="C67" t="s">
        <v>245</v>
      </c>
      <c r="D67" t="s">
        <v>246</v>
      </c>
      <c r="E67" s="14">
        <v>923424530934</v>
      </c>
      <c r="F67" t="s">
        <v>122</v>
      </c>
      <c r="G67" t="s">
        <v>18</v>
      </c>
      <c r="H67" t="s">
        <v>50</v>
      </c>
      <c r="I67">
        <v>4</v>
      </c>
      <c r="J67">
        <v>13430</v>
      </c>
      <c r="K67">
        <v>53720</v>
      </c>
      <c r="L67" t="s">
        <v>63</v>
      </c>
      <c r="M67" t="s">
        <v>34</v>
      </c>
      <c r="N67" t="s">
        <v>69</v>
      </c>
    </row>
    <row r="68" spans="1:14" x14ac:dyDescent="0.25">
      <c r="A68" t="s">
        <v>247</v>
      </c>
      <c r="B68" s="1">
        <v>45709</v>
      </c>
      <c r="C68" t="s">
        <v>248</v>
      </c>
      <c r="D68" t="s">
        <v>249</v>
      </c>
      <c r="E68" s="14">
        <v>923464722691</v>
      </c>
      <c r="F68" t="s">
        <v>106</v>
      </c>
      <c r="G68" t="s">
        <v>18</v>
      </c>
      <c r="H68" t="s">
        <v>19</v>
      </c>
      <c r="I68">
        <v>2</v>
      </c>
      <c r="J68">
        <v>6367</v>
      </c>
      <c r="K68">
        <v>12734</v>
      </c>
      <c r="L68" t="s">
        <v>26</v>
      </c>
      <c r="M68" t="s">
        <v>45</v>
      </c>
      <c r="N68" t="s">
        <v>28</v>
      </c>
    </row>
    <row r="69" spans="1:14" x14ac:dyDescent="0.25">
      <c r="A69" t="s">
        <v>250</v>
      </c>
      <c r="B69" s="1">
        <v>45977</v>
      </c>
      <c r="C69" t="s">
        <v>251</v>
      </c>
      <c r="D69" t="s">
        <v>252</v>
      </c>
      <c r="E69" s="14">
        <v>923197812578</v>
      </c>
      <c r="F69" t="s">
        <v>106</v>
      </c>
      <c r="G69" t="s">
        <v>18</v>
      </c>
      <c r="H69" t="s">
        <v>73</v>
      </c>
      <c r="I69">
        <v>1</v>
      </c>
      <c r="J69">
        <v>6175</v>
      </c>
      <c r="K69">
        <v>6175</v>
      </c>
      <c r="L69" t="s">
        <v>78</v>
      </c>
      <c r="M69" t="s">
        <v>27</v>
      </c>
      <c r="N69" t="s">
        <v>22</v>
      </c>
    </row>
    <row r="70" spans="1:14" x14ac:dyDescent="0.25">
      <c r="A70" t="s">
        <v>253</v>
      </c>
      <c r="B70" s="1">
        <v>45991</v>
      </c>
      <c r="C70" t="s">
        <v>254</v>
      </c>
      <c r="D70" t="s">
        <v>255</v>
      </c>
      <c r="E70" s="14">
        <v>923244328407</v>
      </c>
      <c r="F70" t="s">
        <v>77</v>
      </c>
      <c r="G70" t="s">
        <v>18</v>
      </c>
      <c r="H70" t="s">
        <v>50</v>
      </c>
      <c r="I70">
        <v>4</v>
      </c>
      <c r="J70">
        <v>14832</v>
      </c>
      <c r="K70">
        <v>59328</v>
      </c>
      <c r="L70" t="s">
        <v>20</v>
      </c>
      <c r="M70" t="s">
        <v>55</v>
      </c>
      <c r="N70" t="s">
        <v>28</v>
      </c>
    </row>
    <row r="71" spans="1:14" x14ac:dyDescent="0.25">
      <c r="A71" t="s">
        <v>256</v>
      </c>
      <c r="B71" s="1">
        <v>45782</v>
      </c>
      <c r="C71" t="s">
        <v>257</v>
      </c>
      <c r="D71" t="s">
        <v>258</v>
      </c>
      <c r="E71" s="14">
        <v>923460567692</v>
      </c>
      <c r="F71" t="s">
        <v>44</v>
      </c>
      <c r="G71" t="s">
        <v>18</v>
      </c>
      <c r="H71" t="s">
        <v>59</v>
      </c>
      <c r="I71">
        <v>5</v>
      </c>
      <c r="J71">
        <v>1623</v>
      </c>
      <c r="K71">
        <v>8115</v>
      </c>
      <c r="L71" t="s">
        <v>63</v>
      </c>
      <c r="M71" t="s">
        <v>135</v>
      </c>
      <c r="N71" t="s">
        <v>28</v>
      </c>
    </row>
    <row r="72" spans="1:14" x14ac:dyDescent="0.25">
      <c r="A72" t="s">
        <v>259</v>
      </c>
      <c r="B72" s="1">
        <v>45805</v>
      </c>
      <c r="C72" t="s">
        <v>260</v>
      </c>
      <c r="D72" t="s">
        <v>261</v>
      </c>
      <c r="E72" s="14">
        <v>923291565749</v>
      </c>
      <c r="F72" t="s">
        <v>92</v>
      </c>
      <c r="G72" t="s">
        <v>18</v>
      </c>
      <c r="H72" t="s">
        <v>73</v>
      </c>
      <c r="I72">
        <v>1</v>
      </c>
      <c r="J72">
        <v>11798</v>
      </c>
      <c r="K72">
        <v>11798</v>
      </c>
      <c r="L72" t="s">
        <v>63</v>
      </c>
      <c r="M72" t="s">
        <v>93</v>
      </c>
      <c r="N72" t="s">
        <v>28</v>
      </c>
    </row>
    <row r="73" spans="1:14" x14ac:dyDescent="0.25">
      <c r="A73" t="s">
        <v>262</v>
      </c>
      <c r="B73" s="1">
        <v>45848</v>
      </c>
      <c r="C73" t="s">
        <v>263</v>
      </c>
      <c r="D73" t="s">
        <v>264</v>
      </c>
      <c r="E73" s="14">
        <v>923109806360</v>
      </c>
      <c r="F73" t="s">
        <v>32</v>
      </c>
      <c r="G73" t="s">
        <v>18</v>
      </c>
      <c r="H73" t="s">
        <v>59</v>
      </c>
      <c r="I73">
        <v>4</v>
      </c>
      <c r="J73">
        <v>8276</v>
      </c>
      <c r="K73">
        <v>33104</v>
      </c>
      <c r="L73" t="s">
        <v>78</v>
      </c>
      <c r="M73" t="s">
        <v>82</v>
      </c>
      <c r="N73" t="s">
        <v>69</v>
      </c>
    </row>
    <row r="74" spans="1:14" x14ac:dyDescent="0.25">
      <c r="A74" t="s">
        <v>265</v>
      </c>
      <c r="B74" s="1">
        <v>45887</v>
      </c>
      <c r="C74" t="s">
        <v>266</v>
      </c>
      <c r="D74" t="s">
        <v>267</v>
      </c>
      <c r="E74" s="14">
        <v>923224108959</v>
      </c>
      <c r="F74" t="s">
        <v>17</v>
      </c>
      <c r="G74" t="s">
        <v>18</v>
      </c>
      <c r="H74" t="s">
        <v>59</v>
      </c>
      <c r="I74">
        <v>5</v>
      </c>
      <c r="J74">
        <v>6919</v>
      </c>
      <c r="K74">
        <v>34595</v>
      </c>
      <c r="L74" t="s">
        <v>63</v>
      </c>
      <c r="M74" t="s">
        <v>82</v>
      </c>
      <c r="N74" t="s">
        <v>69</v>
      </c>
    </row>
    <row r="75" spans="1:14" x14ac:dyDescent="0.25">
      <c r="A75" t="s">
        <v>268</v>
      </c>
      <c r="B75" s="1">
        <v>45709</v>
      </c>
      <c r="C75" t="s">
        <v>269</v>
      </c>
      <c r="D75" t="s">
        <v>270</v>
      </c>
      <c r="E75" s="14">
        <v>923363797684</v>
      </c>
      <c r="F75" t="s">
        <v>49</v>
      </c>
      <c r="G75" t="s">
        <v>18</v>
      </c>
      <c r="H75" t="s">
        <v>39</v>
      </c>
      <c r="I75">
        <v>1</v>
      </c>
      <c r="J75">
        <v>12050</v>
      </c>
      <c r="K75">
        <v>12050</v>
      </c>
      <c r="L75" t="s">
        <v>68</v>
      </c>
      <c r="M75" t="s">
        <v>34</v>
      </c>
      <c r="N75" t="s">
        <v>35</v>
      </c>
    </row>
    <row r="76" spans="1:14" x14ac:dyDescent="0.25">
      <c r="A76" t="s">
        <v>271</v>
      </c>
      <c r="B76" s="1">
        <v>45840</v>
      </c>
      <c r="C76" t="s">
        <v>272</v>
      </c>
      <c r="D76" t="s">
        <v>273</v>
      </c>
      <c r="E76" s="14">
        <v>923370055070</v>
      </c>
      <c r="F76" t="s">
        <v>44</v>
      </c>
      <c r="G76" t="s">
        <v>18</v>
      </c>
      <c r="H76" t="s">
        <v>33</v>
      </c>
      <c r="I76">
        <v>2</v>
      </c>
      <c r="J76">
        <v>5590</v>
      </c>
      <c r="K76">
        <v>11180</v>
      </c>
      <c r="L76" t="s">
        <v>63</v>
      </c>
      <c r="M76" t="s">
        <v>45</v>
      </c>
      <c r="N76" t="s">
        <v>28</v>
      </c>
    </row>
    <row r="77" spans="1:14" x14ac:dyDescent="0.25">
      <c r="A77" t="s">
        <v>274</v>
      </c>
      <c r="B77" s="1">
        <v>45962</v>
      </c>
      <c r="C77" t="s">
        <v>275</v>
      </c>
      <c r="D77" t="s">
        <v>276</v>
      </c>
      <c r="E77" s="14">
        <v>923111362072</v>
      </c>
      <c r="F77" t="s">
        <v>44</v>
      </c>
      <c r="G77" t="s">
        <v>18</v>
      </c>
      <c r="H77" t="s">
        <v>33</v>
      </c>
      <c r="I77">
        <v>1</v>
      </c>
      <c r="J77">
        <v>4509</v>
      </c>
      <c r="K77">
        <v>4509</v>
      </c>
      <c r="L77" t="s">
        <v>68</v>
      </c>
      <c r="M77" t="s">
        <v>93</v>
      </c>
      <c r="N77" t="s">
        <v>69</v>
      </c>
    </row>
    <row r="78" spans="1:14" x14ac:dyDescent="0.25">
      <c r="A78" t="s">
        <v>277</v>
      </c>
      <c r="B78" s="1">
        <v>45988</v>
      </c>
      <c r="C78" t="s">
        <v>278</v>
      </c>
      <c r="D78" t="s">
        <v>279</v>
      </c>
      <c r="E78" s="14">
        <v>923387792128</v>
      </c>
      <c r="F78" t="s">
        <v>67</v>
      </c>
      <c r="G78" t="s">
        <v>18</v>
      </c>
      <c r="H78" t="s">
        <v>50</v>
      </c>
      <c r="I78">
        <v>5</v>
      </c>
      <c r="J78">
        <v>6913</v>
      </c>
      <c r="K78">
        <v>34565</v>
      </c>
      <c r="L78" t="s">
        <v>68</v>
      </c>
      <c r="M78" t="s">
        <v>55</v>
      </c>
      <c r="N78" t="s">
        <v>69</v>
      </c>
    </row>
    <row r="79" spans="1:14" x14ac:dyDescent="0.25">
      <c r="A79" t="s">
        <v>280</v>
      </c>
      <c r="B79" s="1">
        <v>45815</v>
      </c>
      <c r="C79" t="s">
        <v>281</v>
      </c>
      <c r="D79" t="s">
        <v>282</v>
      </c>
      <c r="E79" s="14">
        <v>923192885576</v>
      </c>
      <c r="F79" t="s">
        <v>44</v>
      </c>
      <c r="G79" t="s">
        <v>18</v>
      </c>
      <c r="H79" t="s">
        <v>73</v>
      </c>
      <c r="I79">
        <v>1</v>
      </c>
      <c r="J79">
        <v>12923</v>
      </c>
      <c r="K79">
        <v>12923</v>
      </c>
      <c r="L79" t="s">
        <v>20</v>
      </c>
      <c r="M79" t="s">
        <v>21</v>
      </c>
      <c r="N79" t="s">
        <v>69</v>
      </c>
    </row>
    <row r="80" spans="1:14" x14ac:dyDescent="0.25">
      <c r="A80" t="s">
        <v>283</v>
      </c>
      <c r="B80" s="1">
        <v>45739</v>
      </c>
      <c r="C80" t="s">
        <v>284</v>
      </c>
      <c r="D80" t="s">
        <v>285</v>
      </c>
      <c r="E80" s="14">
        <v>923049511410</v>
      </c>
      <c r="F80" t="s">
        <v>92</v>
      </c>
      <c r="G80" t="s">
        <v>18</v>
      </c>
      <c r="H80" t="s">
        <v>59</v>
      </c>
      <c r="I80">
        <v>3</v>
      </c>
      <c r="J80">
        <v>12982</v>
      </c>
      <c r="K80">
        <v>38946</v>
      </c>
      <c r="L80" t="s">
        <v>68</v>
      </c>
      <c r="M80" t="s">
        <v>93</v>
      </c>
      <c r="N80" t="s">
        <v>69</v>
      </c>
    </row>
    <row r="81" spans="1:14" x14ac:dyDescent="0.25">
      <c r="A81" t="s">
        <v>286</v>
      </c>
      <c r="B81" s="1">
        <v>45777</v>
      </c>
      <c r="C81" t="s">
        <v>287</v>
      </c>
      <c r="D81" t="s">
        <v>288</v>
      </c>
      <c r="E81" s="14">
        <v>923394632995</v>
      </c>
      <c r="F81" t="s">
        <v>92</v>
      </c>
      <c r="G81" t="s">
        <v>18</v>
      </c>
      <c r="H81" t="s">
        <v>39</v>
      </c>
      <c r="I81">
        <v>3</v>
      </c>
      <c r="J81">
        <v>1992</v>
      </c>
      <c r="K81">
        <v>5976</v>
      </c>
      <c r="L81" t="s">
        <v>63</v>
      </c>
      <c r="M81" t="s">
        <v>45</v>
      </c>
      <c r="N81" t="s">
        <v>22</v>
      </c>
    </row>
    <row r="82" spans="1:14" x14ac:dyDescent="0.25">
      <c r="A82" t="s">
        <v>289</v>
      </c>
      <c r="B82" s="1">
        <v>45860</v>
      </c>
      <c r="C82" t="s">
        <v>290</v>
      </c>
      <c r="D82" t="s">
        <v>291</v>
      </c>
      <c r="E82" s="14">
        <v>923071504230</v>
      </c>
      <c r="F82" t="s">
        <v>54</v>
      </c>
      <c r="G82" t="s">
        <v>18</v>
      </c>
      <c r="H82" t="s">
        <v>33</v>
      </c>
      <c r="I82">
        <v>4</v>
      </c>
      <c r="J82">
        <v>8993</v>
      </c>
      <c r="K82">
        <v>35972</v>
      </c>
      <c r="L82" t="s">
        <v>78</v>
      </c>
      <c r="M82" t="s">
        <v>135</v>
      </c>
      <c r="N82" t="s">
        <v>28</v>
      </c>
    </row>
    <row r="83" spans="1:14" x14ac:dyDescent="0.25">
      <c r="A83" t="s">
        <v>292</v>
      </c>
      <c r="B83" s="1">
        <v>45870</v>
      </c>
      <c r="C83" t="s">
        <v>293</v>
      </c>
      <c r="D83" t="s">
        <v>294</v>
      </c>
      <c r="E83" s="14">
        <v>923087826450</v>
      </c>
      <c r="F83" t="s">
        <v>17</v>
      </c>
      <c r="G83" t="s">
        <v>18</v>
      </c>
      <c r="H83" t="s">
        <v>73</v>
      </c>
      <c r="I83">
        <v>3</v>
      </c>
      <c r="J83">
        <v>6014</v>
      </c>
      <c r="K83">
        <v>18042</v>
      </c>
      <c r="L83" t="s">
        <v>78</v>
      </c>
      <c r="M83" t="s">
        <v>27</v>
      </c>
      <c r="N83" t="s">
        <v>35</v>
      </c>
    </row>
    <row r="84" spans="1:14" x14ac:dyDescent="0.25">
      <c r="A84" t="s">
        <v>295</v>
      </c>
      <c r="B84" s="1">
        <v>45932</v>
      </c>
      <c r="C84" t="s">
        <v>296</v>
      </c>
      <c r="D84" t="s">
        <v>297</v>
      </c>
      <c r="E84" s="14">
        <v>923408003020</v>
      </c>
      <c r="F84" t="s">
        <v>77</v>
      </c>
      <c r="G84" t="s">
        <v>18</v>
      </c>
      <c r="H84" t="s">
        <v>39</v>
      </c>
      <c r="I84">
        <v>5</v>
      </c>
      <c r="J84">
        <v>9786</v>
      </c>
      <c r="K84">
        <v>48930</v>
      </c>
      <c r="L84" t="s">
        <v>26</v>
      </c>
      <c r="M84" t="s">
        <v>21</v>
      </c>
      <c r="N84" t="s">
        <v>22</v>
      </c>
    </row>
    <row r="85" spans="1:14" x14ac:dyDescent="0.25">
      <c r="A85" t="s">
        <v>298</v>
      </c>
      <c r="B85" s="1">
        <v>45712</v>
      </c>
      <c r="C85" t="s">
        <v>299</v>
      </c>
      <c r="D85" t="s">
        <v>300</v>
      </c>
      <c r="E85" s="14">
        <v>923388245799</v>
      </c>
      <c r="F85" t="s">
        <v>54</v>
      </c>
      <c r="G85" t="s">
        <v>18</v>
      </c>
      <c r="H85" t="s">
        <v>73</v>
      </c>
      <c r="I85">
        <v>2</v>
      </c>
      <c r="J85">
        <v>14114</v>
      </c>
      <c r="K85">
        <v>28228</v>
      </c>
      <c r="L85" t="s">
        <v>68</v>
      </c>
      <c r="M85" t="s">
        <v>82</v>
      </c>
      <c r="N85" t="s">
        <v>69</v>
      </c>
    </row>
    <row r="86" spans="1:14" x14ac:dyDescent="0.25">
      <c r="A86" t="s">
        <v>301</v>
      </c>
      <c r="B86" s="1">
        <v>45744</v>
      </c>
      <c r="C86" t="s">
        <v>302</v>
      </c>
      <c r="D86" t="s">
        <v>303</v>
      </c>
      <c r="E86" s="14">
        <v>923142897110</v>
      </c>
      <c r="F86" t="s">
        <v>54</v>
      </c>
      <c r="G86" t="s">
        <v>18</v>
      </c>
      <c r="H86" t="s">
        <v>73</v>
      </c>
      <c r="I86">
        <v>3</v>
      </c>
      <c r="J86">
        <v>1480</v>
      </c>
      <c r="K86">
        <v>4440</v>
      </c>
      <c r="L86" t="s">
        <v>68</v>
      </c>
      <c r="M86" t="s">
        <v>34</v>
      </c>
      <c r="N86" t="s">
        <v>22</v>
      </c>
    </row>
    <row r="87" spans="1:14" x14ac:dyDescent="0.25">
      <c r="A87" t="s">
        <v>304</v>
      </c>
      <c r="B87" s="1">
        <v>45838</v>
      </c>
      <c r="C87" t="s">
        <v>305</v>
      </c>
      <c r="D87" t="s">
        <v>306</v>
      </c>
      <c r="E87" s="14">
        <v>923330783631</v>
      </c>
      <c r="F87" t="s">
        <v>49</v>
      </c>
      <c r="G87" t="s">
        <v>18</v>
      </c>
      <c r="H87" t="s">
        <v>33</v>
      </c>
      <c r="I87">
        <v>4</v>
      </c>
      <c r="J87">
        <v>9571</v>
      </c>
      <c r="K87">
        <v>38284</v>
      </c>
      <c r="L87" t="s">
        <v>68</v>
      </c>
      <c r="M87" t="s">
        <v>45</v>
      </c>
      <c r="N87" t="s">
        <v>28</v>
      </c>
    </row>
    <row r="88" spans="1:14" x14ac:dyDescent="0.25">
      <c r="A88" t="s">
        <v>307</v>
      </c>
      <c r="B88" s="1">
        <v>45706</v>
      </c>
      <c r="C88" t="s">
        <v>308</v>
      </c>
      <c r="D88" t="s">
        <v>309</v>
      </c>
      <c r="E88" s="14">
        <v>923386620527</v>
      </c>
      <c r="F88" t="s">
        <v>49</v>
      </c>
      <c r="G88" t="s">
        <v>18</v>
      </c>
      <c r="H88" t="s">
        <v>39</v>
      </c>
      <c r="I88">
        <v>1</v>
      </c>
      <c r="J88">
        <v>4230</v>
      </c>
      <c r="K88">
        <v>4230</v>
      </c>
      <c r="L88" t="s">
        <v>68</v>
      </c>
      <c r="M88" t="s">
        <v>45</v>
      </c>
      <c r="N88" t="s">
        <v>28</v>
      </c>
    </row>
    <row r="89" spans="1:14" x14ac:dyDescent="0.25">
      <c r="A89" t="s">
        <v>310</v>
      </c>
      <c r="B89" s="1">
        <v>45947</v>
      </c>
      <c r="C89" t="s">
        <v>311</v>
      </c>
      <c r="D89" t="s">
        <v>312</v>
      </c>
      <c r="E89" s="14">
        <v>923288323972</v>
      </c>
      <c r="F89" t="s">
        <v>92</v>
      </c>
      <c r="G89" t="s">
        <v>18</v>
      </c>
      <c r="H89" t="s">
        <v>73</v>
      </c>
      <c r="I89">
        <v>2</v>
      </c>
      <c r="J89">
        <v>8149</v>
      </c>
      <c r="K89">
        <v>16298</v>
      </c>
      <c r="L89" t="s">
        <v>20</v>
      </c>
      <c r="M89" t="s">
        <v>45</v>
      </c>
      <c r="N89" t="s">
        <v>28</v>
      </c>
    </row>
    <row r="90" spans="1:14" x14ac:dyDescent="0.25">
      <c r="A90" t="s">
        <v>313</v>
      </c>
      <c r="B90" s="1">
        <v>45843</v>
      </c>
      <c r="C90" t="s">
        <v>314</v>
      </c>
      <c r="D90" t="s">
        <v>315</v>
      </c>
      <c r="E90" s="14">
        <v>923357989771</v>
      </c>
      <c r="F90" t="s">
        <v>106</v>
      </c>
      <c r="G90" t="s">
        <v>18</v>
      </c>
      <c r="H90" t="s">
        <v>39</v>
      </c>
      <c r="I90">
        <v>5</v>
      </c>
      <c r="J90">
        <v>1722</v>
      </c>
      <c r="K90">
        <v>8610</v>
      </c>
      <c r="L90" t="s">
        <v>40</v>
      </c>
      <c r="M90" t="s">
        <v>34</v>
      </c>
      <c r="N90" t="s">
        <v>69</v>
      </c>
    </row>
    <row r="91" spans="1:14" x14ac:dyDescent="0.25">
      <c r="A91" t="s">
        <v>316</v>
      </c>
      <c r="B91" s="1">
        <v>46024</v>
      </c>
      <c r="C91" t="s">
        <v>317</v>
      </c>
      <c r="D91" t="s">
        <v>318</v>
      </c>
      <c r="E91" s="14">
        <v>923391388490</v>
      </c>
      <c r="F91" t="s">
        <v>54</v>
      </c>
      <c r="G91" t="s">
        <v>18</v>
      </c>
      <c r="H91" t="s">
        <v>39</v>
      </c>
      <c r="I91">
        <v>3</v>
      </c>
      <c r="J91">
        <v>4367</v>
      </c>
      <c r="K91">
        <v>13101</v>
      </c>
      <c r="L91" t="s">
        <v>68</v>
      </c>
      <c r="M91" t="s">
        <v>34</v>
      </c>
      <c r="N91" t="s">
        <v>28</v>
      </c>
    </row>
    <row r="92" spans="1:14" x14ac:dyDescent="0.25">
      <c r="A92" t="s">
        <v>319</v>
      </c>
      <c r="B92" s="1">
        <v>45709</v>
      </c>
      <c r="C92" t="s">
        <v>320</v>
      </c>
      <c r="D92" t="s">
        <v>321</v>
      </c>
      <c r="E92" s="14">
        <v>923213991081</v>
      </c>
      <c r="F92" t="s">
        <v>44</v>
      </c>
      <c r="G92" t="s">
        <v>18</v>
      </c>
      <c r="H92" t="s">
        <v>50</v>
      </c>
      <c r="I92">
        <v>2</v>
      </c>
      <c r="J92">
        <v>12192</v>
      </c>
      <c r="K92">
        <v>24384</v>
      </c>
      <c r="L92" t="s">
        <v>26</v>
      </c>
      <c r="M92" t="s">
        <v>82</v>
      </c>
      <c r="N92" t="s">
        <v>69</v>
      </c>
    </row>
    <row r="93" spans="1:14" x14ac:dyDescent="0.25">
      <c r="A93" t="s">
        <v>322</v>
      </c>
      <c r="B93" s="1">
        <v>45922</v>
      </c>
      <c r="C93" t="s">
        <v>323</v>
      </c>
      <c r="D93" t="s">
        <v>324</v>
      </c>
      <c r="E93" s="14">
        <v>923239112772</v>
      </c>
      <c r="F93" t="s">
        <v>17</v>
      </c>
      <c r="G93" t="s">
        <v>18</v>
      </c>
      <c r="H93" t="s">
        <v>33</v>
      </c>
      <c r="I93">
        <v>2</v>
      </c>
      <c r="J93">
        <v>1245</v>
      </c>
      <c r="K93">
        <v>2490</v>
      </c>
      <c r="L93" t="s">
        <v>78</v>
      </c>
      <c r="M93" t="s">
        <v>82</v>
      </c>
      <c r="N93" t="s">
        <v>35</v>
      </c>
    </row>
    <row r="94" spans="1:14" x14ac:dyDescent="0.25">
      <c r="A94" t="s">
        <v>325</v>
      </c>
      <c r="B94" s="1">
        <v>45718</v>
      </c>
      <c r="C94" t="s">
        <v>326</v>
      </c>
      <c r="D94" t="s">
        <v>327</v>
      </c>
      <c r="E94" s="14">
        <v>923179082248</v>
      </c>
      <c r="F94" t="s">
        <v>92</v>
      </c>
      <c r="G94" t="s">
        <v>18</v>
      </c>
      <c r="H94" t="s">
        <v>33</v>
      </c>
      <c r="I94">
        <v>1</v>
      </c>
      <c r="J94">
        <v>13860</v>
      </c>
      <c r="K94">
        <v>13860</v>
      </c>
      <c r="L94" t="s">
        <v>68</v>
      </c>
      <c r="M94" t="s">
        <v>55</v>
      </c>
      <c r="N94" t="s">
        <v>28</v>
      </c>
    </row>
    <row r="95" spans="1:14" x14ac:dyDescent="0.25">
      <c r="A95" t="s">
        <v>328</v>
      </c>
      <c r="B95" s="1">
        <v>45857</v>
      </c>
      <c r="C95" t="s">
        <v>329</v>
      </c>
      <c r="D95" t="s">
        <v>330</v>
      </c>
      <c r="E95" s="14">
        <v>923362112196</v>
      </c>
      <c r="F95" t="s">
        <v>32</v>
      </c>
      <c r="G95" t="s">
        <v>18</v>
      </c>
      <c r="H95" t="s">
        <v>19</v>
      </c>
      <c r="I95">
        <v>1</v>
      </c>
      <c r="J95">
        <v>12401</v>
      </c>
      <c r="K95">
        <v>12401</v>
      </c>
      <c r="L95" t="s">
        <v>26</v>
      </c>
      <c r="M95" t="s">
        <v>45</v>
      </c>
      <c r="N95" t="s">
        <v>28</v>
      </c>
    </row>
    <row r="96" spans="1:14" x14ac:dyDescent="0.25">
      <c r="A96" t="s">
        <v>331</v>
      </c>
      <c r="B96" s="1">
        <v>45964</v>
      </c>
      <c r="C96" t="s">
        <v>332</v>
      </c>
      <c r="D96" t="s">
        <v>333</v>
      </c>
      <c r="E96" s="14">
        <v>923201823719</v>
      </c>
      <c r="F96" t="s">
        <v>67</v>
      </c>
      <c r="G96" t="s">
        <v>18</v>
      </c>
      <c r="H96" t="s">
        <v>39</v>
      </c>
      <c r="I96">
        <v>5</v>
      </c>
      <c r="J96">
        <v>14062</v>
      </c>
      <c r="K96">
        <v>70310</v>
      </c>
      <c r="L96" t="s">
        <v>40</v>
      </c>
      <c r="M96" t="s">
        <v>27</v>
      </c>
      <c r="N96" t="s">
        <v>22</v>
      </c>
    </row>
    <row r="97" spans="1:14" x14ac:dyDescent="0.25">
      <c r="A97" t="s">
        <v>334</v>
      </c>
      <c r="B97" s="1">
        <v>45882</v>
      </c>
      <c r="C97" t="s">
        <v>335</v>
      </c>
      <c r="D97" t="s">
        <v>336</v>
      </c>
      <c r="E97" s="14">
        <v>923490406223</v>
      </c>
      <c r="F97" t="s">
        <v>54</v>
      </c>
      <c r="G97" t="s">
        <v>18</v>
      </c>
      <c r="H97" t="s">
        <v>50</v>
      </c>
      <c r="I97">
        <v>2</v>
      </c>
      <c r="J97">
        <v>4617</v>
      </c>
      <c r="K97">
        <v>9234</v>
      </c>
      <c r="L97" t="s">
        <v>78</v>
      </c>
      <c r="M97" t="s">
        <v>21</v>
      </c>
      <c r="N97" t="s">
        <v>28</v>
      </c>
    </row>
    <row r="98" spans="1:14" x14ac:dyDescent="0.25">
      <c r="A98" t="s">
        <v>337</v>
      </c>
      <c r="B98" s="1">
        <v>45821</v>
      </c>
      <c r="C98" t="s">
        <v>338</v>
      </c>
      <c r="D98" t="s">
        <v>339</v>
      </c>
      <c r="E98" s="14">
        <v>923117798466</v>
      </c>
      <c r="F98" t="s">
        <v>17</v>
      </c>
      <c r="G98" t="s">
        <v>18</v>
      </c>
      <c r="H98" t="s">
        <v>50</v>
      </c>
      <c r="I98">
        <v>4</v>
      </c>
      <c r="J98">
        <v>7628</v>
      </c>
      <c r="K98">
        <v>30512</v>
      </c>
      <c r="L98" t="s">
        <v>78</v>
      </c>
      <c r="M98" t="s">
        <v>27</v>
      </c>
      <c r="N98" t="s">
        <v>69</v>
      </c>
    </row>
    <row r="99" spans="1:14" x14ac:dyDescent="0.25">
      <c r="A99" t="s">
        <v>340</v>
      </c>
      <c r="B99" s="1">
        <v>45761</v>
      </c>
      <c r="C99" t="s">
        <v>341</v>
      </c>
      <c r="D99" t="s">
        <v>342</v>
      </c>
      <c r="E99" s="14">
        <v>923423804075</v>
      </c>
      <c r="F99" t="s">
        <v>32</v>
      </c>
      <c r="G99" t="s">
        <v>18</v>
      </c>
      <c r="H99" t="s">
        <v>73</v>
      </c>
      <c r="I99">
        <v>1</v>
      </c>
      <c r="J99">
        <v>8200</v>
      </c>
      <c r="K99">
        <v>8200</v>
      </c>
      <c r="L99" t="s">
        <v>20</v>
      </c>
      <c r="M99" t="s">
        <v>55</v>
      </c>
      <c r="N99" t="s">
        <v>69</v>
      </c>
    </row>
    <row r="100" spans="1:14" x14ac:dyDescent="0.25">
      <c r="A100" t="s">
        <v>343</v>
      </c>
      <c r="B100" s="1">
        <v>46029</v>
      </c>
      <c r="C100" t="s">
        <v>344</v>
      </c>
      <c r="D100" t="s">
        <v>345</v>
      </c>
      <c r="E100" s="14">
        <v>923206409421</v>
      </c>
      <c r="F100" t="s">
        <v>77</v>
      </c>
      <c r="G100" t="s">
        <v>18</v>
      </c>
      <c r="H100" t="s">
        <v>39</v>
      </c>
      <c r="I100">
        <v>4</v>
      </c>
      <c r="J100">
        <v>13042</v>
      </c>
      <c r="K100">
        <v>52168</v>
      </c>
      <c r="L100" t="s">
        <v>78</v>
      </c>
      <c r="M100" t="s">
        <v>45</v>
      </c>
      <c r="N100" t="s">
        <v>35</v>
      </c>
    </row>
    <row r="101" spans="1:14" x14ac:dyDescent="0.25">
      <c r="A101" t="s">
        <v>346</v>
      </c>
      <c r="B101" s="1">
        <v>45865</v>
      </c>
      <c r="C101" t="s">
        <v>347</v>
      </c>
      <c r="D101" t="s">
        <v>348</v>
      </c>
      <c r="E101" s="14">
        <v>923465863721</v>
      </c>
      <c r="F101" t="s">
        <v>32</v>
      </c>
      <c r="G101" t="s">
        <v>18</v>
      </c>
      <c r="H101" t="s">
        <v>33</v>
      </c>
      <c r="I101">
        <v>1</v>
      </c>
      <c r="J101">
        <v>13089</v>
      </c>
      <c r="K101">
        <v>13089</v>
      </c>
      <c r="L101" t="s">
        <v>20</v>
      </c>
      <c r="M101" t="s">
        <v>45</v>
      </c>
      <c r="N101" t="s">
        <v>28</v>
      </c>
    </row>
    <row r="102" spans="1:14" x14ac:dyDescent="0.25">
      <c r="A102" t="s">
        <v>349</v>
      </c>
      <c r="B102" s="1">
        <v>46058</v>
      </c>
      <c r="C102" t="s">
        <v>350</v>
      </c>
      <c r="D102" t="s">
        <v>351</v>
      </c>
      <c r="E102" s="14">
        <v>923099449382</v>
      </c>
      <c r="F102" t="s">
        <v>32</v>
      </c>
      <c r="G102" t="s">
        <v>18</v>
      </c>
      <c r="H102" t="s">
        <v>73</v>
      </c>
      <c r="I102">
        <v>3</v>
      </c>
      <c r="J102">
        <v>4562</v>
      </c>
      <c r="K102">
        <v>13686</v>
      </c>
      <c r="L102" t="s">
        <v>20</v>
      </c>
      <c r="M102" t="s">
        <v>21</v>
      </c>
      <c r="N102" t="s">
        <v>22</v>
      </c>
    </row>
    <row r="103" spans="1:14" x14ac:dyDescent="0.25">
      <c r="A103" t="s">
        <v>352</v>
      </c>
      <c r="B103" s="1">
        <v>45746</v>
      </c>
      <c r="C103" t="s">
        <v>353</v>
      </c>
      <c r="D103" t="s">
        <v>354</v>
      </c>
      <c r="E103" s="14">
        <v>923041026311</v>
      </c>
      <c r="F103" t="s">
        <v>17</v>
      </c>
      <c r="G103" t="s">
        <v>18</v>
      </c>
      <c r="H103" t="s">
        <v>39</v>
      </c>
      <c r="I103">
        <v>4</v>
      </c>
      <c r="J103">
        <v>5077</v>
      </c>
      <c r="K103">
        <v>20308</v>
      </c>
      <c r="L103" t="s">
        <v>26</v>
      </c>
      <c r="M103" t="s">
        <v>135</v>
      </c>
      <c r="N103" t="s">
        <v>35</v>
      </c>
    </row>
    <row r="104" spans="1:14" x14ac:dyDescent="0.25">
      <c r="A104" t="s">
        <v>355</v>
      </c>
      <c r="B104" s="1">
        <v>45960</v>
      </c>
      <c r="C104" t="s">
        <v>356</v>
      </c>
      <c r="D104" t="s">
        <v>357</v>
      </c>
      <c r="E104" s="14">
        <v>923260361356</v>
      </c>
      <c r="F104" t="s">
        <v>17</v>
      </c>
      <c r="G104" t="s">
        <v>18</v>
      </c>
      <c r="H104" t="s">
        <v>59</v>
      </c>
      <c r="I104">
        <v>3</v>
      </c>
      <c r="J104">
        <v>10020</v>
      </c>
      <c r="K104">
        <v>30060</v>
      </c>
      <c r="L104" t="s">
        <v>63</v>
      </c>
      <c r="M104" t="s">
        <v>55</v>
      </c>
      <c r="N104" t="s">
        <v>35</v>
      </c>
    </row>
    <row r="105" spans="1:14" x14ac:dyDescent="0.25">
      <c r="A105" t="s">
        <v>358</v>
      </c>
      <c r="B105" s="1">
        <v>46013</v>
      </c>
      <c r="C105" t="s">
        <v>359</v>
      </c>
      <c r="D105" t="s">
        <v>360</v>
      </c>
      <c r="E105" s="14">
        <v>923276946848</v>
      </c>
      <c r="F105" t="s">
        <v>17</v>
      </c>
      <c r="G105" t="s">
        <v>18</v>
      </c>
      <c r="H105" t="s">
        <v>33</v>
      </c>
      <c r="I105">
        <v>2</v>
      </c>
      <c r="J105">
        <v>14255</v>
      </c>
      <c r="K105">
        <v>28510</v>
      </c>
      <c r="L105" t="s">
        <v>26</v>
      </c>
      <c r="M105" t="s">
        <v>82</v>
      </c>
      <c r="N105" t="s">
        <v>28</v>
      </c>
    </row>
    <row r="106" spans="1:14" x14ac:dyDescent="0.25">
      <c r="A106" t="s">
        <v>361</v>
      </c>
      <c r="B106" s="1">
        <v>46020</v>
      </c>
      <c r="C106" t="s">
        <v>362</v>
      </c>
      <c r="D106" t="s">
        <v>363</v>
      </c>
      <c r="E106" s="14">
        <v>923366129963</v>
      </c>
      <c r="F106" t="s">
        <v>122</v>
      </c>
      <c r="G106" t="s">
        <v>18</v>
      </c>
      <c r="H106" t="s">
        <v>39</v>
      </c>
      <c r="I106">
        <v>3</v>
      </c>
      <c r="J106">
        <v>2714</v>
      </c>
      <c r="K106">
        <v>8142</v>
      </c>
      <c r="L106" t="s">
        <v>26</v>
      </c>
      <c r="M106" t="s">
        <v>82</v>
      </c>
      <c r="N106" t="s">
        <v>22</v>
      </c>
    </row>
    <row r="107" spans="1:14" x14ac:dyDescent="0.25">
      <c r="A107" t="s">
        <v>364</v>
      </c>
      <c r="B107" s="1">
        <v>45774</v>
      </c>
      <c r="C107" t="s">
        <v>365</v>
      </c>
      <c r="D107" t="s">
        <v>366</v>
      </c>
      <c r="E107" s="14">
        <v>923021765503</v>
      </c>
      <c r="F107" t="s">
        <v>32</v>
      </c>
      <c r="G107" t="s">
        <v>18</v>
      </c>
      <c r="H107" t="s">
        <v>19</v>
      </c>
      <c r="I107">
        <v>5</v>
      </c>
      <c r="J107">
        <v>10735</v>
      </c>
      <c r="K107">
        <v>53675</v>
      </c>
      <c r="L107" t="s">
        <v>20</v>
      </c>
      <c r="M107" t="s">
        <v>21</v>
      </c>
      <c r="N107" t="s">
        <v>69</v>
      </c>
    </row>
    <row r="108" spans="1:14" x14ac:dyDescent="0.25">
      <c r="A108" t="s">
        <v>367</v>
      </c>
      <c r="B108" s="1">
        <v>45986</v>
      </c>
      <c r="C108" t="s">
        <v>368</v>
      </c>
      <c r="D108" t="s">
        <v>369</v>
      </c>
      <c r="E108" s="14">
        <v>923228679747</v>
      </c>
      <c r="F108" t="s">
        <v>67</v>
      </c>
      <c r="G108" t="s">
        <v>18</v>
      </c>
      <c r="H108" t="s">
        <v>39</v>
      </c>
      <c r="I108">
        <v>3</v>
      </c>
      <c r="J108">
        <v>1108</v>
      </c>
      <c r="K108">
        <v>3324</v>
      </c>
      <c r="L108" t="s">
        <v>63</v>
      </c>
      <c r="M108" t="s">
        <v>135</v>
      </c>
      <c r="N108" t="s">
        <v>69</v>
      </c>
    </row>
    <row r="109" spans="1:14" x14ac:dyDescent="0.25">
      <c r="A109" t="s">
        <v>370</v>
      </c>
      <c r="B109" s="1">
        <v>45719</v>
      </c>
      <c r="C109" t="s">
        <v>371</v>
      </c>
      <c r="D109" t="s">
        <v>372</v>
      </c>
      <c r="E109" s="14">
        <v>923074639205</v>
      </c>
      <c r="F109" t="s">
        <v>77</v>
      </c>
      <c r="G109" t="s">
        <v>18</v>
      </c>
      <c r="H109" t="s">
        <v>50</v>
      </c>
      <c r="I109">
        <v>2</v>
      </c>
      <c r="J109">
        <v>5862</v>
      </c>
      <c r="K109">
        <v>11724</v>
      </c>
      <c r="L109" t="s">
        <v>20</v>
      </c>
      <c r="M109" t="s">
        <v>82</v>
      </c>
      <c r="N109" t="s">
        <v>22</v>
      </c>
    </row>
    <row r="110" spans="1:14" x14ac:dyDescent="0.25">
      <c r="A110" t="s">
        <v>373</v>
      </c>
      <c r="B110" s="1">
        <v>45835</v>
      </c>
      <c r="C110" t="s">
        <v>374</v>
      </c>
      <c r="D110" t="s">
        <v>375</v>
      </c>
      <c r="E110" s="14">
        <v>923086328789</v>
      </c>
      <c r="F110" t="s">
        <v>92</v>
      </c>
      <c r="G110" t="s">
        <v>18</v>
      </c>
      <c r="H110" t="s">
        <v>39</v>
      </c>
      <c r="I110">
        <v>3</v>
      </c>
      <c r="J110">
        <v>14271</v>
      </c>
      <c r="K110">
        <v>42813</v>
      </c>
      <c r="L110" t="s">
        <v>40</v>
      </c>
      <c r="M110" t="s">
        <v>45</v>
      </c>
      <c r="N110" t="s">
        <v>35</v>
      </c>
    </row>
    <row r="111" spans="1:14" x14ac:dyDescent="0.25">
      <c r="A111" t="s">
        <v>376</v>
      </c>
      <c r="B111" s="1">
        <v>45860</v>
      </c>
      <c r="C111" t="s">
        <v>377</v>
      </c>
      <c r="D111" t="s">
        <v>378</v>
      </c>
      <c r="E111" s="14">
        <v>923138027657</v>
      </c>
      <c r="F111" t="s">
        <v>17</v>
      </c>
      <c r="G111" t="s">
        <v>18</v>
      </c>
      <c r="H111" t="s">
        <v>73</v>
      </c>
      <c r="I111">
        <v>5</v>
      </c>
      <c r="J111">
        <v>13385</v>
      </c>
      <c r="K111">
        <v>66925</v>
      </c>
      <c r="L111" t="s">
        <v>20</v>
      </c>
      <c r="M111" t="s">
        <v>93</v>
      </c>
      <c r="N111" t="s">
        <v>35</v>
      </c>
    </row>
    <row r="112" spans="1:14" x14ac:dyDescent="0.25">
      <c r="A112" t="s">
        <v>379</v>
      </c>
      <c r="B112" s="1">
        <v>45801</v>
      </c>
      <c r="C112" t="s">
        <v>380</v>
      </c>
      <c r="D112" t="s">
        <v>381</v>
      </c>
      <c r="E112" s="14">
        <v>923425047326</v>
      </c>
      <c r="F112" t="s">
        <v>67</v>
      </c>
      <c r="G112" t="s">
        <v>18</v>
      </c>
      <c r="H112" t="s">
        <v>39</v>
      </c>
      <c r="I112">
        <v>1</v>
      </c>
      <c r="J112">
        <v>2683</v>
      </c>
      <c r="K112">
        <v>2683</v>
      </c>
      <c r="L112" t="s">
        <v>40</v>
      </c>
      <c r="M112" t="s">
        <v>55</v>
      </c>
      <c r="N112" t="s">
        <v>69</v>
      </c>
    </row>
    <row r="113" spans="1:14" x14ac:dyDescent="0.25">
      <c r="A113" t="s">
        <v>382</v>
      </c>
      <c r="B113" s="1">
        <v>46033</v>
      </c>
      <c r="C113" t="s">
        <v>383</v>
      </c>
      <c r="D113" t="s">
        <v>384</v>
      </c>
      <c r="E113" s="14">
        <v>923280844119</v>
      </c>
      <c r="F113" t="s">
        <v>106</v>
      </c>
      <c r="G113" t="s">
        <v>18</v>
      </c>
      <c r="H113" t="s">
        <v>39</v>
      </c>
      <c r="I113">
        <v>1</v>
      </c>
      <c r="J113">
        <v>2521</v>
      </c>
      <c r="K113">
        <v>2521</v>
      </c>
      <c r="L113" t="s">
        <v>26</v>
      </c>
      <c r="M113" t="s">
        <v>34</v>
      </c>
      <c r="N113" t="s">
        <v>69</v>
      </c>
    </row>
    <row r="114" spans="1:14" x14ac:dyDescent="0.25">
      <c r="A114" t="s">
        <v>385</v>
      </c>
      <c r="B114" s="1">
        <v>46018</v>
      </c>
      <c r="C114" t="s">
        <v>386</v>
      </c>
      <c r="D114" t="s">
        <v>387</v>
      </c>
      <c r="E114" s="14">
        <v>923062014607</v>
      </c>
      <c r="F114" t="s">
        <v>32</v>
      </c>
      <c r="G114" t="s">
        <v>18</v>
      </c>
      <c r="H114" t="s">
        <v>73</v>
      </c>
      <c r="I114">
        <v>3</v>
      </c>
      <c r="J114">
        <v>11344</v>
      </c>
      <c r="K114">
        <v>34032</v>
      </c>
      <c r="L114" t="s">
        <v>63</v>
      </c>
      <c r="M114" t="s">
        <v>45</v>
      </c>
      <c r="N114" t="s">
        <v>28</v>
      </c>
    </row>
    <row r="115" spans="1:14" x14ac:dyDescent="0.25">
      <c r="A115" t="s">
        <v>388</v>
      </c>
      <c r="B115" s="1">
        <v>45817</v>
      </c>
      <c r="C115" t="s">
        <v>389</v>
      </c>
      <c r="D115" t="s">
        <v>390</v>
      </c>
      <c r="E115" s="14">
        <v>923413046255</v>
      </c>
      <c r="F115" t="s">
        <v>54</v>
      </c>
      <c r="G115" t="s">
        <v>18</v>
      </c>
      <c r="H115" t="s">
        <v>19</v>
      </c>
      <c r="I115">
        <v>5</v>
      </c>
      <c r="J115">
        <v>1202</v>
      </c>
      <c r="K115">
        <v>6010</v>
      </c>
      <c r="L115" t="s">
        <v>40</v>
      </c>
      <c r="M115" t="s">
        <v>27</v>
      </c>
      <c r="N115" t="s">
        <v>22</v>
      </c>
    </row>
    <row r="116" spans="1:14" x14ac:dyDescent="0.25">
      <c r="A116" t="s">
        <v>391</v>
      </c>
      <c r="B116" s="1">
        <v>45919</v>
      </c>
      <c r="C116" t="s">
        <v>392</v>
      </c>
      <c r="D116" t="s">
        <v>393</v>
      </c>
      <c r="E116" s="14">
        <v>923066245266</v>
      </c>
      <c r="F116" t="s">
        <v>92</v>
      </c>
      <c r="G116" t="s">
        <v>18</v>
      </c>
      <c r="H116" t="s">
        <v>73</v>
      </c>
      <c r="I116">
        <v>2</v>
      </c>
      <c r="J116">
        <v>8725</v>
      </c>
      <c r="K116">
        <v>17450</v>
      </c>
      <c r="L116" t="s">
        <v>78</v>
      </c>
      <c r="M116" t="s">
        <v>55</v>
      </c>
      <c r="N116" t="s">
        <v>22</v>
      </c>
    </row>
    <row r="117" spans="1:14" x14ac:dyDescent="0.25">
      <c r="A117" t="s">
        <v>394</v>
      </c>
      <c r="B117" s="1">
        <v>45719</v>
      </c>
      <c r="C117" t="s">
        <v>395</v>
      </c>
      <c r="D117" t="s">
        <v>396</v>
      </c>
      <c r="E117" s="14">
        <v>923300803358</v>
      </c>
      <c r="F117" t="s">
        <v>92</v>
      </c>
      <c r="G117" t="s">
        <v>18</v>
      </c>
      <c r="H117" t="s">
        <v>59</v>
      </c>
      <c r="I117">
        <v>3</v>
      </c>
      <c r="J117">
        <v>13149</v>
      </c>
      <c r="K117">
        <v>39447</v>
      </c>
      <c r="L117" t="s">
        <v>78</v>
      </c>
      <c r="M117" t="s">
        <v>21</v>
      </c>
      <c r="N117" t="s">
        <v>69</v>
      </c>
    </row>
    <row r="118" spans="1:14" x14ac:dyDescent="0.25">
      <c r="A118" t="s">
        <v>397</v>
      </c>
      <c r="B118" s="1">
        <v>45985</v>
      </c>
      <c r="C118" t="s">
        <v>398</v>
      </c>
      <c r="D118" t="s">
        <v>399</v>
      </c>
      <c r="E118" s="14">
        <v>923256633439</v>
      </c>
      <c r="F118" t="s">
        <v>44</v>
      </c>
      <c r="G118" t="s">
        <v>18</v>
      </c>
      <c r="H118" t="s">
        <v>19</v>
      </c>
      <c r="I118">
        <v>1</v>
      </c>
      <c r="J118">
        <v>5094</v>
      </c>
      <c r="K118">
        <v>5094</v>
      </c>
      <c r="L118" t="s">
        <v>78</v>
      </c>
      <c r="M118" t="s">
        <v>34</v>
      </c>
      <c r="N118" t="s">
        <v>69</v>
      </c>
    </row>
    <row r="119" spans="1:14" x14ac:dyDescent="0.25">
      <c r="A119" t="s">
        <v>400</v>
      </c>
      <c r="B119" s="1">
        <v>45764</v>
      </c>
      <c r="C119" t="s">
        <v>401</v>
      </c>
      <c r="D119" t="s">
        <v>402</v>
      </c>
      <c r="E119" s="14">
        <v>923103109653</v>
      </c>
      <c r="F119" t="s">
        <v>106</v>
      </c>
      <c r="G119" t="s">
        <v>18</v>
      </c>
      <c r="H119" t="s">
        <v>19</v>
      </c>
      <c r="I119">
        <v>2</v>
      </c>
      <c r="J119">
        <v>3587</v>
      </c>
      <c r="K119">
        <v>7174</v>
      </c>
      <c r="L119" t="s">
        <v>26</v>
      </c>
      <c r="M119" t="s">
        <v>82</v>
      </c>
      <c r="N119" t="s">
        <v>28</v>
      </c>
    </row>
    <row r="120" spans="1:14" x14ac:dyDescent="0.25">
      <c r="A120" t="s">
        <v>403</v>
      </c>
      <c r="B120" s="1">
        <v>45984</v>
      </c>
      <c r="C120" t="s">
        <v>404</v>
      </c>
      <c r="D120" t="s">
        <v>405</v>
      </c>
      <c r="E120" s="14">
        <v>923100658096</v>
      </c>
      <c r="F120" t="s">
        <v>32</v>
      </c>
      <c r="G120" t="s">
        <v>18</v>
      </c>
      <c r="H120" t="s">
        <v>19</v>
      </c>
      <c r="I120">
        <v>3</v>
      </c>
      <c r="J120">
        <v>8514</v>
      </c>
      <c r="K120">
        <v>25542</v>
      </c>
      <c r="L120" t="s">
        <v>78</v>
      </c>
      <c r="M120" t="s">
        <v>34</v>
      </c>
      <c r="N120" t="s">
        <v>28</v>
      </c>
    </row>
    <row r="121" spans="1:14" x14ac:dyDescent="0.25">
      <c r="A121" t="s">
        <v>406</v>
      </c>
      <c r="B121" s="1">
        <v>45724</v>
      </c>
      <c r="C121" t="s">
        <v>407</v>
      </c>
      <c r="D121" t="s">
        <v>408</v>
      </c>
      <c r="E121" s="14">
        <v>923229083843</v>
      </c>
      <c r="F121" t="s">
        <v>106</v>
      </c>
      <c r="G121" t="s">
        <v>18</v>
      </c>
      <c r="H121" t="s">
        <v>19</v>
      </c>
      <c r="I121">
        <v>3</v>
      </c>
      <c r="J121">
        <v>12059</v>
      </c>
      <c r="K121">
        <v>36177</v>
      </c>
      <c r="L121" t="s">
        <v>78</v>
      </c>
      <c r="M121" t="s">
        <v>135</v>
      </c>
      <c r="N121" t="s">
        <v>69</v>
      </c>
    </row>
    <row r="122" spans="1:14" x14ac:dyDescent="0.25">
      <c r="A122" t="s">
        <v>409</v>
      </c>
      <c r="B122" s="1">
        <v>45916</v>
      </c>
      <c r="C122" t="s">
        <v>410</v>
      </c>
      <c r="D122" t="s">
        <v>411</v>
      </c>
      <c r="E122" s="14">
        <v>923223068196</v>
      </c>
      <c r="F122" t="s">
        <v>122</v>
      </c>
      <c r="G122" t="s">
        <v>18</v>
      </c>
      <c r="H122" t="s">
        <v>39</v>
      </c>
      <c r="I122">
        <v>2</v>
      </c>
      <c r="J122">
        <v>13133</v>
      </c>
      <c r="K122">
        <v>26266</v>
      </c>
      <c r="L122" t="s">
        <v>63</v>
      </c>
      <c r="M122" t="s">
        <v>82</v>
      </c>
      <c r="N122" t="s">
        <v>22</v>
      </c>
    </row>
    <row r="123" spans="1:14" x14ac:dyDescent="0.25">
      <c r="A123" t="s">
        <v>412</v>
      </c>
      <c r="B123" s="1">
        <v>45881</v>
      </c>
      <c r="C123" t="s">
        <v>413</v>
      </c>
      <c r="D123" t="s">
        <v>414</v>
      </c>
      <c r="E123" s="14">
        <v>923018546198</v>
      </c>
      <c r="F123" t="s">
        <v>17</v>
      </c>
      <c r="G123" t="s">
        <v>18</v>
      </c>
      <c r="H123" t="s">
        <v>33</v>
      </c>
      <c r="I123">
        <v>4</v>
      </c>
      <c r="J123">
        <v>3688</v>
      </c>
      <c r="K123">
        <v>14752</v>
      </c>
      <c r="L123" t="s">
        <v>78</v>
      </c>
      <c r="M123" t="s">
        <v>21</v>
      </c>
      <c r="N123" t="s">
        <v>69</v>
      </c>
    </row>
    <row r="124" spans="1:14" x14ac:dyDescent="0.25">
      <c r="A124" t="s">
        <v>415</v>
      </c>
      <c r="B124" s="1">
        <v>45957</v>
      </c>
      <c r="C124" t="s">
        <v>416</v>
      </c>
      <c r="D124" t="s">
        <v>417</v>
      </c>
      <c r="E124" s="14">
        <v>923193633635</v>
      </c>
      <c r="F124" t="s">
        <v>49</v>
      </c>
      <c r="G124" t="s">
        <v>18</v>
      </c>
      <c r="H124" t="s">
        <v>33</v>
      </c>
      <c r="I124">
        <v>1</v>
      </c>
      <c r="J124">
        <v>14936</v>
      </c>
      <c r="K124">
        <v>14936</v>
      </c>
      <c r="L124" t="s">
        <v>78</v>
      </c>
      <c r="M124" t="s">
        <v>135</v>
      </c>
      <c r="N124" t="s">
        <v>28</v>
      </c>
    </row>
    <row r="125" spans="1:14" x14ac:dyDescent="0.25">
      <c r="A125" t="s">
        <v>418</v>
      </c>
      <c r="B125" s="1">
        <v>45883</v>
      </c>
      <c r="C125" t="s">
        <v>419</v>
      </c>
      <c r="D125" t="s">
        <v>420</v>
      </c>
      <c r="E125" s="14">
        <v>923374760689</v>
      </c>
      <c r="F125" t="s">
        <v>44</v>
      </c>
      <c r="G125" t="s">
        <v>18</v>
      </c>
      <c r="H125" t="s">
        <v>33</v>
      </c>
      <c r="I125">
        <v>1</v>
      </c>
      <c r="J125">
        <v>13270</v>
      </c>
      <c r="K125">
        <v>13270</v>
      </c>
      <c r="L125" t="s">
        <v>26</v>
      </c>
      <c r="M125" t="s">
        <v>34</v>
      </c>
      <c r="N125" t="s">
        <v>22</v>
      </c>
    </row>
    <row r="126" spans="1:14" x14ac:dyDescent="0.25">
      <c r="A126" t="s">
        <v>421</v>
      </c>
      <c r="B126" s="1">
        <v>45863</v>
      </c>
      <c r="C126" t="s">
        <v>422</v>
      </c>
      <c r="D126" t="s">
        <v>423</v>
      </c>
      <c r="E126" s="14">
        <v>923296328733</v>
      </c>
      <c r="F126" t="s">
        <v>17</v>
      </c>
      <c r="G126" t="s">
        <v>18</v>
      </c>
      <c r="H126" t="s">
        <v>73</v>
      </c>
      <c r="I126">
        <v>2</v>
      </c>
      <c r="J126">
        <v>10175</v>
      </c>
      <c r="K126">
        <v>20350</v>
      </c>
      <c r="L126" t="s">
        <v>20</v>
      </c>
      <c r="M126" t="s">
        <v>21</v>
      </c>
      <c r="N126" t="s">
        <v>28</v>
      </c>
    </row>
    <row r="127" spans="1:14" x14ac:dyDescent="0.25">
      <c r="A127" t="s">
        <v>424</v>
      </c>
      <c r="B127" s="1">
        <v>45998</v>
      </c>
      <c r="C127" t="s">
        <v>425</v>
      </c>
      <c r="D127" t="s">
        <v>426</v>
      </c>
      <c r="E127" s="14">
        <v>923470171694</v>
      </c>
      <c r="F127" t="s">
        <v>44</v>
      </c>
      <c r="G127" t="s">
        <v>18</v>
      </c>
      <c r="H127" t="s">
        <v>59</v>
      </c>
      <c r="I127">
        <v>4</v>
      </c>
      <c r="J127">
        <v>2858</v>
      </c>
      <c r="K127">
        <v>11432</v>
      </c>
      <c r="L127" t="s">
        <v>63</v>
      </c>
      <c r="M127" t="s">
        <v>135</v>
      </c>
      <c r="N127" t="s">
        <v>22</v>
      </c>
    </row>
    <row r="128" spans="1:14" x14ac:dyDescent="0.25">
      <c r="A128" t="s">
        <v>427</v>
      </c>
      <c r="B128" s="1">
        <v>45926</v>
      </c>
      <c r="C128" t="s">
        <v>428</v>
      </c>
      <c r="D128" t="s">
        <v>429</v>
      </c>
      <c r="E128" s="14">
        <v>923433257163</v>
      </c>
      <c r="F128" t="s">
        <v>44</v>
      </c>
      <c r="G128" t="s">
        <v>18</v>
      </c>
      <c r="H128" t="s">
        <v>19</v>
      </c>
      <c r="I128">
        <v>1</v>
      </c>
      <c r="J128">
        <v>8043</v>
      </c>
      <c r="K128">
        <v>8043</v>
      </c>
      <c r="L128" t="s">
        <v>20</v>
      </c>
      <c r="M128" t="s">
        <v>93</v>
      </c>
      <c r="N128" t="s">
        <v>35</v>
      </c>
    </row>
    <row r="129" spans="1:14" x14ac:dyDescent="0.25">
      <c r="A129" t="s">
        <v>430</v>
      </c>
      <c r="B129" s="1">
        <v>45992</v>
      </c>
      <c r="C129" t="s">
        <v>431</v>
      </c>
      <c r="D129" t="s">
        <v>432</v>
      </c>
      <c r="E129" s="14">
        <v>923119725171</v>
      </c>
      <c r="F129" t="s">
        <v>92</v>
      </c>
      <c r="G129" t="s">
        <v>18</v>
      </c>
      <c r="H129" t="s">
        <v>50</v>
      </c>
      <c r="I129">
        <v>5</v>
      </c>
      <c r="J129">
        <v>11032</v>
      </c>
      <c r="K129">
        <v>55160</v>
      </c>
      <c r="L129" t="s">
        <v>20</v>
      </c>
      <c r="M129" t="s">
        <v>55</v>
      </c>
      <c r="N129" t="s">
        <v>69</v>
      </c>
    </row>
    <row r="130" spans="1:14" x14ac:dyDescent="0.25">
      <c r="A130" t="s">
        <v>433</v>
      </c>
      <c r="B130" s="1">
        <v>45868</v>
      </c>
      <c r="C130" t="s">
        <v>434</v>
      </c>
      <c r="D130" t="s">
        <v>435</v>
      </c>
      <c r="E130" s="14">
        <v>923380709876</v>
      </c>
      <c r="F130" t="s">
        <v>44</v>
      </c>
      <c r="G130" t="s">
        <v>18</v>
      </c>
      <c r="H130" t="s">
        <v>39</v>
      </c>
      <c r="I130">
        <v>2</v>
      </c>
      <c r="J130">
        <v>3432</v>
      </c>
      <c r="K130">
        <v>6864</v>
      </c>
      <c r="L130" t="s">
        <v>63</v>
      </c>
      <c r="M130" t="s">
        <v>82</v>
      </c>
      <c r="N130" t="s">
        <v>28</v>
      </c>
    </row>
    <row r="131" spans="1:14" x14ac:dyDescent="0.25">
      <c r="A131" t="s">
        <v>436</v>
      </c>
      <c r="B131" s="1">
        <v>45878</v>
      </c>
      <c r="C131" t="s">
        <v>437</v>
      </c>
      <c r="D131" t="s">
        <v>438</v>
      </c>
      <c r="E131" s="14">
        <v>923186776004</v>
      </c>
      <c r="F131" t="s">
        <v>67</v>
      </c>
      <c r="G131" t="s">
        <v>18</v>
      </c>
      <c r="H131" t="s">
        <v>19</v>
      </c>
      <c r="I131">
        <v>3</v>
      </c>
      <c r="J131">
        <v>4863</v>
      </c>
      <c r="K131">
        <v>14589</v>
      </c>
      <c r="L131" t="s">
        <v>26</v>
      </c>
      <c r="M131" t="s">
        <v>135</v>
      </c>
      <c r="N131" t="s">
        <v>69</v>
      </c>
    </row>
    <row r="132" spans="1:14" x14ac:dyDescent="0.25">
      <c r="A132" t="s">
        <v>439</v>
      </c>
      <c r="B132" s="1">
        <v>45863</v>
      </c>
      <c r="C132" t="s">
        <v>440</v>
      </c>
      <c r="D132" t="s">
        <v>441</v>
      </c>
      <c r="E132" s="14">
        <v>923227938732</v>
      </c>
      <c r="F132" t="s">
        <v>77</v>
      </c>
      <c r="G132" t="s">
        <v>18</v>
      </c>
      <c r="H132" t="s">
        <v>59</v>
      </c>
      <c r="I132">
        <v>2</v>
      </c>
      <c r="J132">
        <v>7331</v>
      </c>
      <c r="K132">
        <v>14662</v>
      </c>
      <c r="L132" t="s">
        <v>63</v>
      </c>
      <c r="M132" t="s">
        <v>82</v>
      </c>
      <c r="N132" t="s">
        <v>28</v>
      </c>
    </row>
    <row r="133" spans="1:14" x14ac:dyDescent="0.25">
      <c r="A133" t="s">
        <v>442</v>
      </c>
      <c r="B133" s="1">
        <v>45869</v>
      </c>
      <c r="C133" t="s">
        <v>443</v>
      </c>
      <c r="D133" t="s">
        <v>444</v>
      </c>
      <c r="E133" s="14">
        <v>923290117343</v>
      </c>
      <c r="F133" t="s">
        <v>106</v>
      </c>
      <c r="G133" t="s">
        <v>18</v>
      </c>
      <c r="H133" t="s">
        <v>33</v>
      </c>
      <c r="I133">
        <v>3</v>
      </c>
      <c r="J133">
        <v>10449</v>
      </c>
      <c r="K133">
        <v>31347</v>
      </c>
      <c r="L133" t="s">
        <v>63</v>
      </c>
      <c r="M133" t="s">
        <v>82</v>
      </c>
      <c r="N133" t="s">
        <v>28</v>
      </c>
    </row>
    <row r="134" spans="1:14" x14ac:dyDescent="0.25">
      <c r="A134" t="s">
        <v>445</v>
      </c>
      <c r="B134" s="1">
        <v>45738</v>
      </c>
      <c r="C134" t="s">
        <v>446</v>
      </c>
      <c r="D134" t="s">
        <v>447</v>
      </c>
      <c r="E134" s="14">
        <v>923358890772</v>
      </c>
      <c r="F134" t="s">
        <v>77</v>
      </c>
      <c r="G134" t="s">
        <v>18</v>
      </c>
      <c r="H134" t="s">
        <v>59</v>
      </c>
      <c r="I134">
        <v>1</v>
      </c>
      <c r="J134">
        <v>10466</v>
      </c>
      <c r="K134">
        <v>10466</v>
      </c>
      <c r="L134" t="s">
        <v>26</v>
      </c>
      <c r="M134" t="s">
        <v>55</v>
      </c>
      <c r="N134" t="s">
        <v>22</v>
      </c>
    </row>
    <row r="135" spans="1:14" x14ac:dyDescent="0.25">
      <c r="A135" t="s">
        <v>448</v>
      </c>
      <c r="B135" s="1">
        <v>45878</v>
      </c>
      <c r="C135" t="s">
        <v>449</v>
      </c>
      <c r="D135" t="s">
        <v>450</v>
      </c>
      <c r="E135" s="14">
        <v>923156025198</v>
      </c>
      <c r="F135" t="s">
        <v>54</v>
      </c>
      <c r="G135" t="s">
        <v>18</v>
      </c>
      <c r="H135" t="s">
        <v>39</v>
      </c>
      <c r="I135">
        <v>5</v>
      </c>
      <c r="J135">
        <v>1856</v>
      </c>
      <c r="K135">
        <v>9280</v>
      </c>
      <c r="L135" t="s">
        <v>26</v>
      </c>
      <c r="M135" t="s">
        <v>45</v>
      </c>
      <c r="N135" t="s">
        <v>22</v>
      </c>
    </row>
    <row r="136" spans="1:14" x14ac:dyDescent="0.25">
      <c r="A136" t="s">
        <v>451</v>
      </c>
      <c r="B136" s="1">
        <v>45866</v>
      </c>
      <c r="C136" t="s">
        <v>452</v>
      </c>
      <c r="D136" t="s">
        <v>453</v>
      </c>
      <c r="E136" s="14">
        <v>923461459278</v>
      </c>
      <c r="F136" t="s">
        <v>54</v>
      </c>
      <c r="G136" t="s">
        <v>18</v>
      </c>
      <c r="H136" t="s">
        <v>19</v>
      </c>
      <c r="I136">
        <v>3</v>
      </c>
      <c r="J136">
        <v>2982</v>
      </c>
      <c r="K136">
        <v>8946</v>
      </c>
      <c r="L136" t="s">
        <v>63</v>
      </c>
      <c r="M136" t="s">
        <v>27</v>
      </c>
      <c r="N136" t="s">
        <v>22</v>
      </c>
    </row>
    <row r="137" spans="1:14" x14ac:dyDescent="0.25">
      <c r="A137" t="s">
        <v>454</v>
      </c>
      <c r="B137" s="1">
        <v>45898</v>
      </c>
      <c r="C137" t="s">
        <v>455</v>
      </c>
      <c r="D137" t="s">
        <v>456</v>
      </c>
      <c r="E137" s="14">
        <v>923317464002</v>
      </c>
      <c r="F137" t="s">
        <v>122</v>
      </c>
      <c r="G137" t="s">
        <v>18</v>
      </c>
      <c r="H137" t="s">
        <v>33</v>
      </c>
      <c r="I137">
        <v>4</v>
      </c>
      <c r="J137">
        <v>4820</v>
      </c>
      <c r="K137">
        <v>19280</v>
      </c>
      <c r="L137" t="s">
        <v>63</v>
      </c>
      <c r="M137" t="s">
        <v>21</v>
      </c>
      <c r="N137" t="s">
        <v>28</v>
      </c>
    </row>
    <row r="138" spans="1:14" x14ac:dyDescent="0.25">
      <c r="A138" t="s">
        <v>457</v>
      </c>
      <c r="B138" s="1">
        <v>46040</v>
      </c>
      <c r="C138" t="s">
        <v>458</v>
      </c>
      <c r="D138" t="s">
        <v>459</v>
      </c>
      <c r="E138" s="14">
        <v>923125789266</v>
      </c>
      <c r="F138" t="s">
        <v>17</v>
      </c>
      <c r="G138" t="s">
        <v>18</v>
      </c>
      <c r="H138" t="s">
        <v>19</v>
      </c>
      <c r="I138">
        <v>2</v>
      </c>
      <c r="J138">
        <v>5220</v>
      </c>
      <c r="K138">
        <v>10440</v>
      </c>
      <c r="L138" t="s">
        <v>78</v>
      </c>
      <c r="M138" t="s">
        <v>93</v>
      </c>
      <c r="N138" t="s">
        <v>35</v>
      </c>
    </row>
    <row r="139" spans="1:14" x14ac:dyDescent="0.25">
      <c r="A139" t="s">
        <v>460</v>
      </c>
      <c r="B139" s="1">
        <v>45865</v>
      </c>
      <c r="C139" t="s">
        <v>461</v>
      </c>
      <c r="D139" t="s">
        <v>462</v>
      </c>
      <c r="E139" s="14">
        <v>923069793039</v>
      </c>
      <c r="F139" t="s">
        <v>92</v>
      </c>
      <c r="G139" t="s">
        <v>18</v>
      </c>
      <c r="H139" t="s">
        <v>19</v>
      </c>
      <c r="I139">
        <v>1</v>
      </c>
      <c r="J139">
        <v>3776</v>
      </c>
      <c r="K139">
        <v>3776</v>
      </c>
      <c r="L139" t="s">
        <v>40</v>
      </c>
      <c r="M139" t="s">
        <v>55</v>
      </c>
      <c r="N139" t="s">
        <v>69</v>
      </c>
    </row>
    <row r="140" spans="1:14" x14ac:dyDescent="0.25">
      <c r="A140" t="s">
        <v>463</v>
      </c>
      <c r="B140" s="1">
        <v>45925</v>
      </c>
      <c r="C140" t="s">
        <v>464</v>
      </c>
      <c r="D140" t="s">
        <v>465</v>
      </c>
      <c r="E140" s="14">
        <v>923014046845</v>
      </c>
      <c r="F140" t="s">
        <v>106</v>
      </c>
      <c r="G140" t="s">
        <v>18</v>
      </c>
      <c r="H140" t="s">
        <v>73</v>
      </c>
      <c r="I140">
        <v>1</v>
      </c>
      <c r="J140">
        <v>14256</v>
      </c>
      <c r="K140">
        <v>14256</v>
      </c>
      <c r="L140" t="s">
        <v>20</v>
      </c>
      <c r="M140" t="s">
        <v>34</v>
      </c>
      <c r="N140" t="s">
        <v>28</v>
      </c>
    </row>
    <row r="141" spans="1:14" x14ac:dyDescent="0.25">
      <c r="A141" t="s">
        <v>466</v>
      </c>
      <c r="B141" s="1">
        <v>45774</v>
      </c>
      <c r="C141" t="s">
        <v>467</v>
      </c>
      <c r="D141" t="s">
        <v>468</v>
      </c>
      <c r="E141" s="14">
        <v>923351948007</v>
      </c>
      <c r="F141" t="s">
        <v>44</v>
      </c>
      <c r="G141" t="s">
        <v>18</v>
      </c>
      <c r="H141" t="s">
        <v>19</v>
      </c>
      <c r="I141">
        <v>3</v>
      </c>
      <c r="J141">
        <v>10589</v>
      </c>
      <c r="K141">
        <v>31767</v>
      </c>
      <c r="L141" t="s">
        <v>26</v>
      </c>
      <c r="M141" t="s">
        <v>34</v>
      </c>
      <c r="N141" t="s">
        <v>35</v>
      </c>
    </row>
    <row r="142" spans="1:14" x14ac:dyDescent="0.25">
      <c r="A142" t="s">
        <v>469</v>
      </c>
      <c r="B142" s="1">
        <v>45756</v>
      </c>
      <c r="C142" t="s">
        <v>470</v>
      </c>
      <c r="D142" t="s">
        <v>471</v>
      </c>
      <c r="E142" s="14">
        <v>923429603779</v>
      </c>
      <c r="F142" t="s">
        <v>122</v>
      </c>
      <c r="G142" t="s">
        <v>18</v>
      </c>
      <c r="H142" t="s">
        <v>39</v>
      </c>
      <c r="I142">
        <v>2</v>
      </c>
      <c r="J142">
        <v>3489</v>
      </c>
      <c r="K142">
        <v>6978</v>
      </c>
      <c r="L142" t="s">
        <v>68</v>
      </c>
      <c r="M142" t="s">
        <v>82</v>
      </c>
      <c r="N142" t="s">
        <v>69</v>
      </c>
    </row>
    <row r="143" spans="1:14" x14ac:dyDescent="0.25">
      <c r="A143" t="s">
        <v>472</v>
      </c>
      <c r="B143" s="1">
        <v>45823</v>
      </c>
      <c r="C143" t="s">
        <v>473</v>
      </c>
      <c r="D143" t="s">
        <v>474</v>
      </c>
      <c r="E143" s="14">
        <v>923274668555</v>
      </c>
      <c r="F143" t="s">
        <v>49</v>
      </c>
      <c r="G143" t="s">
        <v>18</v>
      </c>
      <c r="H143" t="s">
        <v>59</v>
      </c>
      <c r="I143">
        <v>1</v>
      </c>
      <c r="J143">
        <v>3075</v>
      </c>
      <c r="K143">
        <v>3075</v>
      </c>
      <c r="L143" t="s">
        <v>68</v>
      </c>
      <c r="M143" t="s">
        <v>93</v>
      </c>
      <c r="N143" t="s">
        <v>69</v>
      </c>
    </row>
    <row r="144" spans="1:14" x14ac:dyDescent="0.25">
      <c r="A144" t="s">
        <v>475</v>
      </c>
      <c r="B144" s="1">
        <v>45812</v>
      </c>
      <c r="C144" t="s">
        <v>476</v>
      </c>
      <c r="D144" t="s">
        <v>477</v>
      </c>
      <c r="E144" s="14">
        <v>923492979767</v>
      </c>
      <c r="F144" t="s">
        <v>32</v>
      </c>
      <c r="G144" t="s">
        <v>18</v>
      </c>
      <c r="H144" t="s">
        <v>33</v>
      </c>
      <c r="I144">
        <v>4</v>
      </c>
      <c r="J144">
        <v>6872</v>
      </c>
      <c r="K144">
        <v>27488</v>
      </c>
      <c r="L144" t="s">
        <v>68</v>
      </c>
      <c r="M144" t="s">
        <v>27</v>
      </c>
      <c r="N144" t="s">
        <v>28</v>
      </c>
    </row>
    <row r="145" spans="1:14" x14ac:dyDescent="0.25">
      <c r="A145" t="s">
        <v>478</v>
      </c>
      <c r="B145" s="1">
        <v>45811</v>
      </c>
      <c r="C145" t="s">
        <v>479</v>
      </c>
      <c r="D145" t="s">
        <v>480</v>
      </c>
      <c r="E145" s="14">
        <v>923456061470</v>
      </c>
      <c r="F145" t="s">
        <v>92</v>
      </c>
      <c r="G145" t="s">
        <v>18</v>
      </c>
      <c r="H145" t="s">
        <v>33</v>
      </c>
      <c r="I145">
        <v>5</v>
      </c>
      <c r="J145">
        <v>8060</v>
      </c>
      <c r="K145">
        <v>40300</v>
      </c>
      <c r="L145" t="s">
        <v>63</v>
      </c>
      <c r="M145" t="s">
        <v>55</v>
      </c>
      <c r="N145" t="s">
        <v>69</v>
      </c>
    </row>
    <row r="146" spans="1:14" x14ac:dyDescent="0.25">
      <c r="A146" t="s">
        <v>481</v>
      </c>
      <c r="B146" s="1">
        <v>45999</v>
      </c>
      <c r="C146" t="s">
        <v>482</v>
      </c>
      <c r="D146" t="s">
        <v>483</v>
      </c>
      <c r="E146" s="14">
        <v>923162272241</v>
      </c>
      <c r="F146" t="s">
        <v>54</v>
      </c>
      <c r="G146" t="s">
        <v>18</v>
      </c>
      <c r="H146" t="s">
        <v>19</v>
      </c>
      <c r="I146">
        <v>2</v>
      </c>
      <c r="J146">
        <v>2665</v>
      </c>
      <c r="K146">
        <v>5330</v>
      </c>
      <c r="L146" t="s">
        <v>68</v>
      </c>
      <c r="M146" t="s">
        <v>135</v>
      </c>
      <c r="N146" t="s">
        <v>69</v>
      </c>
    </row>
    <row r="147" spans="1:14" x14ac:dyDescent="0.25">
      <c r="A147" t="s">
        <v>484</v>
      </c>
      <c r="B147" s="1">
        <v>45778</v>
      </c>
      <c r="C147" t="s">
        <v>485</v>
      </c>
      <c r="D147" t="s">
        <v>486</v>
      </c>
      <c r="E147" s="14">
        <v>923422722017</v>
      </c>
      <c r="F147" t="s">
        <v>32</v>
      </c>
      <c r="G147" t="s">
        <v>18</v>
      </c>
      <c r="H147" t="s">
        <v>33</v>
      </c>
      <c r="I147">
        <v>2</v>
      </c>
      <c r="J147">
        <v>6063</v>
      </c>
      <c r="K147">
        <v>12126</v>
      </c>
      <c r="L147" t="s">
        <v>68</v>
      </c>
      <c r="M147" t="s">
        <v>27</v>
      </c>
      <c r="N147" t="s">
        <v>22</v>
      </c>
    </row>
    <row r="148" spans="1:14" x14ac:dyDescent="0.25">
      <c r="A148" t="s">
        <v>487</v>
      </c>
      <c r="B148" s="1">
        <v>45869</v>
      </c>
      <c r="C148" t="s">
        <v>488</v>
      </c>
      <c r="D148" t="s">
        <v>489</v>
      </c>
      <c r="E148" s="14">
        <v>923135310902</v>
      </c>
      <c r="F148" t="s">
        <v>49</v>
      </c>
      <c r="G148" t="s">
        <v>18</v>
      </c>
      <c r="H148" t="s">
        <v>59</v>
      </c>
      <c r="I148">
        <v>4</v>
      </c>
      <c r="J148">
        <v>4822</v>
      </c>
      <c r="K148">
        <v>19288</v>
      </c>
      <c r="L148" t="s">
        <v>20</v>
      </c>
      <c r="M148" t="s">
        <v>27</v>
      </c>
      <c r="N148" t="s">
        <v>22</v>
      </c>
    </row>
    <row r="149" spans="1:14" x14ac:dyDescent="0.25">
      <c r="A149" t="s">
        <v>490</v>
      </c>
      <c r="B149" s="1">
        <v>46056</v>
      </c>
      <c r="C149" t="s">
        <v>491</v>
      </c>
      <c r="D149" t="s">
        <v>492</v>
      </c>
      <c r="E149" s="14">
        <v>923155743099</v>
      </c>
      <c r="F149" t="s">
        <v>32</v>
      </c>
      <c r="G149" t="s">
        <v>18</v>
      </c>
      <c r="H149" t="s">
        <v>73</v>
      </c>
      <c r="I149">
        <v>5</v>
      </c>
      <c r="J149">
        <v>3693</v>
      </c>
      <c r="K149">
        <v>18465</v>
      </c>
      <c r="L149" t="s">
        <v>78</v>
      </c>
      <c r="M149" t="s">
        <v>34</v>
      </c>
      <c r="N149" t="s">
        <v>22</v>
      </c>
    </row>
    <row r="150" spans="1:14" x14ac:dyDescent="0.25">
      <c r="A150" t="s">
        <v>493</v>
      </c>
      <c r="B150" s="1">
        <v>45911</v>
      </c>
      <c r="C150" t="s">
        <v>494</v>
      </c>
      <c r="D150" t="s">
        <v>495</v>
      </c>
      <c r="E150" s="14">
        <v>923137039582</v>
      </c>
      <c r="F150" t="s">
        <v>17</v>
      </c>
      <c r="G150" t="s">
        <v>18</v>
      </c>
      <c r="H150" t="s">
        <v>73</v>
      </c>
      <c r="I150">
        <v>3</v>
      </c>
      <c r="J150">
        <v>1573</v>
      </c>
      <c r="K150">
        <v>4719</v>
      </c>
      <c r="L150" t="s">
        <v>40</v>
      </c>
      <c r="M150" t="s">
        <v>21</v>
      </c>
      <c r="N150" t="s">
        <v>22</v>
      </c>
    </row>
    <row r="151" spans="1:14" x14ac:dyDescent="0.25">
      <c r="A151" t="s">
        <v>496</v>
      </c>
      <c r="B151" s="1">
        <v>45940</v>
      </c>
      <c r="C151" t="s">
        <v>497</v>
      </c>
      <c r="D151" t="s">
        <v>498</v>
      </c>
      <c r="E151" s="14">
        <v>923232381010</v>
      </c>
      <c r="F151" t="s">
        <v>77</v>
      </c>
      <c r="G151" t="s">
        <v>18</v>
      </c>
      <c r="H151" t="s">
        <v>39</v>
      </c>
      <c r="I151">
        <v>2</v>
      </c>
      <c r="J151">
        <v>1031</v>
      </c>
      <c r="K151">
        <v>2062</v>
      </c>
      <c r="L151" t="s">
        <v>68</v>
      </c>
      <c r="M151" t="s">
        <v>93</v>
      </c>
      <c r="N151" t="s">
        <v>22</v>
      </c>
    </row>
    <row r="152" spans="1:14" x14ac:dyDescent="0.25">
      <c r="A152" t="s">
        <v>499</v>
      </c>
      <c r="B152" s="1">
        <v>45875</v>
      </c>
      <c r="C152" t="s">
        <v>500</v>
      </c>
      <c r="D152" t="s">
        <v>501</v>
      </c>
      <c r="E152" s="14">
        <v>923445393774</v>
      </c>
      <c r="F152" t="s">
        <v>122</v>
      </c>
      <c r="G152" t="s">
        <v>18</v>
      </c>
      <c r="H152" t="s">
        <v>19</v>
      </c>
      <c r="I152">
        <v>4</v>
      </c>
      <c r="J152">
        <v>2389</v>
      </c>
      <c r="K152">
        <v>9556</v>
      </c>
      <c r="L152" t="s">
        <v>68</v>
      </c>
      <c r="M152" t="s">
        <v>34</v>
      </c>
      <c r="N152" t="s">
        <v>35</v>
      </c>
    </row>
    <row r="153" spans="1:14" x14ac:dyDescent="0.25">
      <c r="A153" t="s">
        <v>502</v>
      </c>
      <c r="B153" s="1">
        <v>45787</v>
      </c>
      <c r="C153" t="s">
        <v>503</v>
      </c>
      <c r="D153" t="s">
        <v>504</v>
      </c>
      <c r="E153" s="14">
        <v>923009363817</v>
      </c>
      <c r="F153" t="s">
        <v>77</v>
      </c>
      <c r="G153" t="s">
        <v>18</v>
      </c>
      <c r="H153" t="s">
        <v>19</v>
      </c>
      <c r="I153">
        <v>4</v>
      </c>
      <c r="J153">
        <v>6400</v>
      </c>
      <c r="K153">
        <v>25600</v>
      </c>
      <c r="L153" t="s">
        <v>26</v>
      </c>
      <c r="M153" t="s">
        <v>34</v>
      </c>
      <c r="N153" t="s">
        <v>22</v>
      </c>
    </row>
    <row r="154" spans="1:14" x14ac:dyDescent="0.25">
      <c r="A154" t="s">
        <v>505</v>
      </c>
      <c r="B154" s="1">
        <v>45893</v>
      </c>
      <c r="C154" t="s">
        <v>506</v>
      </c>
      <c r="D154" t="s">
        <v>507</v>
      </c>
      <c r="E154" s="14">
        <v>923324956022</v>
      </c>
      <c r="F154" t="s">
        <v>77</v>
      </c>
      <c r="G154" t="s">
        <v>18</v>
      </c>
      <c r="H154" t="s">
        <v>50</v>
      </c>
      <c r="I154">
        <v>4</v>
      </c>
      <c r="J154">
        <v>8455</v>
      </c>
      <c r="K154">
        <v>33820</v>
      </c>
      <c r="L154" t="s">
        <v>63</v>
      </c>
      <c r="M154" t="s">
        <v>55</v>
      </c>
      <c r="N154" t="s">
        <v>22</v>
      </c>
    </row>
    <row r="155" spans="1:14" x14ac:dyDescent="0.25">
      <c r="A155" t="s">
        <v>508</v>
      </c>
      <c r="B155" s="1">
        <v>46070</v>
      </c>
      <c r="C155" t="s">
        <v>509</v>
      </c>
      <c r="D155" t="s">
        <v>510</v>
      </c>
      <c r="E155" s="14">
        <v>923047125871</v>
      </c>
      <c r="F155" t="s">
        <v>67</v>
      </c>
      <c r="G155" t="s">
        <v>18</v>
      </c>
      <c r="H155" t="s">
        <v>73</v>
      </c>
      <c r="I155">
        <v>4</v>
      </c>
      <c r="J155">
        <v>7723</v>
      </c>
      <c r="K155">
        <v>30892</v>
      </c>
      <c r="L155" t="s">
        <v>63</v>
      </c>
      <c r="M155" t="s">
        <v>34</v>
      </c>
      <c r="N155" t="s">
        <v>22</v>
      </c>
    </row>
    <row r="156" spans="1:14" x14ac:dyDescent="0.25">
      <c r="A156" t="s">
        <v>511</v>
      </c>
      <c r="B156" s="1">
        <v>45868</v>
      </c>
      <c r="C156" t="s">
        <v>512</v>
      </c>
      <c r="D156" t="s">
        <v>513</v>
      </c>
      <c r="E156" s="14">
        <v>923258955653</v>
      </c>
      <c r="F156" t="s">
        <v>32</v>
      </c>
      <c r="G156" t="s">
        <v>18</v>
      </c>
      <c r="H156" t="s">
        <v>50</v>
      </c>
      <c r="I156">
        <v>2</v>
      </c>
      <c r="J156">
        <v>14073</v>
      </c>
      <c r="K156">
        <v>28146</v>
      </c>
      <c r="L156" t="s">
        <v>20</v>
      </c>
      <c r="M156" t="s">
        <v>135</v>
      </c>
      <c r="N156" t="s">
        <v>22</v>
      </c>
    </row>
    <row r="157" spans="1:14" x14ac:dyDescent="0.25">
      <c r="A157" t="s">
        <v>514</v>
      </c>
      <c r="B157" s="1">
        <v>45738</v>
      </c>
      <c r="C157" t="s">
        <v>515</v>
      </c>
      <c r="D157" t="s">
        <v>516</v>
      </c>
      <c r="E157" s="14">
        <v>923269840114</v>
      </c>
      <c r="F157" t="s">
        <v>49</v>
      </c>
      <c r="G157" t="s">
        <v>18</v>
      </c>
      <c r="H157" t="s">
        <v>19</v>
      </c>
      <c r="I157">
        <v>3</v>
      </c>
      <c r="J157">
        <v>7097</v>
      </c>
      <c r="K157">
        <v>21291</v>
      </c>
      <c r="L157" t="s">
        <v>78</v>
      </c>
      <c r="M157" t="s">
        <v>21</v>
      </c>
      <c r="N157" t="s">
        <v>22</v>
      </c>
    </row>
    <row r="158" spans="1:14" x14ac:dyDescent="0.25">
      <c r="A158" t="s">
        <v>517</v>
      </c>
      <c r="B158" s="1">
        <v>45706</v>
      </c>
      <c r="C158" t="s">
        <v>518</v>
      </c>
      <c r="D158" t="s">
        <v>519</v>
      </c>
      <c r="E158" s="14">
        <v>923241954788</v>
      </c>
      <c r="F158" t="s">
        <v>17</v>
      </c>
      <c r="G158" t="s">
        <v>18</v>
      </c>
      <c r="H158" t="s">
        <v>33</v>
      </c>
      <c r="I158">
        <v>4</v>
      </c>
      <c r="J158">
        <v>12347</v>
      </c>
      <c r="K158">
        <v>49388</v>
      </c>
      <c r="L158" t="s">
        <v>78</v>
      </c>
      <c r="M158" t="s">
        <v>27</v>
      </c>
      <c r="N158" t="s">
        <v>28</v>
      </c>
    </row>
    <row r="159" spans="1:14" x14ac:dyDescent="0.25">
      <c r="A159" t="s">
        <v>520</v>
      </c>
      <c r="B159" s="1">
        <v>45726</v>
      </c>
      <c r="C159" t="s">
        <v>521</v>
      </c>
      <c r="D159" t="s">
        <v>522</v>
      </c>
      <c r="E159" s="14">
        <v>923077812015</v>
      </c>
      <c r="F159" t="s">
        <v>49</v>
      </c>
      <c r="G159" t="s">
        <v>18</v>
      </c>
      <c r="H159" t="s">
        <v>19</v>
      </c>
      <c r="I159">
        <v>1</v>
      </c>
      <c r="J159">
        <v>2504</v>
      </c>
      <c r="K159">
        <v>2504</v>
      </c>
      <c r="L159" t="s">
        <v>20</v>
      </c>
      <c r="M159" t="s">
        <v>135</v>
      </c>
      <c r="N159" t="s">
        <v>28</v>
      </c>
    </row>
    <row r="160" spans="1:14" x14ac:dyDescent="0.25">
      <c r="A160" t="s">
        <v>523</v>
      </c>
      <c r="B160" s="1">
        <v>45904</v>
      </c>
      <c r="C160" t="s">
        <v>524</v>
      </c>
      <c r="D160" t="s">
        <v>525</v>
      </c>
      <c r="E160" s="14">
        <v>923274688169</v>
      </c>
      <c r="F160" t="s">
        <v>32</v>
      </c>
      <c r="G160" t="s">
        <v>18</v>
      </c>
      <c r="H160" t="s">
        <v>59</v>
      </c>
      <c r="I160">
        <v>1</v>
      </c>
      <c r="J160">
        <v>8028</v>
      </c>
      <c r="K160">
        <v>8028</v>
      </c>
      <c r="L160" t="s">
        <v>40</v>
      </c>
      <c r="M160" t="s">
        <v>21</v>
      </c>
      <c r="N160" t="s">
        <v>69</v>
      </c>
    </row>
    <row r="161" spans="1:14" x14ac:dyDescent="0.25">
      <c r="A161" t="s">
        <v>526</v>
      </c>
      <c r="B161" s="1">
        <v>45728</v>
      </c>
      <c r="C161" t="s">
        <v>527</v>
      </c>
      <c r="D161" t="s">
        <v>528</v>
      </c>
      <c r="E161" s="14">
        <v>923470606061</v>
      </c>
      <c r="F161" t="s">
        <v>17</v>
      </c>
      <c r="G161" t="s">
        <v>18</v>
      </c>
      <c r="H161" t="s">
        <v>19</v>
      </c>
      <c r="I161">
        <v>4</v>
      </c>
      <c r="J161">
        <v>14105</v>
      </c>
      <c r="K161">
        <v>56420</v>
      </c>
      <c r="L161" t="s">
        <v>40</v>
      </c>
      <c r="M161" t="s">
        <v>27</v>
      </c>
      <c r="N161" t="s">
        <v>35</v>
      </c>
    </row>
    <row r="162" spans="1:14" x14ac:dyDescent="0.25">
      <c r="A162" t="s">
        <v>529</v>
      </c>
      <c r="B162" s="1">
        <v>46013</v>
      </c>
      <c r="C162" t="s">
        <v>530</v>
      </c>
      <c r="D162" t="s">
        <v>531</v>
      </c>
      <c r="E162" s="14">
        <v>923312994923</v>
      </c>
      <c r="F162" t="s">
        <v>49</v>
      </c>
      <c r="G162" t="s">
        <v>18</v>
      </c>
      <c r="H162" t="s">
        <v>33</v>
      </c>
      <c r="I162">
        <v>3</v>
      </c>
      <c r="J162">
        <v>1131</v>
      </c>
      <c r="K162">
        <v>3393</v>
      </c>
      <c r="L162" t="s">
        <v>68</v>
      </c>
      <c r="M162" t="s">
        <v>34</v>
      </c>
      <c r="N162" t="s">
        <v>28</v>
      </c>
    </row>
    <row r="163" spans="1:14" x14ac:dyDescent="0.25">
      <c r="A163" t="s">
        <v>532</v>
      </c>
      <c r="B163" s="1">
        <v>45718</v>
      </c>
      <c r="C163" t="s">
        <v>533</v>
      </c>
      <c r="D163" t="s">
        <v>534</v>
      </c>
      <c r="E163" s="14">
        <v>923283866909</v>
      </c>
      <c r="F163" t="s">
        <v>44</v>
      </c>
      <c r="G163" t="s">
        <v>18</v>
      </c>
      <c r="H163" t="s">
        <v>19</v>
      </c>
      <c r="I163">
        <v>5</v>
      </c>
      <c r="J163">
        <v>6048</v>
      </c>
      <c r="K163">
        <v>30240</v>
      </c>
      <c r="L163" t="s">
        <v>78</v>
      </c>
      <c r="M163" t="s">
        <v>135</v>
      </c>
      <c r="N163" t="s">
        <v>69</v>
      </c>
    </row>
    <row r="164" spans="1:14" x14ac:dyDescent="0.25">
      <c r="A164" t="s">
        <v>535</v>
      </c>
      <c r="B164" s="1">
        <v>45842</v>
      </c>
      <c r="C164" t="s">
        <v>536</v>
      </c>
      <c r="D164" t="s">
        <v>537</v>
      </c>
      <c r="E164" s="14">
        <v>923392214952</v>
      </c>
      <c r="F164" t="s">
        <v>44</v>
      </c>
      <c r="G164" t="s">
        <v>18</v>
      </c>
      <c r="H164" t="s">
        <v>73</v>
      </c>
      <c r="I164">
        <v>3</v>
      </c>
      <c r="J164">
        <v>8321</v>
      </c>
      <c r="K164">
        <v>24963</v>
      </c>
      <c r="L164" t="s">
        <v>78</v>
      </c>
      <c r="M164" t="s">
        <v>21</v>
      </c>
      <c r="N164" t="s">
        <v>28</v>
      </c>
    </row>
    <row r="165" spans="1:14" x14ac:dyDescent="0.25">
      <c r="A165" t="s">
        <v>538</v>
      </c>
      <c r="B165" s="1">
        <v>45818</v>
      </c>
      <c r="C165" t="s">
        <v>539</v>
      </c>
      <c r="D165" t="s">
        <v>540</v>
      </c>
      <c r="E165" s="14">
        <v>923335220746</v>
      </c>
      <c r="F165" t="s">
        <v>49</v>
      </c>
      <c r="G165" t="s">
        <v>18</v>
      </c>
      <c r="H165" t="s">
        <v>73</v>
      </c>
      <c r="I165">
        <v>4</v>
      </c>
      <c r="J165">
        <v>12318</v>
      </c>
      <c r="K165">
        <v>49272</v>
      </c>
      <c r="L165" t="s">
        <v>63</v>
      </c>
      <c r="M165" t="s">
        <v>45</v>
      </c>
      <c r="N165" t="s">
        <v>35</v>
      </c>
    </row>
    <row r="166" spans="1:14" x14ac:dyDescent="0.25">
      <c r="A166" t="s">
        <v>541</v>
      </c>
      <c r="B166" s="1">
        <v>45731</v>
      </c>
      <c r="C166" t="s">
        <v>542</v>
      </c>
      <c r="D166" t="s">
        <v>543</v>
      </c>
      <c r="E166" s="14">
        <v>923493443785</v>
      </c>
      <c r="F166" t="s">
        <v>49</v>
      </c>
      <c r="G166" t="s">
        <v>18</v>
      </c>
      <c r="H166" t="s">
        <v>73</v>
      </c>
      <c r="I166">
        <v>5</v>
      </c>
      <c r="J166">
        <v>7076</v>
      </c>
      <c r="K166">
        <v>35380</v>
      </c>
      <c r="L166" t="s">
        <v>40</v>
      </c>
      <c r="M166" t="s">
        <v>45</v>
      </c>
      <c r="N166" t="s">
        <v>35</v>
      </c>
    </row>
    <row r="167" spans="1:14" x14ac:dyDescent="0.25">
      <c r="A167" t="s">
        <v>544</v>
      </c>
      <c r="B167" s="1">
        <v>45705</v>
      </c>
      <c r="C167" t="s">
        <v>545</v>
      </c>
      <c r="D167" t="s">
        <v>546</v>
      </c>
      <c r="E167" s="14">
        <v>923433208606</v>
      </c>
      <c r="F167" t="s">
        <v>54</v>
      </c>
      <c r="G167" t="s">
        <v>18</v>
      </c>
      <c r="H167" t="s">
        <v>39</v>
      </c>
      <c r="I167">
        <v>5</v>
      </c>
      <c r="J167">
        <v>9662</v>
      </c>
      <c r="K167">
        <v>48310</v>
      </c>
      <c r="L167" t="s">
        <v>63</v>
      </c>
      <c r="M167" t="s">
        <v>34</v>
      </c>
      <c r="N167" t="s">
        <v>22</v>
      </c>
    </row>
    <row r="168" spans="1:14" x14ac:dyDescent="0.25">
      <c r="A168" t="s">
        <v>547</v>
      </c>
      <c r="B168" s="1">
        <v>45958</v>
      </c>
      <c r="C168" t="s">
        <v>548</v>
      </c>
      <c r="D168" t="s">
        <v>549</v>
      </c>
      <c r="E168" s="14">
        <v>923029626606</v>
      </c>
      <c r="F168" t="s">
        <v>67</v>
      </c>
      <c r="G168" t="s">
        <v>18</v>
      </c>
      <c r="H168" t="s">
        <v>39</v>
      </c>
      <c r="I168">
        <v>1</v>
      </c>
      <c r="J168">
        <v>12063</v>
      </c>
      <c r="K168">
        <v>12063</v>
      </c>
      <c r="L168" t="s">
        <v>40</v>
      </c>
      <c r="M168" t="s">
        <v>21</v>
      </c>
      <c r="N168" t="s">
        <v>22</v>
      </c>
    </row>
    <row r="169" spans="1:14" x14ac:dyDescent="0.25">
      <c r="A169" t="s">
        <v>550</v>
      </c>
      <c r="B169" s="1">
        <v>45867</v>
      </c>
      <c r="C169" t="s">
        <v>551</v>
      </c>
      <c r="D169" t="s">
        <v>552</v>
      </c>
      <c r="E169" s="14">
        <v>923066865203</v>
      </c>
      <c r="F169" t="s">
        <v>92</v>
      </c>
      <c r="G169" t="s">
        <v>18</v>
      </c>
      <c r="H169" t="s">
        <v>33</v>
      </c>
      <c r="I169">
        <v>4</v>
      </c>
      <c r="J169">
        <v>14195</v>
      </c>
      <c r="K169">
        <v>56780</v>
      </c>
      <c r="L169" t="s">
        <v>20</v>
      </c>
      <c r="M169" t="s">
        <v>34</v>
      </c>
      <c r="N169" t="s">
        <v>35</v>
      </c>
    </row>
    <row r="170" spans="1:14" x14ac:dyDescent="0.25">
      <c r="A170" t="s">
        <v>553</v>
      </c>
      <c r="B170" s="1">
        <v>45895</v>
      </c>
      <c r="C170" t="s">
        <v>554</v>
      </c>
      <c r="D170" t="s">
        <v>555</v>
      </c>
      <c r="E170" s="14">
        <v>923083641920</v>
      </c>
      <c r="F170" t="s">
        <v>44</v>
      </c>
      <c r="G170" t="s">
        <v>18</v>
      </c>
      <c r="H170" t="s">
        <v>39</v>
      </c>
      <c r="I170">
        <v>3</v>
      </c>
      <c r="J170">
        <v>10447</v>
      </c>
      <c r="K170">
        <v>31341</v>
      </c>
      <c r="L170" t="s">
        <v>78</v>
      </c>
      <c r="M170" t="s">
        <v>21</v>
      </c>
      <c r="N170" t="s">
        <v>28</v>
      </c>
    </row>
    <row r="171" spans="1:14" x14ac:dyDescent="0.25">
      <c r="A171" t="s">
        <v>556</v>
      </c>
      <c r="B171" s="1">
        <v>45959</v>
      </c>
      <c r="C171" t="s">
        <v>557</v>
      </c>
      <c r="D171" t="s">
        <v>558</v>
      </c>
      <c r="E171" s="14">
        <v>923381296395</v>
      </c>
      <c r="F171" t="s">
        <v>54</v>
      </c>
      <c r="G171" t="s">
        <v>18</v>
      </c>
      <c r="H171" t="s">
        <v>59</v>
      </c>
      <c r="I171">
        <v>1</v>
      </c>
      <c r="J171">
        <v>1810</v>
      </c>
      <c r="K171">
        <v>1810</v>
      </c>
      <c r="L171" t="s">
        <v>40</v>
      </c>
      <c r="M171" t="s">
        <v>93</v>
      </c>
      <c r="N171" t="s">
        <v>69</v>
      </c>
    </row>
    <row r="172" spans="1:14" x14ac:dyDescent="0.25">
      <c r="A172" t="s">
        <v>559</v>
      </c>
      <c r="B172" s="1">
        <v>45864</v>
      </c>
      <c r="C172" t="s">
        <v>560</v>
      </c>
      <c r="D172" t="s">
        <v>561</v>
      </c>
      <c r="E172" s="14">
        <v>923276161882</v>
      </c>
      <c r="F172" t="s">
        <v>67</v>
      </c>
      <c r="G172" t="s">
        <v>18</v>
      </c>
      <c r="H172" t="s">
        <v>50</v>
      </c>
      <c r="I172">
        <v>5</v>
      </c>
      <c r="J172">
        <v>4763</v>
      </c>
      <c r="K172">
        <v>23815</v>
      </c>
      <c r="L172" t="s">
        <v>40</v>
      </c>
      <c r="M172" t="s">
        <v>55</v>
      </c>
      <c r="N172" t="s">
        <v>22</v>
      </c>
    </row>
    <row r="173" spans="1:14" x14ac:dyDescent="0.25">
      <c r="A173" t="s">
        <v>562</v>
      </c>
      <c r="B173" s="1">
        <v>45930</v>
      </c>
      <c r="C173" t="s">
        <v>563</v>
      </c>
      <c r="D173" t="s">
        <v>564</v>
      </c>
      <c r="E173" s="14">
        <v>923407412520</v>
      </c>
      <c r="F173" t="s">
        <v>122</v>
      </c>
      <c r="G173" t="s">
        <v>18</v>
      </c>
      <c r="H173" t="s">
        <v>73</v>
      </c>
      <c r="I173">
        <v>5</v>
      </c>
      <c r="J173">
        <v>1676</v>
      </c>
      <c r="K173">
        <v>8380</v>
      </c>
      <c r="L173" t="s">
        <v>78</v>
      </c>
      <c r="M173" t="s">
        <v>93</v>
      </c>
      <c r="N173" t="s">
        <v>35</v>
      </c>
    </row>
    <row r="174" spans="1:14" x14ac:dyDescent="0.25">
      <c r="A174" t="s">
        <v>565</v>
      </c>
      <c r="B174" s="1">
        <v>45833</v>
      </c>
      <c r="C174" t="s">
        <v>566</v>
      </c>
      <c r="D174" t="s">
        <v>567</v>
      </c>
      <c r="E174" s="14">
        <v>923346933235</v>
      </c>
      <c r="F174" t="s">
        <v>77</v>
      </c>
      <c r="G174" t="s">
        <v>18</v>
      </c>
      <c r="H174" t="s">
        <v>50</v>
      </c>
      <c r="I174">
        <v>4</v>
      </c>
      <c r="J174">
        <v>1594</v>
      </c>
      <c r="K174">
        <v>6376</v>
      </c>
      <c r="L174" t="s">
        <v>40</v>
      </c>
      <c r="M174" t="s">
        <v>21</v>
      </c>
      <c r="N174" t="s">
        <v>22</v>
      </c>
    </row>
    <row r="175" spans="1:14" x14ac:dyDescent="0.25">
      <c r="A175" t="s">
        <v>568</v>
      </c>
      <c r="B175" s="1">
        <v>45980</v>
      </c>
      <c r="C175" t="s">
        <v>569</v>
      </c>
      <c r="D175" t="s">
        <v>570</v>
      </c>
      <c r="E175" s="14">
        <v>923430362473</v>
      </c>
      <c r="F175" t="s">
        <v>54</v>
      </c>
      <c r="G175" t="s">
        <v>18</v>
      </c>
      <c r="H175" t="s">
        <v>39</v>
      </c>
      <c r="I175">
        <v>3</v>
      </c>
      <c r="J175">
        <v>7483</v>
      </c>
      <c r="K175">
        <v>22449</v>
      </c>
      <c r="L175" t="s">
        <v>40</v>
      </c>
      <c r="M175" t="s">
        <v>45</v>
      </c>
      <c r="N175" t="s">
        <v>35</v>
      </c>
    </row>
    <row r="176" spans="1:14" x14ac:dyDescent="0.25">
      <c r="A176" t="s">
        <v>571</v>
      </c>
      <c r="B176" s="1">
        <v>46051</v>
      </c>
      <c r="C176" t="s">
        <v>572</v>
      </c>
      <c r="D176" t="s">
        <v>573</v>
      </c>
      <c r="E176" s="14">
        <v>923339074682</v>
      </c>
      <c r="F176" t="s">
        <v>44</v>
      </c>
      <c r="G176" t="s">
        <v>18</v>
      </c>
      <c r="H176" t="s">
        <v>73</v>
      </c>
      <c r="I176">
        <v>4</v>
      </c>
      <c r="J176">
        <v>14452</v>
      </c>
      <c r="K176">
        <v>57808</v>
      </c>
      <c r="L176" t="s">
        <v>68</v>
      </c>
      <c r="M176" t="s">
        <v>55</v>
      </c>
      <c r="N176" t="s">
        <v>69</v>
      </c>
    </row>
    <row r="177" spans="1:14" x14ac:dyDescent="0.25">
      <c r="A177" t="s">
        <v>574</v>
      </c>
      <c r="B177" s="1">
        <v>46048</v>
      </c>
      <c r="C177" t="s">
        <v>575</v>
      </c>
      <c r="D177" t="s">
        <v>576</v>
      </c>
      <c r="E177" s="14">
        <v>923159612457</v>
      </c>
      <c r="F177" t="s">
        <v>77</v>
      </c>
      <c r="G177" t="s">
        <v>18</v>
      </c>
      <c r="H177" t="s">
        <v>59</v>
      </c>
      <c r="I177">
        <v>4</v>
      </c>
      <c r="J177">
        <v>9568</v>
      </c>
      <c r="K177">
        <v>38272</v>
      </c>
      <c r="L177" t="s">
        <v>68</v>
      </c>
      <c r="M177" t="s">
        <v>55</v>
      </c>
      <c r="N177" t="s">
        <v>69</v>
      </c>
    </row>
    <row r="178" spans="1:14" x14ac:dyDescent="0.25">
      <c r="A178" t="s">
        <v>577</v>
      </c>
      <c r="B178" s="1">
        <v>45772</v>
      </c>
      <c r="C178" t="s">
        <v>578</v>
      </c>
      <c r="D178" t="s">
        <v>579</v>
      </c>
      <c r="E178" s="14">
        <v>923005823559</v>
      </c>
      <c r="F178" t="s">
        <v>32</v>
      </c>
      <c r="G178" t="s">
        <v>18</v>
      </c>
      <c r="H178" t="s">
        <v>33</v>
      </c>
      <c r="I178">
        <v>5</v>
      </c>
      <c r="J178">
        <v>3835</v>
      </c>
      <c r="K178">
        <v>19175</v>
      </c>
      <c r="L178" t="s">
        <v>26</v>
      </c>
      <c r="M178" t="s">
        <v>82</v>
      </c>
      <c r="N178" t="s">
        <v>22</v>
      </c>
    </row>
    <row r="179" spans="1:14" x14ac:dyDescent="0.25">
      <c r="A179" t="s">
        <v>580</v>
      </c>
      <c r="B179" s="1">
        <v>45915</v>
      </c>
      <c r="C179" t="s">
        <v>581</v>
      </c>
      <c r="D179" t="s">
        <v>582</v>
      </c>
      <c r="E179" s="14">
        <v>923426112295</v>
      </c>
      <c r="F179" t="s">
        <v>17</v>
      </c>
      <c r="G179" t="s">
        <v>18</v>
      </c>
      <c r="H179" t="s">
        <v>39</v>
      </c>
      <c r="I179">
        <v>5</v>
      </c>
      <c r="J179">
        <v>5386</v>
      </c>
      <c r="K179">
        <v>26930</v>
      </c>
      <c r="L179" t="s">
        <v>78</v>
      </c>
      <c r="M179" t="s">
        <v>27</v>
      </c>
      <c r="N179" t="s">
        <v>35</v>
      </c>
    </row>
    <row r="180" spans="1:14" x14ac:dyDescent="0.25">
      <c r="A180" t="s">
        <v>583</v>
      </c>
      <c r="B180" s="1">
        <v>45863</v>
      </c>
      <c r="C180" t="s">
        <v>584</v>
      </c>
      <c r="D180" t="s">
        <v>585</v>
      </c>
      <c r="E180" s="14">
        <v>923060546467</v>
      </c>
      <c r="F180" t="s">
        <v>49</v>
      </c>
      <c r="G180" t="s">
        <v>18</v>
      </c>
      <c r="H180" t="s">
        <v>59</v>
      </c>
      <c r="I180">
        <v>3</v>
      </c>
      <c r="J180">
        <v>6549</v>
      </c>
      <c r="K180">
        <v>19647</v>
      </c>
      <c r="L180" t="s">
        <v>40</v>
      </c>
      <c r="M180" t="s">
        <v>82</v>
      </c>
      <c r="N180" t="s">
        <v>22</v>
      </c>
    </row>
    <row r="181" spans="1:14" x14ac:dyDescent="0.25">
      <c r="A181" t="s">
        <v>586</v>
      </c>
      <c r="B181" s="1">
        <v>45900</v>
      </c>
      <c r="C181" t="s">
        <v>587</v>
      </c>
      <c r="D181" t="s">
        <v>588</v>
      </c>
      <c r="E181" s="14">
        <v>923311368382</v>
      </c>
      <c r="F181" t="s">
        <v>17</v>
      </c>
      <c r="G181" t="s">
        <v>18</v>
      </c>
      <c r="H181" t="s">
        <v>50</v>
      </c>
      <c r="I181">
        <v>2</v>
      </c>
      <c r="J181">
        <v>7122</v>
      </c>
      <c r="K181">
        <v>14244</v>
      </c>
      <c r="L181" t="s">
        <v>26</v>
      </c>
      <c r="M181" t="s">
        <v>55</v>
      </c>
      <c r="N181" t="s">
        <v>28</v>
      </c>
    </row>
    <row r="182" spans="1:14" x14ac:dyDescent="0.25">
      <c r="A182" t="s">
        <v>589</v>
      </c>
      <c r="B182" s="1">
        <v>45981</v>
      </c>
      <c r="C182" t="s">
        <v>590</v>
      </c>
      <c r="D182" t="s">
        <v>591</v>
      </c>
      <c r="E182" s="14">
        <v>923443973686</v>
      </c>
      <c r="F182" t="s">
        <v>54</v>
      </c>
      <c r="G182" t="s">
        <v>18</v>
      </c>
      <c r="H182" t="s">
        <v>59</v>
      </c>
      <c r="I182">
        <v>4</v>
      </c>
      <c r="J182">
        <v>4387</v>
      </c>
      <c r="K182">
        <v>17548</v>
      </c>
      <c r="L182" t="s">
        <v>78</v>
      </c>
      <c r="M182" t="s">
        <v>93</v>
      </c>
      <c r="N182" t="s">
        <v>69</v>
      </c>
    </row>
    <row r="183" spans="1:14" x14ac:dyDescent="0.25">
      <c r="A183" t="s">
        <v>592</v>
      </c>
      <c r="B183" s="1">
        <v>46050</v>
      </c>
      <c r="C183" t="s">
        <v>593</v>
      </c>
      <c r="D183" t="s">
        <v>594</v>
      </c>
      <c r="E183" s="14">
        <v>923232744300</v>
      </c>
      <c r="F183" t="s">
        <v>122</v>
      </c>
      <c r="G183" t="s">
        <v>18</v>
      </c>
      <c r="H183" t="s">
        <v>39</v>
      </c>
      <c r="I183">
        <v>1</v>
      </c>
      <c r="J183">
        <v>11737</v>
      </c>
      <c r="K183">
        <v>11737</v>
      </c>
      <c r="L183" t="s">
        <v>20</v>
      </c>
      <c r="M183" t="s">
        <v>34</v>
      </c>
      <c r="N183" t="s">
        <v>35</v>
      </c>
    </row>
    <row r="184" spans="1:14" x14ac:dyDescent="0.25">
      <c r="A184" t="s">
        <v>595</v>
      </c>
      <c r="B184" s="1">
        <v>46042</v>
      </c>
      <c r="C184" t="s">
        <v>596</v>
      </c>
      <c r="D184" t="s">
        <v>597</v>
      </c>
      <c r="E184" s="14">
        <v>923140514567</v>
      </c>
      <c r="F184" t="s">
        <v>67</v>
      </c>
      <c r="G184" t="s">
        <v>18</v>
      </c>
      <c r="H184" t="s">
        <v>33</v>
      </c>
      <c r="I184">
        <v>3</v>
      </c>
      <c r="J184">
        <v>3978</v>
      </c>
      <c r="K184">
        <v>11934</v>
      </c>
      <c r="L184" t="s">
        <v>26</v>
      </c>
      <c r="M184" t="s">
        <v>93</v>
      </c>
      <c r="N184" t="s">
        <v>22</v>
      </c>
    </row>
    <row r="185" spans="1:14" x14ac:dyDescent="0.25">
      <c r="A185" t="s">
        <v>598</v>
      </c>
      <c r="B185" s="1">
        <v>45806</v>
      </c>
      <c r="C185" t="s">
        <v>599</v>
      </c>
      <c r="D185" t="s">
        <v>600</v>
      </c>
      <c r="E185" s="14">
        <v>923092872696</v>
      </c>
      <c r="F185" t="s">
        <v>54</v>
      </c>
      <c r="G185" t="s">
        <v>18</v>
      </c>
      <c r="H185" t="s">
        <v>19</v>
      </c>
      <c r="I185">
        <v>3</v>
      </c>
      <c r="J185">
        <v>4656</v>
      </c>
      <c r="K185">
        <v>13968</v>
      </c>
      <c r="L185" t="s">
        <v>40</v>
      </c>
      <c r="M185" t="s">
        <v>45</v>
      </c>
      <c r="N185" t="s">
        <v>22</v>
      </c>
    </row>
    <row r="186" spans="1:14" x14ac:dyDescent="0.25">
      <c r="A186" t="s">
        <v>601</v>
      </c>
      <c r="B186" s="1">
        <v>45869</v>
      </c>
      <c r="C186" t="s">
        <v>602</v>
      </c>
      <c r="D186" t="s">
        <v>603</v>
      </c>
      <c r="E186" s="14">
        <v>923420153524</v>
      </c>
      <c r="F186" t="s">
        <v>54</v>
      </c>
      <c r="G186" t="s">
        <v>18</v>
      </c>
      <c r="H186" t="s">
        <v>59</v>
      </c>
      <c r="I186">
        <v>4</v>
      </c>
      <c r="J186">
        <v>5703</v>
      </c>
      <c r="K186">
        <v>22812</v>
      </c>
      <c r="L186" t="s">
        <v>78</v>
      </c>
      <c r="M186" t="s">
        <v>27</v>
      </c>
      <c r="N186" t="s">
        <v>69</v>
      </c>
    </row>
    <row r="187" spans="1:14" x14ac:dyDescent="0.25">
      <c r="A187" t="s">
        <v>604</v>
      </c>
      <c r="B187" s="1">
        <v>45914</v>
      </c>
      <c r="C187" t="s">
        <v>605</v>
      </c>
      <c r="D187" t="s">
        <v>606</v>
      </c>
      <c r="E187" s="14">
        <v>923163176293</v>
      </c>
      <c r="F187" t="s">
        <v>67</v>
      </c>
      <c r="G187" t="s">
        <v>18</v>
      </c>
      <c r="H187" t="s">
        <v>59</v>
      </c>
      <c r="I187">
        <v>5</v>
      </c>
      <c r="J187">
        <v>2006</v>
      </c>
      <c r="K187">
        <v>10030</v>
      </c>
      <c r="L187" t="s">
        <v>26</v>
      </c>
      <c r="M187" t="s">
        <v>45</v>
      </c>
      <c r="N187" t="s">
        <v>35</v>
      </c>
    </row>
    <row r="188" spans="1:14" x14ac:dyDescent="0.25">
      <c r="A188" t="s">
        <v>607</v>
      </c>
      <c r="B188" s="1">
        <v>45897</v>
      </c>
      <c r="C188" t="s">
        <v>608</v>
      </c>
      <c r="D188" t="s">
        <v>609</v>
      </c>
      <c r="E188" s="14">
        <v>923167760181</v>
      </c>
      <c r="F188" t="s">
        <v>67</v>
      </c>
      <c r="G188" t="s">
        <v>18</v>
      </c>
      <c r="H188" t="s">
        <v>73</v>
      </c>
      <c r="I188">
        <v>2</v>
      </c>
      <c r="J188">
        <v>12459</v>
      </c>
      <c r="K188">
        <v>24918</v>
      </c>
      <c r="L188" t="s">
        <v>68</v>
      </c>
      <c r="M188" t="s">
        <v>45</v>
      </c>
      <c r="N188" t="s">
        <v>22</v>
      </c>
    </row>
    <row r="189" spans="1:14" x14ac:dyDescent="0.25">
      <c r="A189" t="s">
        <v>610</v>
      </c>
      <c r="B189" s="1">
        <v>45841</v>
      </c>
      <c r="C189" t="s">
        <v>611</v>
      </c>
      <c r="D189" t="s">
        <v>612</v>
      </c>
      <c r="E189" s="14">
        <v>923496828183</v>
      </c>
      <c r="F189" t="s">
        <v>54</v>
      </c>
      <c r="G189" t="s">
        <v>18</v>
      </c>
      <c r="H189" t="s">
        <v>59</v>
      </c>
      <c r="I189">
        <v>3</v>
      </c>
      <c r="J189">
        <v>10400</v>
      </c>
      <c r="K189">
        <v>31200</v>
      </c>
      <c r="L189" t="s">
        <v>63</v>
      </c>
      <c r="M189" t="s">
        <v>55</v>
      </c>
      <c r="N189" t="s">
        <v>69</v>
      </c>
    </row>
    <row r="190" spans="1:14" x14ac:dyDescent="0.25">
      <c r="A190" t="s">
        <v>613</v>
      </c>
      <c r="B190" s="1">
        <v>45823</v>
      </c>
      <c r="C190" t="s">
        <v>614</v>
      </c>
      <c r="D190" t="s">
        <v>615</v>
      </c>
      <c r="E190" s="14">
        <v>923104352335</v>
      </c>
      <c r="F190" t="s">
        <v>122</v>
      </c>
      <c r="G190" t="s">
        <v>18</v>
      </c>
      <c r="H190" t="s">
        <v>73</v>
      </c>
      <c r="I190">
        <v>4</v>
      </c>
      <c r="J190">
        <v>8460</v>
      </c>
      <c r="K190">
        <v>33840</v>
      </c>
      <c r="L190" t="s">
        <v>78</v>
      </c>
      <c r="M190" t="s">
        <v>45</v>
      </c>
      <c r="N190" t="s">
        <v>22</v>
      </c>
    </row>
    <row r="191" spans="1:14" x14ac:dyDescent="0.25">
      <c r="A191" t="s">
        <v>616</v>
      </c>
      <c r="B191" s="1">
        <v>45962</v>
      </c>
      <c r="C191" t="s">
        <v>617</v>
      </c>
      <c r="D191" t="s">
        <v>618</v>
      </c>
      <c r="E191" s="14">
        <v>923120409937</v>
      </c>
      <c r="F191" t="s">
        <v>67</v>
      </c>
      <c r="G191" t="s">
        <v>18</v>
      </c>
      <c r="H191" t="s">
        <v>50</v>
      </c>
      <c r="I191">
        <v>5</v>
      </c>
      <c r="J191">
        <v>5144</v>
      </c>
      <c r="K191">
        <v>25720</v>
      </c>
      <c r="L191" t="s">
        <v>63</v>
      </c>
      <c r="M191" t="s">
        <v>82</v>
      </c>
      <c r="N191" t="s">
        <v>35</v>
      </c>
    </row>
    <row r="192" spans="1:14" x14ac:dyDescent="0.25">
      <c r="A192" t="s">
        <v>619</v>
      </c>
      <c r="B192" s="1">
        <v>45873</v>
      </c>
      <c r="C192" t="s">
        <v>620</v>
      </c>
      <c r="D192" t="s">
        <v>621</v>
      </c>
      <c r="E192" s="14">
        <v>923052887310</v>
      </c>
      <c r="F192" t="s">
        <v>17</v>
      </c>
      <c r="G192" t="s">
        <v>18</v>
      </c>
      <c r="H192" t="s">
        <v>73</v>
      </c>
      <c r="I192">
        <v>3</v>
      </c>
      <c r="J192">
        <v>6567</v>
      </c>
      <c r="K192">
        <v>19701</v>
      </c>
      <c r="L192" t="s">
        <v>20</v>
      </c>
      <c r="M192" t="s">
        <v>135</v>
      </c>
      <c r="N192" t="s">
        <v>28</v>
      </c>
    </row>
    <row r="193" spans="1:14" x14ac:dyDescent="0.25">
      <c r="A193" t="s">
        <v>622</v>
      </c>
      <c r="B193" s="1">
        <v>45947</v>
      </c>
      <c r="C193" t="s">
        <v>623</v>
      </c>
      <c r="D193" t="s">
        <v>483</v>
      </c>
      <c r="E193" s="14">
        <v>923114002826</v>
      </c>
      <c r="F193" t="s">
        <v>44</v>
      </c>
      <c r="G193" t="s">
        <v>18</v>
      </c>
      <c r="H193" t="s">
        <v>73</v>
      </c>
      <c r="I193">
        <v>1</v>
      </c>
      <c r="J193">
        <v>2277</v>
      </c>
      <c r="K193">
        <v>2277</v>
      </c>
      <c r="L193" t="s">
        <v>68</v>
      </c>
      <c r="M193" t="s">
        <v>55</v>
      </c>
      <c r="N193" t="s">
        <v>69</v>
      </c>
    </row>
    <row r="194" spans="1:14" x14ac:dyDescent="0.25">
      <c r="A194" t="s">
        <v>624</v>
      </c>
      <c r="B194" s="1">
        <v>45809</v>
      </c>
      <c r="C194" t="s">
        <v>625</v>
      </c>
      <c r="D194" t="s">
        <v>626</v>
      </c>
      <c r="E194" s="14">
        <v>923303141914</v>
      </c>
      <c r="F194" t="s">
        <v>106</v>
      </c>
      <c r="G194" t="s">
        <v>18</v>
      </c>
      <c r="H194" t="s">
        <v>59</v>
      </c>
      <c r="I194">
        <v>1</v>
      </c>
      <c r="J194">
        <v>4018</v>
      </c>
      <c r="K194">
        <v>4018</v>
      </c>
      <c r="L194" t="s">
        <v>26</v>
      </c>
      <c r="M194" t="s">
        <v>55</v>
      </c>
      <c r="N194" t="s">
        <v>69</v>
      </c>
    </row>
    <row r="195" spans="1:14" x14ac:dyDescent="0.25">
      <c r="A195" t="s">
        <v>627</v>
      </c>
      <c r="B195" s="1">
        <v>45810</v>
      </c>
      <c r="C195" t="s">
        <v>628</v>
      </c>
      <c r="D195" t="s">
        <v>629</v>
      </c>
      <c r="E195" s="14">
        <v>923030520235</v>
      </c>
      <c r="F195" t="s">
        <v>67</v>
      </c>
      <c r="G195" t="s">
        <v>18</v>
      </c>
      <c r="H195" t="s">
        <v>19</v>
      </c>
      <c r="I195">
        <v>4</v>
      </c>
      <c r="J195">
        <v>12617</v>
      </c>
      <c r="K195">
        <v>50468</v>
      </c>
      <c r="L195" t="s">
        <v>78</v>
      </c>
      <c r="M195" t="s">
        <v>55</v>
      </c>
      <c r="N195" t="s">
        <v>28</v>
      </c>
    </row>
    <row r="196" spans="1:14" x14ac:dyDescent="0.25">
      <c r="A196" t="s">
        <v>630</v>
      </c>
      <c r="B196" s="1">
        <v>45991</v>
      </c>
      <c r="C196" t="s">
        <v>631</v>
      </c>
      <c r="D196" t="s">
        <v>632</v>
      </c>
      <c r="E196" s="14">
        <v>923026660564</v>
      </c>
      <c r="F196" t="s">
        <v>77</v>
      </c>
      <c r="G196" t="s">
        <v>18</v>
      </c>
      <c r="H196" t="s">
        <v>39</v>
      </c>
      <c r="I196">
        <v>4</v>
      </c>
      <c r="J196">
        <v>2037</v>
      </c>
      <c r="K196">
        <v>8148</v>
      </c>
      <c r="L196" t="s">
        <v>63</v>
      </c>
      <c r="M196" t="s">
        <v>45</v>
      </c>
      <c r="N196" t="s">
        <v>22</v>
      </c>
    </row>
    <row r="197" spans="1:14" x14ac:dyDescent="0.25">
      <c r="A197" t="s">
        <v>633</v>
      </c>
      <c r="B197" s="1">
        <v>45941</v>
      </c>
      <c r="C197" t="s">
        <v>634</v>
      </c>
      <c r="D197" t="s">
        <v>635</v>
      </c>
      <c r="E197" s="14">
        <v>923136663246</v>
      </c>
      <c r="F197" t="s">
        <v>44</v>
      </c>
      <c r="G197" t="s">
        <v>18</v>
      </c>
      <c r="H197" t="s">
        <v>73</v>
      </c>
      <c r="I197">
        <v>3</v>
      </c>
      <c r="J197">
        <v>8071</v>
      </c>
      <c r="K197">
        <v>24213</v>
      </c>
      <c r="L197" t="s">
        <v>68</v>
      </c>
      <c r="M197" t="s">
        <v>135</v>
      </c>
      <c r="N197" t="s">
        <v>69</v>
      </c>
    </row>
    <row r="198" spans="1:14" x14ac:dyDescent="0.25">
      <c r="A198" t="s">
        <v>636</v>
      </c>
      <c r="B198" s="1">
        <v>46004</v>
      </c>
      <c r="C198" t="s">
        <v>637</v>
      </c>
      <c r="D198" t="s">
        <v>638</v>
      </c>
      <c r="E198" s="14">
        <v>923367735177</v>
      </c>
      <c r="F198" t="s">
        <v>44</v>
      </c>
      <c r="G198" t="s">
        <v>18</v>
      </c>
      <c r="H198" t="s">
        <v>50</v>
      </c>
      <c r="I198">
        <v>2</v>
      </c>
      <c r="J198">
        <v>10894</v>
      </c>
      <c r="K198">
        <v>21788</v>
      </c>
      <c r="L198" t="s">
        <v>40</v>
      </c>
      <c r="M198" t="s">
        <v>45</v>
      </c>
      <c r="N198" t="s">
        <v>22</v>
      </c>
    </row>
    <row r="199" spans="1:14" x14ac:dyDescent="0.25">
      <c r="A199" t="s">
        <v>639</v>
      </c>
      <c r="B199" s="1">
        <v>45877</v>
      </c>
      <c r="C199" t="s">
        <v>640</v>
      </c>
      <c r="D199" t="s">
        <v>641</v>
      </c>
      <c r="E199" s="14">
        <v>923433192184</v>
      </c>
      <c r="F199" t="s">
        <v>49</v>
      </c>
      <c r="G199" t="s">
        <v>18</v>
      </c>
      <c r="H199" t="s">
        <v>33</v>
      </c>
      <c r="I199">
        <v>1</v>
      </c>
      <c r="J199">
        <v>4996</v>
      </c>
      <c r="K199">
        <v>4996</v>
      </c>
      <c r="L199" t="s">
        <v>63</v>
      </c>
      <c r="M199" t="s">
        <v>135</v>
      </c>
      <c r="N199" t="s">
        <v>28</v>
      </c>
    </row>
    <row r="200" spans="1:14" x14ac:dyDescent="0.25">
      <c r="A200" t="s">
        <v>642</v>
      </c>
      <c r="B200" s="1">
        <v>46063</v>
      </c>
      <c r="C200" t="s">
        <v>643</v>
      </c>
      <c r="D200" t="s">
        <v>644</v>
      </c>
      <c r="E200" s="14">
        <v>923405235189</v>
      </c>
      <c r="F200" t="s">
        <v>77</v>
      </c>
      <c r="G200" t="s">
        <v>18</v>
      </c>
      <c r="H200" t="s">
        <v>33</v>
      </c>
      <c r="I200">
        <v>1</v>
      </c>
      <c r="J200">
        <v>9363</v>
      </c>
      <c r="K200">
        <v>9363</v>
      </c>
      <c r="L200" t="s">
        <v>63</v>
      </c>
      <c r="M200" t="s">
        <v>45</v>
      </c>
      <c r="N200" t="s">
        <v>22</v>
      </c>
    </row>
    <row r="201" spans="1:14" x14ac:dyDescent="0.25">
      <c r="A201" t="s">
        <v>645</v>
      </c>
      <c r="B201" s="1">
        <v>45988</v>
      </c>
      <c r="C201" t="s">
        <v>646</v>
      </c>
      <c r="D201" t="s">
        <v>647</v>
      </c>
      <c r="E201" s="14">
        <v>923380414276</v>
      </c>
      <c r="F201" t="s">
        <v>92</v>
      </c>
      <c r="G201" t="s">
        <v>18</v>
      </c>
      <c r="H201" t="s">
        <v>33</v>
      </c>
      <c r="I201">
        <v>3</v>
      </c>
      <c r="J201">
        <v>3244</v>
      </c>
      <c r="K201">
        <v>9732</v>
      </c>
      <c r="L201" t="s">
        <v>20</v>
      </c>
      <c r="M201" t="s">
        <v>45</v>
      </c>
      <c r="N201" t="s">
        <v>22</v>
      </c>
    </row>
    <row r="202" spans="1:14" x14ac:dyDescent="0.25">
      <c r="A202" t="s">
        <v>648</v>
      </c>
      <c r="B202" s="1">
        <v>45956</v>
      </c>
      <c r="C202" t="s">
        <v>649</v>
      </c>
      <c r="D202" t="s">
        <v>650</v>
      </c>
      <c r="E202" s="14">
        <v>923472599670</v>
      </c>
      <c r="F202" t="s">
        <v>54</v>
      </c>
      <c r="G202" t="s">
        <v>18</v>
      </c>
      <c r="H202" t="s">
        <v>19</v>
      </c>
      <c r="I202">
        <v>1</v>
      </c>
      <c r="J202">
        <v>7632</v>
      </c>
      <c r="K202">
        <v>7632</v>
      </c>
      <c r="L202" t="s">
        <v>63</v>
      </c>
      <c r="M202" t="s">
        <v>27</v>
      </c>
      <c r="N202" t="s">
        <v>22</v>
      </c>
    </row>
    <row r="203" spans="1:14" x14ac:dyDescent="0.25">
      <c r="A203" t="s">
        <v>651</v>
      </c>
      <c r="B203" s="1">
        <v>45958</v>
      </c>
      <c r="C203" t="s">
        <v>652</v>
      </c>
      <c r="D203" t="s">
        <v>653</v>
      </c>
      <c r="E203" s="14">
        <v>923223041947</v>
      </c>
      <c r="F203" t="s">
        <v>17</v>
      </c>
      <c r="G203" t="s">
        <v>18</v>
      </c>
      <c r="H203" t="s">
        <v>50</v>
      </c>
      <c r="I203">
        <v>3</v>
      </c>
      <c r="J203">
        <v>1300</v>
      </c>
      <c r="K203">
        <v>3900</v>
      </c>
      <c r="L203" t="s">
        <v>68</v>
      </c>
      <c r="M203" t="s">
        <v>135</v>
      </c>
      <c r="N203" t="s">
        <v>69</v>
      </c>
    </row>
    <row r="204" spans="1:14" x14ac:dyDescent="0.25">
      <c r="A204" t="s">
        <v>654</v>
      </c>
      <c r="B204" s="1">
        <v>45784</v>
      </c>
      <c r="C204" t="s">
        <v>655</v>
      </c>
      <c r="D204" t="s">
        <v>656</v>
      </c>
      <c r="E204" s="14">
        <v>923061674272</v>
      </c>
      <c r="F204" t="s">
        <v>17</v>
      </c>
      <c r="G204" t="s">
        <v>18</v>
      </c>
      <c r="H204" t="s">
        <v>33</v>
      </c>
      <c r="I204">
        <v>4</v>
      </c>
      <c r="J204">
        <v>3812</v>
      </c>
      <c r="K204">
        <v>15248</v>
      </c>
      <c r="L204" t="s">
        <v>40</v>
      </c>
      <c r="M204" t="s">
        <v>45</v>
      </c>
      <c r="N204" t="s">
        <v>69</v>
      </c>
    </row>
    <row r="205" spans="1:14" x14ac:dyDescent="0.25">
      <c r="A205" t="s">
        <v>657</v>
      </c>
      <c r="B205" s="1">
        <v>45792</v>
      </c>
      <c r="C205" t="s">
        <v>658</v>
      </c>
      <c r="D205" t="s">
        <v>659</v>
      </c>
      <c r="E205" s="14">
        <v>923368843772</v>
      </c>
      <c r="F205" t="s">
        <v>32</v>
      </c>
      <c r="G205" t="s">
        <v>18</v>
      </c>
      <c r="H205" t="s">
        <v>39</v>
      </c>
      <c r="I205">
        <v>1</v>
      </c>
      <c r="J205">
        <v>5664</v>
      </c>
      <c r="K205">
        <v>5664</v>
      </c>
      <c r="L205" t="s">
        <v>78</v>
      </c>
      <c r="M205" t="s">
        <v>45</v>
      </c>
      <c r="N205" t="s">
        <v>22</v>
      </c>
    </row>
    <row r="206" spans="1:14" x14ac:dyDescent="0.25">
      <c r="A206" t="s">
        <v>660</v>
      </c>
      <c r="B206" s="1">
        <v>45930</v>
      </c>
      <c r="C206" t="s">
        <v>661</v>
      </c>
      <c r="D206" t="s">
        <v>662</v>
      </c>
      <c r="E206" s="14">
        <v>923054185213</v>
      </c>
      <c r="F206" t="s">
        <v>67</v>
      </c>
      <c r="G206" t="s">
        <v>18</v>
      </c>
      <c r="H206" t="s">
        <v>73</v>
      </c>
      <c r="I206">
        <v>2</v>
      </c>
      <c r="J206">
        <v>9998</v>
      </c>
      <c r="K206">
        <v>19996</v>
      </c>
      <c r="L206" t="s">
        <v>20</v>
      </c>
      <c r="M206" t="s">
        <v>93</v>
      </c>
      <c r="N206" t="s">
        <v>28</v>
      </c>
    </row>
    <row r="207" spans="1:14" x14ac:dyDescent="0.25">
      <c r="A207" t="s">
        <v>663</v>
      </c>
      <c r="B207" s="1">
        <v>45975</v>
      </c>
      <c r="C207" t="s">
        <v>664</v>
      </c>
      <c r="D207" t="s">
        <v>665</v>
      </c>
      <c r="E207" s="14">
        <v>923297094040</v>
      </c>
      <c r="F207" t="s">
        <v>49</v>
      </c>
      <c r="G207" t="s">
        <v>18</v>
      </c>
      <c r="H207" t="s">
        <v>33</v>
      </c>
      <c r="I207">
        <v>4</v>
      </c>
      <c r="J207">
        <v>7611</v>
      </c>
      <c r="K207">
        <v>30444</v>
      </c>
      <c r="L207" t="s">
        <v>40</v>
      </c>
      <c r="M207" t="s">
        <v>21</v>
      </c>
      <c r="N207" t="s">
        <v>22</v>
      </c>
    </row>
    <row r="208" spans="1:14" x14ac:dyDescent="0.25">
      <c r="A208" t="s">
        <v>666</v>
      </c>
      <c r="B208" s="1">
        <v>45801</v>
      </c>
      <c r="C208" t="s">
        <v>667</v>
      </c>
      <c r="D208" t="s">
        <v>668</v>
      </c>
      <c r="E208" s="14">
        <v>923329258406</v>
      </c>
      <c r="F208" t="s">
        <v>67</v>
      </c>
      <c r="G208" t="s">
        <v>18</v>
      </c>
      <c r="H208" t="s">
        <v>39</v>
      </c>
      <c r="I208">
        <v>5</v>
      </c>
      <c r="J208">
        <v>2020</v>
      </c>
      <c r="K208">
        <v>10100</v>
      </c>
      <c r="L208" t="s">
        <v>20</v>
      </c>
      <c r="M208" t="s">
        <v>82</v>
      </c>
      <c r="N208" t="s">
        <v>28</v>
      </c>
    </row>
    <row r="209" spans="1:14" x14ac:dyDescent="0.25">
      <c r="A209" t="s">
        <v>669</v>
      </c>
      <c r="B209" s="1">
        <v>45965</v>
      </c>
      <c r="C209" t="s">
        <v>670</v>
      </c>
      <c r="D209" t="s">
        <v>671</v>
      </c>
      <c r="E209" s="14">
        <v>923223997830</v>
      </c>
      <c r="F209" t="s">
        <v>77</v>
      </c>
      <c r="G209" t="s">
        <v>18</v>
      </c>
      <c r="H209" t="s">
        <v>73</v>
      </c>
      <c r="I209">
        <v>1</v>
      </c>
      <c r="J209">
        <v>11751</v>
      </c>
      <c r="K209">
        <v>11751</v>
      </c>
      <c r="L209" t="s">
        <v>26</v>
      </c>
      <c r="M209" t="s">
        <v>21</v>
      </c>
      <c r="N209" t="s">
        <v>35</v>
      </c>
    </row>
    <row r="210" spans="1:14" x14ac:dyDescent="0.25">
      <c r="A210" t="s">
        <v>672</v>
      </c>
      <c r="B210" s="1">
        <v>45940</v>
      </c>
      <c r="C210" t="s">
        <v>673</v>
      </c>
      <c r="D210" t="s">
        <v>674</v>
      </c>
      <c r="E210" s="14">
        <v>923431423783</v>
      </c>
      <c r="F210" t="s">
        <v>32</v>
      </c>
      <c r="G210" t="s">
        <v>18</v>
      </c>
      <c r="H210" t="s">
        <v>19</v>
      </c>
      <c r="I210">
        <v>3</v>
      </c>
      <c r="J210">
        <v>1599</v>
      </c>
      <c r="K210">
        <v>4797</v>
      </c>
      <c r="L210" t="s">
        <v>40</v>
      </c>
      <c r="M210" t="s">
        <v>55</v>
      </c>
      <c r="N210" t="s">
        <v>28</v>
      </c>
    </row>
    <row r="211" spans="1:14" x14ac:dyDescent="0.25">
      <c r="A211" t="s">
        <v>675</v>
      </c>
      <c r="B211" s="1">
        <v>45817</v>
      </c>
      <c r="C211" t="s">
        <v>676</v>
      </c>
      <c r="D211" t="s">
        <v>677</v>
      </c>
      <c r="E211" s="14">
        <v>923425500845</v>
      </c>
      <c r="F211" t="s">
        <v>32</v>
      </c>
      <c r="G211" t="s">
        <v>18</v>
      </c>
      <c r="H211" t="s">
        <v>19</v>
      </c>
      <c r="I211">
        <v>1</v>
      </c>
      <c r="J211">
        <v>5252</v>
      </c>
      <c r="K211">
        <v>5252</v>
      </c>
      <c r="L211" t="s">
        <v>20</v>
      </c>
      <c r="M211" t="s">
        <v>93</v>
      </c>
      <c r="N211" t="s">
        <v>28</v>
      </c>
    </row>
    <row r="212" spans="1:14" x14ac:dyDescent="0.25">
      <c r="A212" t="s">
        <v>678</v>
      </c>
      <c r="B212" s="1">
        <v>45812</v>
      </c>
      <c r="C212" t="s">
        <v>679</v>
      </c>
      <c r="D212" t="s">
        <v>680</v>
      </c>
      <c r="E212" s="14">
        <v>923487398906</v>
      </c>
      <c r="F212" t="s">
        <v>17</v>
      </c>
      <c r="G212" t="s">
        <v>18</v>
      </c>
      <c r="H212" t="s">
        <v>59</v>
      </c>
      <c r="I212">
        <v>3</v>
      </c>
      <c r="J212">
        <v>3912</v>
      </c>
      <c r="K212">
        <v>11736</v>
      </c>
      <c r="L212" t="s">
        <v>20</v>
      </c>
      <c r="M212" t="s">
        <v>135</v>
      </c>
      <c r="N212" t="s">
        <v>22</v>
      </c>
    </row>
    <row r="213" spans="1:14" x14ac:dyDescent="0.25">
      <c r="A213" t="s">
        <v>681</v>
      </c>
      <c r="B213" s="1">
        <v>45751</v>
      </c>
      <c r="C213" t="s">
        <v>682</v>
      </c>
      <c r="D213" t="s">
        <v>683</v>
      </c>
      <c r="E213" s="14">
        <v>923400549037</v>
      </c>
      <c r="F213" t="s">
        <v>67</v>
      </c>
      <c r="G213" t="s">
        <v>18</v>
      </c>
      <c r="H213" t="s">
        <v>39</v>
      </c>
      <c r="I213">
        <v>2</v>
      </c>
      <c r="J213">
        <v>10987</v>
      </c>
      <c r="K213">
        <v>21974</v>
      </c>
      <c r="L213" t="s">
        <v>78</v>
      </c>
      <c r="M213" t="s">
        <v>82</v>
      </c>
      <c r="N213" t="s">
        <v>22</v>
      </c>
    </row>
    <row r="214" spans="1:14" x14ac:dyDescent="0.25">
      <c r="A214" t="s">
        <v>684</v>
      </c>
      <c r="B214" s="1">
        <v>45853</v>
      </c>
      <c r="C214" t="s">
        <v>685</v>
      </c>
      <c r="D214" t="s">
        <v>686</v>
      </c>
      <c r="E214" s="14">
        <v>923454076993</v>
      </c>
      <c r="F214" t="s">
        <v>122</v>
      </c>
      <c r="G214" t="s">
        <v>18</v>
      </c>
      <c r="H214" t="s">
        <v>50</v>
      </c>
      <c r="I214">
        <v>3</v>
      </c>
      <c r="J214">
        <v>5738</v>
      </c>
      <c r="K214">
        <v>17214</v>
      </c>
      <c r="L214" t="s">
        <v>40</v>
      </c>
      <c r="M214" t="s">
        <v>34</v>
      </c>
      <c r="N214" t="s">
        <v>69</v>
      </c>
    </row>
    <row r="215" spans="1:14" x14ac:dyDescent="0.25">
      <c r="A215" t="s">
        <v>687</v>
      </c>
      <c r="B215" s="1">
        <v>45928</v>
      </c>
      <c r="C215" t="s">
        <v>688</v>
      </c>
      <c r="D215" t="s">
        <v>689</v>
      </c>
      <c r="E215" s="14">
        <v>923172257286</v>
      </c>
      <c r="F215" t="s">
        <v>44</v>
      </c>
      <c r="G215" t="s">
        <v>18</v>
      </c>
      <c r="H215" t="s">
        <v>33</v>
      </c>
      <c r="I215">
        <v>4</v>
      </c>
      <c r="J215">
        <v>11625</v>
      </c>
      <c r="K215">
        <v>46500</v>
      </c>
      <c r="L215" t="s">
        <v>68</v>
      </c>
      <c r="M215" t="s">
        <v>55</v>
      </c>
      <c r="N215" t="s">
        <v>22</v>
      </c>
    </row>
    <row r="216" spans="1:14" x14ac:dyDescent="0.25">
      <c r="A216" t="s">
        <v>690</v>
      </c>
      <c r="B216" s="1">
        <v>46062</v>
      </c>
      <c r="C216" t="s">
        <v>691</v>
      </c>
      <c r="D216" t="s">
        <v>692</v>
      </c>
      <c r="E216" s="14">
        <v>923211227190</v>
      </c>
      <c r="F216" t="s">
        <v>106</v>
      </c>
      <c r="G216" t="s">
        <v>18</v>
      </c>
      <c r="H216" t="s">
        <v>50</v>
      </c>
      <c r="I216">
        <v>1</v>
      </c>
      <c r="J216">
        <v>1117</v>
      </c>
      <c r="K216">
        <v>1117</v>
      </c>
      <c r="L216" t="s">
        <v>68</v>
      </c>
      <c r="M216" t="s">
        <v>34</v>
      </c>
      <c r="N216" t="s">
        <v>69</v>
      </c>
    </row>
    <row r="217" spans="1:14" x14ac:dyDescent="0.25">
      <c r="A217" t="s">
        <v>693</v>
      </c>
      <c r="B217" s="1">
        <v>45879</v>
      </c>
      <c r="C217" t="s">
        <v>694</v>
      </c>
      <c r="D217" t="s">
        <v>695</v>
      </c>
      <c r="E217" s="14">
        <v>923363381094</v>
      </c>
      <c r="F217" t="s">
        <v>67</v>
      </c>
      <c r="G217" t="s">
        <v>18</v>
      </c>
      <c r="H217" t="s">
        <v>73</v>
      </c>
      <c r="I217">
        <v>2</v>
      </c>
      <c r="J217">
        <v>6164</v>
      </c>
      <c r="K217">
        <v>12328</v>
      </c>
      <c r="L217" t="s">
        <v>68</v>
      </c>
      <c r="M217" t="s">
        <v>45</v>
      </c>
      <c r="N217" t="s">
        <v>35</v>
      </c>
    </row>
    <row r="218" spans="1:14" x14ac:dyDescent="0.25">
      <c r="A218" t="s">
        <v>696</v>
      </c>
      <c r="B218" s="1">
        <v>46039</v>
      </c>
      <c r="C218" t="s">
        <v>697</v>
      </c>
      <c r="D218" t="s">
        <v>698</v>
      </c>
      <c r="E218" s="14">
        <v>923367359785</v>
      </c>
      <c r="F218" t="s">
        <v>49</v>
      </c>
      <c r="G218" t="s">
        <v>18</v>
      </c>
      <c r="H218" t="s">
        <v>19</v>
      </c>
      <c r="I218">
        <v>3</v>
      </c>
      <c r="J218">
        <v>4097</v>
      </c>
      <c r="K218">
        <v>12291</v>
      </c>
      <c r="L218" t="s">
        <v>40</v>
      </c>
      <c r="M218" t="s">
        <v>55</v>
      </c>
      <c r="N218" t="s">
        <v>69</v>
      </c>
    </row>
    <row r="219" spans="1:14" x14ac:dyDescent="0.25">
      <c r="A219" t="s">
        <v>699</v>
      </c>
      <c r="B219" s="1">
        <v>45786</v>
      </c>
      <c r="C219" t="s">
        <v>700</v>
      </c>
      <c r="D219" t="s">
        <v>701</v>
      </c>
      <c r="E219" s="14">
        <v>923317034569</v>
      </c>
      <c r="F219" t="s">
        <v>122</v>
      </c>
      <c r="G219" t="s">
        <v>18</v>
      </c>
      <c r="H219" t="s">
        <v>59</v>
      </c>
      <c r="I219">
        <v>5</v>
      </c>
      <c r="J219">
        <v>10328</v>
      </c>
      <c r="K219">
        <v>51640</v>
      </c>
      <c r="L219" t="s">
        <v>26</v>
      </c>
      <c r="M219" t="s">
        <v>27</v>
      </c>
      <c r="N219" t="s">
        <v>22</v>
      </c>
    </row>
    <row r="220" spans="1:14" x14ac:dyDescent="0.25">
      <c r="A220" t="s">
        <v>702</v>
      </c>
      <c r="B220" s="1">
        <v>45713</v>
      </c>
      <c r="C220" t="s">
        <v>703</v>
      </c>
      <c r="D220" t="s">
        <v>704</v>
      </c>
      <c r="E220" s="14">
        <v>923005041352</v>
      </c>
      <c r="F220" t="s">
        <v>49</v>
      </c>
      <c r="G220" t="s">
        <v>18</v>
      </c>
      <c r="H220" t="s">
        <v>33</v>
      </c>
      <c r="I220">
        <v>1</v>
      </c>
      <c r="J220">
        <v>5869</v>
      </c>
      <c r="K220">
        <v>5869</v>
      </c>
      <c r="L220" t="s">
        <v>68</v>
      </c>
      <c r="M220" t="s">
        <v>55</v>
      </c>
      <c r="N220" t="s">
        <v>69</v>
      </c>
    </row>
    <row r="221" spans="1:14" x14ac:dyDescent="0.25">
      <c r="A221" t="s">
        <v>705</v>
      </c>
      <c r="B221" s="1">
        <v>45906</v>
      </c>
      <c r="C221" t="s">
        <v>706</v>
      </c>
      <c r="D221" t="s">
        <v>707</v>
      </c>
      <c r="E221" s="14">
        <v>923227975569</v>
      </c>
      <c r="F221" t="s">
        <v>49</v>
      </c>
      <c r="G221" t="s">
        <v>18</v>
      </c>
      <c r="H221" t="s">
        <v>59</v>
      </c>
      <c r="I221">
        <v>4</v>
      </c>
      <c r="J221">
        <v>5237</v>
      </c>
      <c r="K221">
        <v>20948</v>
      </c>
      <c r="L221" t="s">
        <v>63</v>
      </c>
      <c r="M221" t="s">
        <v>45</v>
      </c>
      <c r="N221" t="s">
        <v>69</v>
      </c>
    </row>
    <row r="222" spans="1:14" x14ac:dyDescent="0.25">
      <c r="A222" t="s">
        <v>708</v>
      </c>
      <c r="B222" s="1">
        <v>45903</v>
      </c>
      <c r="C222" t="s">
        <v>709</v>
      </c>
      <c r="D222" t="s">
        <v>710</v>
      </c>
      <c r="E222" s="14">
        <v>923369226942</v>
      </c>
      <c r="F222" t="s">
        <v>92</v>
      </c>
      <c r="G222" t="s">
        <v>18</v>
      </c>
      <c r="H222" t="s">
        <v>19</v>
      </c>
      <c r="I222">
        <v>5</v>
      </c>
      <c r="J222">
        <v>1705</v>
      </c>
      <c r="K222">
        <v>8525</v>
      </c>
      <c r="L222" t="s">
        <v>78</v>
      </c>
      <c r="M222" t="s">
        <v>55</v>
      </c>
      <c r="N222" t="s">
        <v>22</v>
      </c>
    </row>
    <row r="223" spans="1:14" x14ac:dyDescent="0.25">
      <c r="A223" t="s">
        <v>711</v>
      </c>
      <c r="B223" s="1">
        <v>45836</v>
      </c>
      <c r="C223" t="s">
        <v>712</v>
      </c>
      <c r="D223" t="s">
        <v>713</v>
      </c>
      <c r="E223" s="14">
        <v>923072601360</v>
      </c>
      <c r="F223" t="s">
        <v>122</v>
      </c>
      <c r="G223" t="s">
        <v>18</v>
      </c>
      <c r="H223" t="s">
        <v>73</v>
      </c>
      <c r="I223">
        <v>4</v>
      </c>
      <c r="J223">
        <v>6074</v>
      </c>
      <c r="K223">
        <v>24296</v>
      </c>
      <c r="L223" t="s">
        <v>26</v>
      </c>
      <c r="M223" t="s">
        <v>135</v>
      </c>
      <c r="N223" t="s">
        <v>28</v>
      </c>
    </row>
    <row r="224" spans="1:14" x14ac:dyDescent="0.25">
      <c r="A224" t="s">
        <v>714</v>
      </c>
      <c r="B224" s="1">
        <v>45918</v>
      </c>
      <c r="C224" t="s">
        <v>715</v>
      </c>
      <c r="D224" t="s">
        <v>716</v>
      </c>
      <c r="E224" s="14">
        <v>923416811786</v>
      </c>
      <c r="F224" t="s">
        <v>32</v>
      </c>
      <c r="G224" t="s">
        <v>18</v>
      </c>
      <c r="H224" t="s">
        <v>33</v>
      </c>
      <c r="I224">
        <v>2</v>
      </c>
      <c r="J224">
        <v>4532</v>
      </c>
      <c r="K224">
        <v>9064</v>
      </c>
      <c r="L224" t="s">
        <v>68</v>
      </c>
      <c r="M224" t="s">
        <v>34</v>
      </c>
      <c r="N224" t="s">
        <v>69</v>
      </c>
    </row>
    <row r="225" spans="1:14" x14ac:dyDescent="0.25">
      <c r="A225" t="s">
        <v>717</v>
      </c>
      <c r="B225" s="1">
        <v>45772</v>
      </c>
      <c r="C225" t="s">
        <v>718</v>
      </c>
      <c r="D225" t="s">
        <v>719</v>
      </c>
      <c r="E225" s="14">
        <v>923048018915</v>
      </c>
      <c r="F225" t="s">
        <v>54</v>
      </c>
      <c r="G225" t="s">
        <v>18</v>
      </c>
      <c r="H225" t="s">
        <v>50</v>
      </c>
      <c r="I225">
        <v>4</v>
      </c>
      <c r="J225">
        <v>12445</v>
      </c>
      <c r="K225">
        <v>49780</v>
      </c>
      <c r="L225" t="s">
        <v>78</v>
      </c>
      <c r="M225" t="s">
        <v>135</v>
      </c>
      <c r="N225" t="s">
        <v>35</v>
      </c>
    </row>
    <row r="226" spans="1:14" x14ac:dyDescent="0.25">
      <c r="A226" t="s">
        <v>720</v>
      </c>
      <c r="B226" s="1">
        <v>45861</v>
      </c>
      <c r="C226" t="s">
        <v>721</v>
      </c>
      <c r="D226" t="s">
        <v>722</v>
      </c>
      <c r="E226" s="14">
        <v>923203062442</v>
      </c>
      <c r="F226" t="s">
        <v>54</v>
      </c>
      <c r="G226" t="s">
        <v>18</v>
      </c>
      <c r="H226" t="s">
        <v>39</v>
      </c>
      <c r="I226">
        <v>1</v>
      </c>
      <c r="J226">
        <v>7542</v>
      </c>
      <c r="K226">
        <v>7542</v>
      </c>
      <c r="L226" t="s">
        <v>63</v>
      </c>
      <c r="M226" t="s">
        <v>45</v>
      </c>
      <c r="N226" t="s">
        <v>69</v>
      </c>
    </row>
    <row r="227" spans="1:14" x14ac:dyDescent="0.25">
      <c r="A227" t="s">
        <v>723</v>
      </c>
      <c r="B227" s="1">
        <v>45753</v>
      </c>
      <c r="C227" t="s">
        <v>724</v>
      </c>
      <c r="D227" t="s">
        <v>725</v>
      </c>
      <c r="E227" s="14">
        <v>923158607743</v>
      </c>
      <c r="F227" t="s">
        <v>122</v>
      </c>
      <c r="G227" t="s">
        <v>18</v>
      </c>
      <c r="H227" t="s">
        <v>59</v>
      </c>
      <c r="I227">
        <v>5</v>
      </c>
      <c r="J227">
        <v>11065</v>
      </c>
      <c r="K227">
        <v>55325</v>
      </c>
      <c r="L227" t="s">
        <v>78</v>
      </c>
      <c r="M227" t="s">
        <v>93</v>
      </c>
      <c r="N227" t="s">
        <v>28</v>
      </c>
    </row>
    <row r="228" spans="1:14" x14ac:dyDescent="0.25">
      <c r="A228" t="s">
        <v>726</v>
      </c>
      <c r="B228" s="1">
        <v>45766</v>
      </c>
      <c r="C228" t="s">
        <v>727</v>
      </c>
      <c r="D228" t="s">
        <v>728</v>
      </c>
      <c r="E228" s="14">
        <v>923379258346</v>
      </c>
      <c r="F228" t="s">
        <v>106</v>
      </c>
      <c r="G228" t="s">
        <v>18</v>
      </c>
      <c r="H228" t="s">
        <v>33</v>
      </c>
      <c r="I228">
        <v>5</v>
      </c>
      <c r="J228">
        <v>1189</v>
      </c>
      <c r="K228">
        <v>5945</v>
      </c>
      <c r="L228" t="s">
        <v>20</v>
      </c>
      <c r="M228" t="s">
        <v>93</v>
      </c>
      <c r="N228" t="s">
        <v>28</v>
      </c>
    </row>
    <row r="229" spans="1:14" x14ac:dyDescent="0.25">
      <c r="A229" t="s">
        <v>729</v>
      </c>
      <c r="B229" s="1">
        <v>46055</v>
      </c>
      <c r="C229" t="s">
        <v>730</v>
      </c>
      <c r="D229" t="s">
        <v>731</v>
      </c>
      <c r="E229" s="14">
        <v>923440848280</v>
      </c>
      <c r="F229" t="s">
        <v>54</v>
      </c>
      <c r="G229" t="s">
        <v>18</v>
      </c>
      <c r="H229" t="s">
        <v>33</v>
      </c>
      <c r="I229">
        <v>4</v>
      </c>
      <c r="J229">
        <v>9803</v>
      </c>
      <c r="K229">
        <v>39212</v>
      </c>
      <c r="L229" t="s">
        <v>68</v>
      </c>
      <c r="M229" t="s">
        <v>27</v>
      </c>
      <c r="N229" t="s">
        <v>22</v>
      </c>
    </row>
    <row r="230" spans="1:14" x14ac:dyDescent="0.25">
      <c r="A230" t="s">
        <v>732</v>
      </c>
      <c r="B230" s="1">
        <v>45871</v>
      </c>
      <c r="C230" t="s">
        <v>733</v>
      </c>
      <c r="D230" t="s">
        <v>734</v>
      </c>
      <c r="E230" s="14">
        <v>923234826934</v>
      </c>
      <c r="F230" t="s">
        <v>106</v>
      </c>
      <c r="G230" t="s">
        <v>18</v>
      </c>
      <c r="H230" t="s">
        <v>73</v>
      </c>
      <c r="I230">
        <v>4</v>
      </c>
      <c r="J230">
        <v>2862</v>
      </c>
      <c r="K230">
        <v>11448</v>
      </c>
      <c r="L230" t="s">
        <v>40</v>
      </c>
      <c r="M230" t="s">
        <v>21</v>
      </c>
      <c r="N230" t="s">
        <v>28</v>
      </c>
    </row>
    <row r="231" spans="1:14" x14ac:dyDescent="0.25">
      <c r="A231" t="s">
        <v>735</v>
      </c>
      <c r="B231" s="1">
        <v>45845</v>
      </c>
      <c r="C231" t="s">
        <v>736</v>
      </c>
      <c r="D231" t="s">
        <v>737</v>
      </c>
      <c r="E231" s="14">
        <v>923328551792</v>
      </c>
      <c r="F231" t="s">
        <v>54</v>
      </c>
      <c r="G231" t="s">
        <v>18</v>
      </c>
      <c r="H231" t="s">
        <v>73</v>
      </c>
      <c r="I231">
        <v>1</v>
      </c>
      <c r="J231">
        <v>12800</v>
      </c>
      <c r="K231">
        <v>12800</v>
      </c>
      <c r="L231" t="s">
        <v>40</v>
      </c>
      <c r="M231" t="s">
        <v>135</v>
      </c>
      <c r="N231" t="s">
        <v>22</v>
      </c>
    </row>
    <row r="232" spans="1:14" x14ac:dyDescent="0.25">
      <c r="A232" t="s">
        <v>738</v>
      </c>
      <c r="B232" s="1">
        <v>45978</v>
      </c>
      <c r="C232" t="s">
        <v>739</v>
      </c>
      <c r="D232" t="s">
        <v>740</v>
      </c>
      <c r="E232" s="14">
        <v>923012694020</v>
      </c>
      <c r="F232" t="s">
        <v>49</v>
      </c>
      <c r="G232" t="s">
        <v>18</v>
      </c>
      <c r="H232" t="s">
        <v>59</v>
      </c>
      <c r="I232">
        <v>4</v>
      </c>
      <c r="J232">
        <v>10065</v>
      </c>
      <c r="K232">
        <v>40260</v>
      </c>
      <c r="L232" t="s">
        <v>26</v>
      </c>
      <c r="M232" t="s">
        <v>27</v>
      </c>
      <c r="N232" t="s">
        <v>69</v>
      </c>
    </row>
    <row r="233" spans="1:14" x14ac:dyDescent="0.25">
      <c r="A233" t="s">
        <v>741</v>
      </c>
      <c r="B233" s="1">
        <v>46004</v>
      </c>
      <c r="C233" t="s">
        <v>742</v>
      </c>
      <c r="D233" t="s">
        <v>743</v>
      </c>
      <c r="E233" s="14">
        <v>923454261393</v>
      </c>
      <c r="F233" t="s">
        <v>67</v>
      </c>
      <c r="G233" t="s">
        <v>18</v>
      </c>
      <c r="H233" t="s">
        <v>59</v>
      </c>
      <c r="I233">
        <v>5</v>
      </c>
      <c r="J233">
        <v>10877</v>
      </c>
      <c r="K233">
        <v>54385</v>
      </c>
      <c r="L233" t="s">
        <v>26</v>
      </c>
      <c r="M233" t="s">
        <v>45</v>
      </c>
      <c r="N233" t="s">
        <v>69</v>
      </c>
    </row>
    <row r="234" spans="1:14" x14ac:dyDescent="0.25">
      <c r="A234" t="s">
        <v>744</v>
      </c>
      <c r="B234" s="1">
        <v>45982</v>
      </c>
      <c r="C234" t="s">
        <v>745</v>
      </c>
      <c r="D234" t="s">
        <v>746</v>
      </c>
      <c r="E234" s="14">
        <v>923105815212</v>
      </c>
      <c r="F234" t="s">
        <v>17</v>
      </c>
      <c r="G234" t="s">
        <v>18</v>
      </c>
      <c r="H234" t="s">
        <v>39</v>
      </c>
      <c r="I234">
        <v>3</v>
      </c>
      <c r="J234">
        <v>11398</v>
      </c>
      <c r="K234">
        <v>34194</v>
      </c>
      <c r="L234" t="s">
        <v>63</v>
      </c>
      <c r="M234" t="s">
        <v>135</v>
      </c>
      <c r="N234" t="s">
        <v>22</v>
      </c>
    </row>
    <row r="235" spans="1:14" x14ac:dyDescent="0.25">
      <c r="A235" t="s">
        <v>747</v>
      </c>
      <c r="B235" s="1">
        <v>45797</v>
      </c>
      <c r="C235" t="s">
        <v>748</v>
      </c>
      <c r="D235" t="s">
        <v>749</v>
      </c>
      <c r="E235" s="14">
        <v>923227456740</v>
      </c>
      <c r="F235" t="s">
        <v>122</v>
      </c>
      <c r="G235" t="s">
        <v>18</v>
      </c>
      <c r="H235" t="s">
        <v>73</v>
      </c>
      <c r="I235">
        <v>3</v>
      </c>
      <c r="J235">
        <v>4868</v>
      </c>
      <c r="K235">
        <v>14604</v>
      </c>
      <c r="L235" t="s">
        <v>20</v>
      </c>
      <c r="M235" t="s">
        <v>45</v>
      </c>
      <c r="N235" t="s">
        <v>35</v>
      </c>
    </row>
    <row r="236" spans="1:14" x14ac:dyDescent="0.25">
      <c r="A236" t="s">
        <v>750</v>
      </c>
      <c r="B236" s="1">
        <v>45809</v>
      </c>
      <c r="C236" t="s">
        <v>751</v>
      </c>
      <c r="D236" t="s">
        <v>752</v>
      </c>
      <c r="E236" s="14">
        <v>923282995571</v>
      </c>
      <c r="F236" t="s">
        <v>49</v>
      </c>
      <c r="G236" t="s">
        <v>18</v>
      </c>
      <c r="H236" t="s">
        <v>33</v>
      </c>
      <c r="I236">
        <v>4</v>
      </c>
      <c r="J236">
        <v>11975</v>
      </c>
      <c r="K236">
        <v>47900</v>
      </c>
      <c r="L236" t="s">
        <v>26</v>
      </c>
      <c r="M236" t="s">
        <v>21</v>
      </c>
      <c r="N236" t="s">
        <v>69</v>
      </c>
    </row>
    <row r="237" spans="1:14" x14ac:dyDescent="0.25">
      <c r="A237" t="s">
        <v>753</v>
      </c>
      <c r="B237" s="1">
        <v>46013</v>
      </c>
      <c r="C237" t="s">
        <v>754</v>
      </c>
      <c r="D237" t="s">
        <v>755</v>
      </c>
      <c r="E237" s="14">
        <v>923136830509</v>
      </c>
      <c r="F237" t="s">
        <v>67</v>
      </c>
      <c r="G237" t="s">
        <v>18</v>
      </c>
      <c r="H237" t="s">
        <v>19</v>
      </c>
      <c r="I237">
        <v>1</v>
      </c>
      <c r="J237">
        <v>14966</v>
      </c>
      <c r="K237">
        <v>14966</v>
      </c>
      <c r="L237" t="s">
        <v>40</v>
      </c>
      <c r="M237" t="s">
        <v>27</v>
      </c>
      <c r="N237" t="s">
        <v>35</v>
      </c>
    </row>
    <row r="238" spans="1:14" x14ac:dyDescent="0.25">
      <c r="A238" t="s">
        <v>756</v>
      </c>
      <c r="B238" s="1">
        <v>45824</v>
      </c>
      <c r="C238" t="s">
        <v>757</v>
      </c>
      <c r="D238" t="s">
        <v>758</v>
      </c>
      <c r="E238" s="14">
        <v>923034398199</v>
      </c>
      <c r="F238" t="s">
        <v>122</v>
      </c>
      <c r="G238" t="s">
        <v>18</v>
      </c>
      <c r="H238" t="s">
        <v>19</v>
      </c>
      <c r="I238">
        <v>2</v>
      </c>
      <c r="J238">
        <v>1121</v>
      </c>
      <c r="K238">
        <v>2242</v>
      </c>
      <c r="L238" t="s">
        <v>68</v>
      </c>
      <c r="M238" t="s">
        <v>27</v>
      </c>
      <c r="N238" t="s">
        <v>69</v>
      </c>
    </row>
    <row r="239" spans="1:14" x14ac:dyDescent="0.25">
      <c r="A239" t="s">
        <v>759</v>
      </c>
      <c r="B239" s="1">
        <v>45847</v>
      </c>
      <c r="C239" t="s">
        <v>760</v>
      </c>
      <c r="D239" t="s">
        <v>761</v>
      </c>
      <c r="E239" s="14">
        <v>923157928416</v>
      </c>
      <c r="F239" t="s">
        <v>122</v>
      </c>
      <c r="G239" t="s">
        <v>18</v>
      </c>
      <c r="H239" t="s">
        <v>39</v>
      </c>
      <c r="I239">
        <v>2</v>
      </c>
      <c r="J239">
        <v>7499</v>
      </c>
      <c r="K239">
        <v>14998</v>
      </c>
      <c r="L239" t="s">
        <v>78</v>
      </c>
      <c r="M239" t="s">
        <v>27</v>
      </c>
      <c r="N239" t="s">
        <v>35</v>
      </c>
    </row>
    <row r="240" spans="1:14" x14ac:dyDescent="0.25">
      <c r="A240" t="s">
        <v>762</v>
      </c>
      <c r="B240" s="1">
        <v>46007</v>
      </c>
      <c r="C240" t="s">
        <v>763</v>
      </c>
      <c r="D240" t="s">
        <v>764</v>
      </c>
      <c r="E240" s="14">
        <v>923430642557</v>
      </c>
      <c r="F240" t="s">
        <v>77</v>
      </c>
      <c r="G240" t="s">
        <v>18</v>
      </c>
      <c r="H240" t="s">
        <v>39</v>
      </c>
      <c r="I240">
        <v>5</v>
      </c>
      <c r="J240">
        <v>7184</v>
      </c>
      <c r="K240">
        <v>35920</v>
      </c>
      <c r="L240" t="s">
        <v>78</v>
      </c>
      <c r="M240" t="s">
        <v>93</v>
      </c>
      <c r="N240" t="s">
        <v>22</v>
      </c>
    </row>
    <row r="241" spans="1:14" x14ac:dyDescent="0.25">
      <c r="A241" t="s">
        <v>765</v>
      </c>
      <c r="B241" s="1">
        <v>45857</v>
      </c>
      <c r="C241" t="s">
        <v>766</v>
      </c>
      <c r="D241" t="s">
        <v>767</v>
      </c>
      <c r="E241" s="14">
        <v>923051108194</v>
      </c>
      <c r="F241" t="s">
        <v>44</v>
      </c>
      <c r="G241" t="s">
        <v>18</v>
      </c>
      <c r="H241" t="s">
        <v>73</v>
      </c>
      <c r="I241">
        <v>3</v>
      </c>
      <c r="J241">
        <v>6114</v>
      </c>
      <c r="K241">
        <v>18342</v>
      </c>
      <c r="L241" t="s">
        <v>68</v>
      </c>
      <c r="M241" t="s">
        <v>27</v>
      </c>
      <c r="N241" t="s">
        <v>22</v>
      </c>
    </row>
    <row r="242" spans="1:14" x14ac:dyDescent="0.25">
      <c r="A242" t="s">
        <v>768</v>
      </c>
      <c r="B242" s="1">
        <v>45931</v>
      </c>
      <c r="C242" t="s">
        <v>769</v>
      </c>
      <c r="D242" t="s">
        <v>770</v>
      </c>
      <c r="E242" s="14">
        <v>923196749814</v>
      </c>
      <c r="F242" t="s">
        <v>92</v>
      </c>
      <c r="G242" t="s">
        <v>18</v>
      </c>
      <c r="H242" t="s">
        <v>19</v>
      </c>
      <c r="I242">
        <v>1</v>
      </c>
      <c r="J242">
        <v>1161</v>
      </c>
      <c r="K242">
        <v>1161</v>
      </c>
      <c r="L242" t="s">
        <v>26</v>
      </c>
      <c r="M242" t="s">
        <v>45</v>
      </c>
      <c r="N242" t="s">
        <v>22</v>
      </c>
    </row>
    <row r="243" spans="1:14" x14ac:dyDescent="0.25">
      <c r="A243" t="s">
        <v>771</v>
      </c>
      <c r="B243" s="1">
        <v>45779</v>
      </c>
      <c r="C243" t="s">
        <v>772</v>
      </c>
      <c r="D243" t="s">
        <v>773</v>
      </c>
      <c r="E243" s="14">
        <v>923193815220</v>
      </c>
      <c r="F243" t="s">
        <v>44</v>
      </c>
      <c r="G243" t="s">
        <v>18</v>
      </c>
      <c r="H243" t="s">
        <v>73</v>
      </c>
      <c r="I243">
        <v>1</v>
      </c>
      <c r="J243">
        <v>5420</v>
      </c>
      <c r="K243">
        <v>5420</v>
      </c>
      <c r="L243" t="s">
        <v>20</v>
      </c>
      <c r="M243" t="s">
        <v>82</v>
      </c>
      <c r="N243" t="s">
        <v>35</v>
      </c>
    </row>
    <row r="244" spans="1:14" x14ac:dyDescent="0.25">
      <c r="A244" t="s">
        <v>774</v>
      </c>
      <c r="B244" s="1">
        <v>45753</v>
      </c>
      <c r="C244" t="s">
        <v>775</v>
      </c>
      <c r="D244" t="s">
        <v>776</v>
      </c>
      <c r="E244" s="14">
        <v>923267669932</v>
      </c>
      <c r="F244" t="s">
        <v>106</v>
      </c>
      <c r="G244" t="s">
        <v>18</v>
      </c>
      <c r="H244" t="s">
        <v>73</v>
      </c>
      <c r="I244">
        <v>5</v>
      </c>
      <c r="J244">
        <v>3626</v>
      </c>
      <c r="K244">
        <v>18130</v>
      </c>
      <c r="L244" t="s">
        <v>26</v>
      </c>
      <c r="M244" t="s">
        <v>55</v>
      </c>
      <c r="N244" t="s">
        <v>69</v>
      </c>
    </row>
    <row r="245" spans="1:14" x14ac:dyDescent="0.25">
      <c r="A245" t="s">
        <v>777</v>
      </c>
      <c r="B245" s="1">
        <v>46052</v>
      </c>
      <c r="C245" t="s">
        <v>778</v>
      </c>
      <c r="D245" t="s">
        <v>779</v>
      </c>
      <c r="E245" s="14">
        <v>923457509450</v>
      </c>
      <c r="F245" t="s">
        <v>54</v>
      </c>
      <c r="G245" t="s">
        <v>18</v>
      </c>
      <c r="H245" t="s">
        <v>73</v>
      </c>
      <c r="I245">
        <v>5</v>
      </c>
      <c r="J245">
        <v>9030</v>
      </c>
      <c r="K245">
        <v>45150</v>
      </c>
      <c r="L245" t="s">
        <v>40</v>
      </c>
      <c r="M245" t="s">
        <v>21</v>
      </c>
      <c r="N245" t="s">
        <v>35</v>
      </c>
    </row>
    <row r="246" spans="1:14" x14ac:dyDescent="0.25">
      <c r="A246" t="s">
        <v>780</v>
      </c>
      <c r="B246" s="1">
        <v>45976</v>
      </c>
      <c r="C246" t="s">
        <v>781</v>
      </c>
      <c r="D246" t="s">
        <v>782</v>
      </c>
      <c r="E246" s="14">
        <v>923063357569</v>
      </c>
      <c r="F246" t="s">
        <v>54</v>
      </c>
      <c r="G246" t="s">
        <v>18</v>
      </c>
      <c r="H246" t="s">
        <v>19</v>
      </c>
      <c r="I246">
        <v>3</v>
      </c>
      <c r="J246">
        <v>1883</v>
      </c>
      <c r="K246">
        <v>5649</v>
      </c>
      <c r="L246" t="s">
        <v>78</v>
      </c>
      <c r="M246" t="s">
        <v>21</v>
      </c>
      <c r="N246" t="s">
        <v>28</v>
      </c>
    </row>
    <row r="247" spans="1:14" x14ac:dyDescent="0.25">
      <c r="A247" t="s">
        <v>783</v>
      </c>
      <c r="B247" s="1">
        <v>46008</v>
      </c>
      <c r="C247" t="s">
        <v>784</v>
      </c>
      <c r="D247" t="s">
        <v>785</v>
      </c>
      <c r="E247" s="14">
        <v>923223629465</v>
      </c>
      <c r="F247" t="s">
        <v>106</v>
      </c>
      <c r="G247" t="s">
        <v>18</v>
      </c>
      <c r="H247" t="s">
        <v>39</v>
      </c>
      <c r="I247">
        <v>3</v>
      </c>
      <c r="J247">
        <v>4549</v>
      </c>
      <c r="K247">
        <v>13647</v>
      </c>
      <c r="L247" t="s">
        <v>68</v>
      </c>
      <c r="M247" t="s">
        <v>82</v>
      </c>
      <c r="N247" t="s">
        <v>69</v>
      </c>
    </row>
    <row r="248" spans="1:14" x14ac:dyDescent="0.25">
      <c r="A248" t="s">
        <v>786</v>
      </c>
      <c r="B248" s="1">
        <v>46025</v>
      </c>
      <c r="C248" t="s">
        <v>787</v>
      </c>
      <c r="D248" t="s">
        <v>788</v>
      </c>
      <c r="E248" s="14">
        <v>923317893688</v>
      </c>
      <c r="F248" t="s">
        <v>17</v>
      </c>
      <c r="G248" t="s">
        <v>18</v>
      </c>
      <c r="H248" t="s">
        <v>59</v>
      </c>
      <c r="I248">
        <v>1</v>
      </c>
      <c r="J248">
        <v>7008</v>
      </c>
      <c r="K248">
        <v>7008</v>
      </c>
      <c r="L248" t="s">
        <v>78</v>
      </c>
      <c r="M248" t="s">
        <v>135</v>
      </c>
      <c r="N248" t="s">
        <v>35</v>
      </c>
    </row>
    <row r="249" spans="1:14" x14ac:dyDescent="0.25">
      <c r="A249" t="s">
        <v>789</v>
      </c>
      <c r="B249" s="1">
        <v>45917</v>
      </c>
      <c r="C249" t="s">
        <v>790</v>
      </c>
      <c r="D249" t="s">
        <v>791</v>
      </c>
      <c r="E249" s="14">
        <v>923485475506</v>
      </c>
      <c r="F249" t="s">
        <v>92</v>
      </c>
      <c r="G249" t="s">
        <v>18</v>
      </c>
      <c r="H249" t="s">
        <v>59</v>
      </c>
      <c r="I249">
        <v>4</v>
      </c>
      <c r="J249">
        <v>1243</v>
      </c>
      <c r="K249">
        <v>4972</v>
      </c>
      <c r="L249" t="s">
        <v>63</v>
      </c>
      <c r="M249" t="s">
        <v>55</v>
      </c>
      <c r="N249" t="s">
        <v>35</v>
      </c>
    </row>
    <row r="250" spans="1:14" x14ac:dyDescent="0.25">
      <c r="A250" t="s">
        <v>792</v>
      </c>
      <c r="B250" s="1">
        <v>45806</v>
      </c>
      <c r="C250" t="s">
        <v>793</v>
      </c>
      <c r="D250" t="s">
        <v>794</v>
      </c>
      <c r="E250" s="14">
        <v>923109509222</v>
      </c>
      <c r="F250" t="s">
        <v>32</v>
      </c>
      <c r="G250" t="s">
        <v>18</v>
      </c>
      <c r="H250" t="s">
        <v>73</v>
      </c>
      <c r="I250">
        <v>4</v>
      </c>
      <c r="J250">
        <v>4321</v>
      </c>
      <c r="K250">
        <v>17284</v>
      </c>
      <c r="L250" t="s">
        <v>26</v>
      </c>
      <c r="M250" t="s">
        <v>93</v>
      </c>
      <c r="N250" t="s">
        <v>35</v>
      </c>
    </row>
    <row r="251" spans="1:14" x14ac:dyDescent="0.25">
      <c r="A251" t="s">
        <v>795</v>
      </c>
      <c r="B251" s="1">
        <v>45864</v>
      </c>
      <c r="C251" t="s">
        <v>796</v>
      </c>
      <c r="D251" t="s">
        <v>797</v>
      </c>
      <c r="E251" s="14">
        <v>923226813190</v>
      </c>
      <c r="F251" t="s">
        <v>122</v>
      </c>
      <c r="G251" t="s">
        <v>18</v>
      </c>
      <c r="H251" t="s">
        <v>33</v>
      </c>
      <c r="I251">
        <v>2</v>
      </c>
      <c r="J251">
        <v>12450</v>
      </c>
      <c r="K251">
        <v>24900</v>
      </c>
      <c r="L251" t="s">
        <v>78</v>
      </c>
      <c r="M251" t="s">
        <v>82</v>
      </c>
      <c r="N251" t="s">
        <v>69</v>
      </c>
    </row>
    <row r="252" spans="1:14" x14ac:dyDescent="0.25">
      <c r="A252" t="s">
        <v>798</v>
      </c>
      <c r="B252" s="1">
        <v>46051</v>
      </c>
      <c r="C252" t="s">
        <v>799</v>
      </c>
      <c r="D252" t="s">
        <v>800</v>
      </c>
      <c r="E252" s="14">
        <v>923475011428</v>
      </c>
      <c r="F252" t="s">
        <v>54</v>
      </c>
      <c r="G252" t="s">
        <v>18</v>
      </c>
      <c r="H252" t="s">
        <v>39</v>
      </c>
      <c r="I252">
        <v>1</v>
      </c>
      <c r="J252">
        <v>4176</v>
      </c>
      <c r="K252">
        <v>4176</v>
      </c>
      <c r="L252" t="s">
        <v>78</v>
      </c>
      <c r="M252" t="s">
        <v>93</v>
      </c>
      <c r="N252" t="s">
        <v>22</v>
      </c>
    </row>
    <row r="253" spans="1:14" x14ac:dyDescent="0.25">
      <c r="A253" t="s">
        <v>801</v>
      </c>
      <c r="B253" s="1">
        <v>45785</v>
      </c>
      <c r="C253" t="s">
        <v>802</v>
      </c>
      <c r="D253" t="s">
        <v>803</v>
      </c>
      <c r="E253" s="14">
        <v>923243781506</v>
      </c>
      <c r="F253" t="s">
        <v>122</v>
      </c>
      <c r="G253" t="s">
        <v>18</v>
      </c>
      <c r="H253" t="s">
        <v>73</v>
      </c>
      <c r="I253">
        <v>3</v>
      </c>
      <c r="J253">
        <v>3202</v>
      </c>
      <c r="K253">
        <v>9606</v>
      </c>
      <c r="L253" t="s">
        <v>68</v>
      </c>
      <c r="M253" t="s">
        <v>82</v>
      </c>
      <c r="N253" t="s">
        <v>22</v>
      </c>
    </row>
    <row r="254" spans="1:14" x14ac:dyDescent="0.25">
      <c r="A254" t="s">
        <v>804</v>
      </c>
      <c r="B254" s="1">
        <v>45815</v>
      </c>
      <c r="C254" t="s">
        <v>805</v>
      </c>
      <c r="D254" t="s">
        <v>806</v>
      </c>
      <c r="E254" s="14">
        <v>923166013746</v>
      </c>
      <c r="F254" t="s">
        <v>44</v>
      </c>
      <c r="G254" t="s">
        <v>18</v>
      </c>
      <c r="H254" t="s">
        <v>59</v>
      </c>
      <c r="I254">
        <v>4</v>
      </c>
      <c r="J254">
        <v>3395</v>
      </c>
      <c r="K254">
        <v>13580</v>
      </c>
      <c r="L254" t="s">
        <v>68</v>
      </c>
      <c r="M254" t="s">
        <v>55</v>
      </c>
      <c r="N254" t="s">
        <v>22</v>
      </c>
    </row>
    <row r="255" spans="1:14" x14ac:dyDescent="0.25">
      <c r="A255" t="s">
        <v>807</v>
      </c>
      <c r="B255" s="1">
        <v>45773</v>
      </c>
      <c r="C255" t="s">
        <v>808</v>
      </c>
      <c r="D255" t="s">
        <v>809</v>
      </c>
      <c r="E255" s="14">
        <v>923466577021</v>
      </c>
      <c r="F255" t="s">
        <v>32</v>
      </c>
      <c r="G255" t="s">
        <v>18</v>
      </c>
      <c r="H255" t="s">
        <v>33</v>
      </c>
      <c r="I255">
        <v>4</v>
      </c>
      <c r="J255">
        <v>9290</v>
      </c>
      <c r="K255">
        <v>37160</v>
      </c>
      <c r="L255" t="s">
        <v>40</v>
      </c>
      <c r="M255" t="s">
        <v>55</v>
      </c>
      <c r="N255" t="s">
        <v>22</v>
      </c>
    </row>
    <row r="256" spans="1:14" x14ac:dyDescent="0.25">
      <c r="A256" t="s">
        <v>810</v>
      </c>
      <c r="B256" s="1">
        <v>45981</v>
      </c>
      <c r="C256" t="s">
        <v>811</v>
      </c>
      <c r="D256" t="s">
        <v>812</v>
      </c>
      <c r="E256" s="14">
        <v>923192305411</v>
      </c>
      <c r="F256" t="s">
        <v>77</v>
      </c>
      <c r="G256" t="s">
        <v>18</v>
      </c>
      <c r="H256" t="s">
        <v>19</v>
      </c>
      <c r="I256">
        <v>4</v>
      </c>
      <c r="J256">
        <v>8461</v>
      </c>
      <c r="K256">
        <v>33844</v>
      </c>
      <c r="L256" t="s">
        <v>78</v>
      </c>
      <c r="M256" t="s">
        <v>93</v>
      </c>
      <c r="N256" t="s">
        <v>69</v>
      </c>
    </row>
    <row r="257" spans="1:14" x14ac:dyDescent="0.25">
      <c r="A257" t="s">
        <v>813</v>
      </c>
      <c r="B257" s="1">
        <v>45848</v>
      </c>
      <c r="C257" t="s">
        <v>814</v>
      </c>
      <c r="D257" t="s">
        <v>815</v>
      </c>
      <c r="E257" s="14">
        <v>923174882399</v>
      </c>
      <c r="F257" t="s">
        <v>67</v>
      </c>
      <c r="G257" t="s">
        <v>18</v>
      </c>
      <c r="H257" t="s">
        <v>39</v>
      </c>
      <c r="I257">
        <v>3</v>
      </c>
      <c r="J257">
        <v>13634</v>
      </c>
      <c r="K257">
        <v>40902</v>
      </c>
      <c r="L257" t="s">
        <v>40</v>
      </c>
      <c r="M257" t="s">
        <v>27</v>
      </c>
      <c r="N257" t="s">
        <v>28</v>
      </c>
    </row>
    <row r="258" spans="1:14" x14ac:dyDescent="0.25">
      <c r="A258" t="s">
        <v>816</v>
      </c>
      <c r="B258" s="1">
        <v>45815</v>
      </c>
      <c r="C258" t="s">
        <v>817</v>
      </c>
      <c r="D258" t="s">
        <v>818</v>
      </c>
      <c r="E258" s="14">
        <v>923081513882</v>
      </c>
      <c r="F258" t="s">
        <v>77</v>
      </c>
      <c r="G258" t="s">
        <v>18</v>
      </c>
      <c r="H258" t="s">
        <v>50</v>
      </c>
      <c r="I258">
        <v>5</v>
      </c>
      <c r="J258">
        <v>14630</v>
      </c>
      <c r="K258">
        <v>73150</v>
      </c>
      <c r="L258" t="s">
        <v>68</v>
      </c>
      <c r="M258" t="s">
        <v>21</v>
      </c>
      <c r="N258" t="s">
        <v>69</v>
      </c>
    </row>
    <row r="259" spans="1:14" x14ac:dyDescent="0.25">
      <c r="A259" t="s">
        <v>819</v>
      </c>
      <c r="B259" s="1">
        <v>46029</v>
      </c>
      <c r="C259" t="s">
        <v>820</v>
      </c>
      <c r="D259" t="s">
        <v>821</v>
      </c>
      <c r="E259" s="14">
        <v>923081466248</v>
      </c>
      <c r="F259" t="s">
        <v>77</v>
      </c>
      <c r="G259" t="s">
        <v>18</v>
      </c>
      <c r="H259" t="s">
        <v>19</v>
      </c>
      <c r="I259">
        <v>5</v>
      </c>
      <c r="J259">
        <v>8002</v>
      </c>
      <c r="K259">
        <v>40010</v>
      </c>
      <c r="L259" t="s">
        <v>40</v>
      </c>
      <c r="M259" t="s">
        <v>135</v>
      </c>
      <c r="N259" t="s">
        <v>35</v>
      </c>
    </row>
    <row r="260" spans="1:14" x14ac:dyDescent="0.25">
      <c r="A260" t="s">
        <v>822</v>
      </c>
      <c r="B260" s="1">
        <v>45971</v>
      </c>
      <c r="C260" t="s">
        <v>823</v>
      </c>
      <c r="D260" t="s">
        <v>824</v>
      </c>
      <c r="E260" s="14">
        <v>923473431439</v>
      </c>
      <c r="F260" t="s">
        <v>17</v>
      </c>
      <c r="G260" t="s">
        <v>18</v>
      </c>
      <c r="H260" t="s">
        <v>33</v>
      </c>
      <c r="I260">
        <v>2</v>
      </c>
      <c r="J260">
        <v>2416</v>
      </c>
      <c r="K260">
        <v>4832</v>
      </c>
      <c r="L260" t="s">
        <v>68</v>
      </c>
      <c r="M260" t="s">
        <v>21</v>
      </c>
      <c r="N260" t="s">
        <v>35</v>
      </c>
    </row>
    <row r="261" spans="1:14" x14ac:dyDescent="0.25">
      <c r="A261" t="s">
        <v>825</v>
      </c>
      <c r="B261" s="1">
        <v>46033</v>
      </c>
      <c r="C261" t="s">
        <v>826</v>
      </c>
      <c r="D261" t="s">
        <v>827</v>
      </c>
      <c r="E261" s="14">
        <v>923268702097</v>
      </c>
      <c r="F261" t="s">
        <v>17</v>
      </c>
      <c r="G261" t="s">
        <v>18</v>
      </c>
      <c r="H261" t="s">
        <v>33</v>
      </c>
      <c r="I261">
        <v>4</v>
      </c>
      <c r="J261">
        <v>10930</v>
      </c>
      <c r="K261">
        <v>43720</v>
      </c>
      <c r="L261" t="s">
        <v>40</v>
      </c>
      <c r="M261" t="s">
        <v>34</v>
      </c>
      <c r="N261" t="s">
        <v>69</v>
      </c>
    </row>
    <row r="262" spans="1:14" x14ac:dyDescent="0.25">
      <c r="A262" t="s">
        <v>828</v>
      </c>
      <c r="B262" s="1">
        <v>45807</v>
      </c>
      <c r="C262" t="s">
        <v>829</v>
      </c>
      <c r="D262" t="s">
        <v>830</v>
      </c>
      <c r="E262" s="14">
        <v>923450179590</v>
      </c>
      <c r="F262" t="s">
        <v>106</v>
      </c>
      <c r="G262" t="s">
        <v>18</v>
      </c>
      <c r="H262" t="s">
        <v>50</v>
      </c>
      <c r="I262">
        <v>3</v>
      </c>
      <c r="J262">
        <v>1048</v>
      </c>
      <c r="K262">
        <v>3144</v>
      </c>
      <c r="L262" t="s">
        <v>40</v>
      </c>
      <c r="M262" t="s">
        <v>82</v>
      </c>
      <c r="N262" t="s">
        <v>28</v>
      </c>
    </row>
    <row r="263" spans="1:14" x14ac:dyDescent="0.25">
      <c r="A263" t="s">
        <v>831</v>
      </c>
      <c r="B263" s="1">
        <v>45994</v>
      </c>
      <c r="C263" t="s">
        <v>832</v>
      </c>
      <c r="D263" t="s">
        <v>833</v>
      </c>
      <c r="E263" s="14">
        <v>923458716488</v>
      </c>
      <c r="F263" t="s">
        <v>67</v>
      </c>
      <c r="G263" t="s">
        <v>18</v>
      </c>
      <c r="H263" t="s">
        <v>33</v>
      </c>
      <c r="I263">
        <v>2</v>
      </c>
      <c r="J263">
        <v>14312</v>
      </c>
      <c r="K263">
        <v>28624</v>
      </c>
      <c r="L263" t="s">
        <v>63</v>
      </c>
      <c r="M263" t="s">
        <v>27</v>
      </c>
      <c r="N263" t="s">
        <v>69</v>
      </c>
    </row>
    <row r="264" spans="1:14" x14ac:dyDescent="0.25">
      <c r="A264" t="s">
        <v>834</v>
      </c>
      <c r="B264" s="1">
        <v>45720</v>
      </c>
      <c r="C264" t="s">
        <v>835</v>
      </c>
      <c r="D264" t="s">
        <v>836</v>
      </c>
      <c r="E264" s="14">
        <v>923122669775</v>
      </c>
      <c r="F264" t="s">
        <v>17</v>
      </c>
      <c r="G264" t="s">
        <v>18</v>
      </c>
      <c r="H264" t="s">
        <v>39</v>
      </c>
      <c r="I264">
        <v>4</v>
      </c>
      <c r="J264">
        <v>14457</v>
      </c>
      <c r="K264">
        <v>57828</v>
      </c>
      <c r="L264" t="s">
        <v>78</v>
      </c>
      <c r="M264" t="s">
        <v>93</v>
      </c>
      <c r="N264" t="s">
        <v>35</v>
      </c>
    </row>
    <row r="265" spans="1:14" x14ac:dyDescent="0.25">
      <c r="A265" t="s">
        <v>837</v>
      </c>
      <c r="B265" s="1">
        <v>45829</v>
      </c>
      <c r="C265" t="s">
        <v>838</v>
      </c>
      <c r="D265" t="s">
        <v>839</v>
      </c>
      <c r="E265" s="14">
        <v>923021419543</v>
      </c>
      <c r="F265" t="s">
        <v>92</v>
      </c>
      <c r="G265" t="s">
        <v>18</v>
      </c>
      <c r="H265" t="s">
        <v>73</v>
      </c>
      <c r="I265">
        <v>3</v>
      </c>
      <c r="J265">
        <v>7508</v>
      </c>
      <c r="K265">
        <v>22524</v>
      </c>
      <c r="L265" t="s">
        <v>78</v>
      </c>
      <c r="M265" t="s">
        <v>21</v>
      </c>
      <c r="N265" t="s">
        <v>28</v>
      </c>
    </row>
    <row r="266" spans="1:14" x14ac:dyDescent="0.25">
      <c r="A266" t="s">
        <v>840</v>
      </c>
      <c r="B266" s="1">
        <v>45750</v>
      </c>
      <c r="C266" t="s">
        <v>841</v>
      </c>
      <c r="D266" t="s">
        <v>842</v>
      </c>
      <c r="E266" s="14">
        <v>923268958405</v>
      </c>
      <c r="F266" t="s">
        <v>17</v>
      </c>
      <c r="G266" t="s">
        <v>18</v>
      </c>
      <c r="H266" t="s">
        <v>59</v>
      </c>
      <c r="I266">
        <v>2</v>
      </c>
      <c r="J266">
        <v>6509</v>
      </c>
      <c r="K266">
        <v>13018</v>
      </c>
      <c r="L266" t="s">
        <v>40</v>
      </c>
      <c r="M266" t="s">
        <v>27</v>
      </c>
      <c r="N266" t="s">
        <v>28</v>
      </c>
    </row>
    <row r="267" spans="1:14" x14ac:dyDescent="0.25">
      <c r="A267" t="s">
        <v>843</v>
      </c>
      <c r="B267" s="1">
        <v>46065</v>
      </c>
      <c r="C267" t="s">
        <v>844</v>
      </c>
      <c r="D267" t="s">
        <v>845</v>
      </c>
      <c r="E267" s="14">
        <v>923318293304</v>
      </c>
      <c r="F267" t="s">
        <v>54</v>
      </c>
      <c r="G267" t="s">
        <v>18</v>
      </c>
      <c r="H267" t="s">
        <v>59</v>
      </c>
      <c r="I267">
        <v>1</v>
      </c>
      <c r="J267">
        <v>6036</v>
      </c>
      <c r="K267">
        <v>6036</v>
      </c>
      <c r="L267" t="s">
        <v>20</v>
      </c>
      <c r="M267" t="s">
        <v>55</v>
      </c>
      <c r="N267" t="s">
        <v>28</v>
      </c>
    </row>
    <row r="268" spans="1:14" x14ac:dyDescent="0.25">
      <c r="A268" t="s">
        <v>846</v>
      </c>
      <c r="B268" s="1">
        <v>45785</v>
      </c>
      <c r="C268" t="s">
        <v>847</v>
      </c>
      <c r="D268" t="s">
        <v>848</v>
      </c>
      <c r="E268" s="14">
        <v>923325648981</v>
      </c>
      <c r="F268" t="s">
        <v>17</v>
      </c>
      <c r="G268" t="s">
        <v>18</v>
      </c>
      <c r="H268" t="s">
        <v>59</v>
      </c>
      <c r="I268">
        <v>5</v>
      </c>
      <c r="J268">
        <v>7834</v>
      </c>
      <c r="K268">
        <v>39170</v>
      </c>
      <c r="L268" t="s">
        <v>26</v>
      </c>
      <c r="M268" t="s">
        <v>82</v>
      </c>
      <c r="N268" t="s">
        <v>22</v>
      </c>
    </row>
    <row r="269" spans="1:14" x14ac:dyDescent="0.25">
      <c r="A269" t="s">
        <v>849</v>
      </c>
      <c r="B269" s="1">
        <v>45728</v>
      </c>
      <c r="C269" t="s">
        <v>850</v>
      </c>
      <c r="D269" t="s">
        <v>851</v>
      </c>
      <c r="E269" s="14">
        <v>923059805133</v>
      </c>
      <c r="F269" t="s">
        <v>67</v>
      </c>
      <c r="G269" t="s">
        <v>18</v>
      </c>
      <c r="H269" t="s">
        <v>59</v>
      </c>
      <c r="I269">
        <v>5</v>
      </c>
      <c r="J269">
        <v>5115</v>
      </c>
      <c r="K269">
        <v>25575</v>
      </c>
      <c r="L269" t="s">
        <v>63</v>
      </c>
      <c r="M269" t="s">
        <v>34</v>
      </c>
      <c r="N269" t="s">
        <v>35</v>
      </c>
    </row>
    <row r="270" spans="1:14" x14ac:dyDescent="0.25">
      <c r="A270" t="s">
        <v>852</v>
      </c>
      <c r="B270" s="1">
        <v>45790</v>
      </c>
      <c r="C270" t="s">
        <v>853</v>
      </c>
      <c r="D270" t="s">
        <v>854</v>
      </c>
      <c r="E270" s="14">
        <v>923316613392</v>
      </c>
      <c r="F270" t="s">
        <v>92</v>
      </c>
      <c r="G270" t="s">
        <v>18</v>
      </c>
      <c r="H270" t="s">
        <v>50</v>
      </c>
      <c r="I270">
        <v>2</v>
      </c>
      <c r="J270">
        <v>7455</v>
      </c>
      <c r="K270">
        <v>14910</v>
      </c>
      <c r="L270" t="s">
        <v>68</v>
      </c>
      <c r="M270" t="s">
        <v>21</v>
      </c>
      <c r="N270" t="s">
        <v>22</v>
      </c>
    </row>
    <row r="271" spans="1:14" x14ac:dyDescent="0.25">
      <c r="A271" t="s">
        <v>855</v>
      </c>
      <c r="B271" s="1">
        <v>45792</v>
      </c>
      <c r="C271" t="s">
        <v>856</v>
      </c>
      <c r="D271" t="s">
        <v>857</v>
      </c>
      <c r="E271" s="14">
        <v>923195093955</v>
      </c>
      <c r="F271" t="s">
        <v>106</v>
      </c>
      <c r="G271" t="s">
        <v>18</v>
      </c>
      <c r="H271" t="s">
        <v>73</v>
      </c>
      <c r="I271">
        <v>2</v>
      </c>
      <c r="J271">
        <v>13699</v>
      </c>
      <c r="K271">
        <v>27398</v>
      </c>
      <c r="L271" t="s">
        <v>68</v>
      </c>
      <c r="M271" t="s">
        <v>135</v>
      </c>
      <c r="N271" t="s">
        <v>28</v>
      </c>
    </row>
    <row r="272" spans="1:14" x14ac:dyDescent="0.25">
      <c r="A272" t="s">
        <v>858</v>
      </c>
      <c r="B272" s="1">
        <v>46068</v>
      </c>
      <c r="C272" t="s">
        <v>859</v>
      </c>
      <c r="D272" t="s">
        <v>860</v>
      </c>
      <c r="E272" s="14">
        <v>923295572468</v>
      </c>
      <c r="F272" t="s">
        <v>44</v>
      </c>
      <c r="G272" t="s">
        <v>18</v>
      </c>
      <c r="H272" t="s">
        <v>50</v>
      </c>
      <c r="I272">
        <v>5</v>
      </c>
      <c r="J272">
        <v>14249</v>
      </c>
      <c r="K272">
        <v>71245</v>
      </c>
      <c r="L272" t="s">
        <v>26</v>
      </c>
      <c r="M272" t="s">
        <v>27</v>
      </c>
      <c r="N272" t="s">
        <v>35</v>
      </c>
    </row>
    <row r="273" spans="1:14" x14ac:dyDescent="0.25">
      <c r="A273" t="s">
        <v>861</v>
      </c>
      <c r="B273" s="1">
        <v>45795</v>
      </c>
      <c r="C273" t="s">
        <v>862</v>
      </c>
      <c r="D273" t="s">
        <v>863</v>
      </c>
      <c r="E273" s="14">
        <v>923473665908</v>
      </c>
      <c r="F273" t="s">
        <v>106</v>
      </c>
      <c r="G273" t="s">
        <v>18</v>
      </c>
      <c r="H273" t="s">
        <v>33</v>
      </c>
      <c r="I273">
        <v>4</v>
      </c>
      <c r="J273">
        <v>7044</v>
      </c>
      <c r="K273">
        <v>28176</v>
      </c>
      <c r="L273" t="s">
        <v>40</v>
      </c>
      <c r="M273" t="s">
        <v>82</v>
      </c>
      <c r="N273" t="s">
        <v>35</v>
      </c>
    </row>
    <row r="274" spans="1:14" x14ac:dyDescent="0.25">
      <c r="A274" t="s">
        <v>864</v>
      </c>
      <c r="B274" s="1">
        <v>45879</v>
      </c>
      <c r="C274" t="s">
        <v>865</v>
      </c>
      <c r="D274" t="s">
        <v>866</v>
      </c>
      <c r="E274" s="14">
        <v>923356250795</v>
      </c>
      <c r="F274" t="s">
        <v>92</v>
      </c>
      <c r="G274" t="s">
        <v>18</v>
      </c>
      <c r="H274" t="s">
        <v>39</v>
      </c>
      <c r="I274">
        <v>1</v>
      </c>
      <c r="J274">
        <v>8527</v>
      </c>
      <c r="K274">
        <v>8527</v>
      </c>
      <c r="L274" t="s">
        <v>40</v>
      </c>
      <c r="M274" t="s">
        <v>34</v>
      </c>
      <c r="N274" t="s">
        <v>35</v>
      </c>
    </row>
    <row r="275" spans="1:14" x14ac:dyDescent="0.25">
      <c r="A275" t="s">
        <v>867</v>
      </c>
      <c r="B275" s="1">
        <v>46040</v>
      </c>
      <c r="C275" t="s">
        <v>868</v>
      </c>
      <c r="D275" t="s">
        <v>869</v>
      </c>
      <c r="E275" s="14">
        <v>923478402125</v>
      </c>
      <c r="F275" t="s">
        <v>77</v>
      </c>
      <c r="G275" t="s">
        <v>18</v>
      </c>
      <c r="H275" t="s">
        <v>33</v>
      </c>
      <c r="I275">
        <v>1</v>
      </c>
      <c r="J275">
        <v>3555</v>
      </c>
      <c r="K275">
        <v>3555</v>
      </c>
      <c r="L275" t="s">
        <v>78</v>
      </c>
      <c r="M275" t="s">
        <v>27</v>
      </c>
      <c r="N275" t="s">
        <v>35</v>
      </c>
    </row>
    <row r="276" spans="1:14" x14ac:dyDescent="0.25">
      <c r="A276" t="s">
        <v>870</v>
      </c>
      <c r="B276" s="1">
        <v>45798</v>
      </c>
      <c r="C276" t="s">
        <v>871</v>
      </c>
      <c r="D276" t="s">
        <v>872</v>
      </c>
      <c r="E276" s="14">
        <v>923237285924</v>
      </c>
      <c r="F276" t="s">
        <v>77</v>
      </c>
      <c r="G276" t="s">
        <v>18</v>
      </c>
      <c r="H276" t="s">
        <v>19</v>
      </c>
      <c r="I276">
        <v>3</v>
      </c>
      <c r="J276">
        <v>14948</v>
      </c>
      <c r="K276">
        <v>44844</v>
      </c>
      <c r="L276" t="s">
        <v>40</v>
      </c>
      <c r="M276" t="s">
        <v>27</v>
      </c>
      <c r="N276" t="s">
        <v>69</v>
      </c>
    </row>
    <row r="277" spans="1:14" x14ac:dyDescent="0.25">
      <c r="A277" t="s">
        <v>873</v>
      </c>
      <c r="B277" s="1">
        <v>45835</v>
      </c>
      <c r="C277" t="s">
        <v>874</v>
      </c>
      <c r="D277" t="s">
        <v>875</v>
      </c>
      <c r="E277" s="14">
        <v>923058383699</v>
      </c>
      <c r="F277" t="s">
        <v>44</v>
      </c>
      <c r="G277" t="s">
        <v>18</v>
      </c>
      <c r="H277" t="s">
        <v>50</v>
      </c>
      <c r="I277">
        <v>4</v>
      </c>
      <c r="J277">
        <v>9236</v>
      </c>
      <c r="K277">
        <v>36944</v>
      </c>
      <c r="L277" t="s">
        <v>40</v>
      </c>
      <c r="M277" t="s">
        <v>27</v>
      </c>
      <c r="N277" t="s">
        <v>22</v>
      </c>
    </row>
    <row r="278" spans="1:14" x14ac:dyDescent="0.25">
      <c r="A278" t="s">
        <v>876</v>
      </c>
      <c r="B278" s="1">
        <v>45919</v>
      </c>
      <c r="C278" t="s">
        <v>877</v>
      </c>
      <c r="D278" t="s">
        <v>878</v>
      </c>
      <c r="E278" s="14">
        <v>923157481973</v>
      </c>
      <c r="F278" t="s">
        <v>106</v>
      </c>
      <c r="G278" t="s">
        <v>18</v>
      </c>
      <c r="H278" t="s">
        <v>33</v>
      </c>
      <c r="I278">
        <v>4</v>
      </c>
      <c r="J278">
        <v>8733</v>
      </c>
      <c r="K278">
        <v>34932</v>
      </c>
      <c r="L278" t="s">
        <v>78</v>
      </c>
      <c r="M278" t="s">
        <v>27</v>
      </c>
      <c r="N278" t="s">
        <v>22</v>
      </c>
    </row>
    <row r="279" spans="1:14" x14ac:dyDescent="0.25">
      <c r="A279" t="s">
        <v>879</v>
      </c>
      <c r="B279" s="1">
        <v>45859</v>
      </c>
      <c r="C279" t="s">
        <v>880</v>
      </c>
      <c r="D279" t="s">
        <v>881</v>
      </c>
      <c r="E279" s="14">
        <v>923250785593</v>
      </c>
      <c r="F279" t="s">
        <v>77</v>
      </c>
      <c r="G279" t="s">
        <v>18</v>
      </c>
      <c r="H279" t="s">
        <v>59</v>
      </c>
      <c r="I279">
        <v>2</v>
      </c>
      <c r="J279">
        <v>14959</v>
      </c>
      <c r="K279">
        <v>29918</v>
      </c>
      <c r="L279" t="s">
        <v>26</v>
      </c>
      <c r="M279" t="s">
        <v>82</v>
      </c>
      <c r="N279" t="s">
        <v>69</v>
      </c>
    </row>
    <row r="280" spans="1:14" x14ac:dyDescent="0.25">
      <c r="A280" t="s">
        <v>882</v>
      </c>
      <c r="B280" s="1">
        <v>45846</v>
      </c>
      <c r="C280" t="s">
        <v>883</v>
      </c>
      <c r="D280" t="s">
        <v>884</v>
      </c>
      <c r="E280" s="14">
        <v>923314884297</v>
      </c>
      <c r="F280" t="s">
        <v>92</v>
      </c>
      <c r="G280" t="s">
        <v>18</v>
      </c>
      <c r="H280" t="s">
        <v>59</v>
      </c>
      <c r="I280">
        <v>5</v>
      </c>
      <c r="J280">
        <v>12410</v>
      </c>
      <c r="K280">
        <v>62050</v>
      </c>
      <c r="L280" t="s">
        <v>68</v>
      </c>
      <c r="M280" t="s">
        <v>34</v>
      </c>
      <c r="N280" t="s">
        <v>28</v>
      </c>
    </row>
    <row r="281" spans="1:14" x14ac:dyDescent="0.25">
      <c r="A281" t="s">
        <v>885</v>
      </c>
      <c r="B281" s="1">
        <v>45847</v>
      </c>
      <c r="C281" t="s">
        <v>886</v>
      </c>
      <c r="D281" t="s">
        <v>887</v>
      </c>
      <c r="E281" s="14">
        <v>923279631794</v>
      </c>
      <c r="F281" t="s">
        <v>122</v>
      </c>
      <c r="G281" t="s">
        <v>18</v>
      </c>
      <c r="H281" t="s">
        <v>59</v>
      </c>
      <c r="I281">
        <v>5</v>
      </c>
      <c r="J281">
        <v>1593</v>
      </c>
      <c r="K281">
        <v>7965</v>
      </c>
      <c r="L281" t="s">
        <v>63</v>
      </c>
      <c r="M281" t="s">
        <v>82</v>
      </c>
      <c r="N281" t="s">
        <v>22</v>
      </c>
    </row>
    <row r="282" spans="1:14" x14ac:dyDescent="0.25">
      <c r="A282" t="s">
        <v>888</v>
      </c>
      <c r="B282" s="1">
        <v>45956</v>
      </c>
      <c r="C282" t="s">
        <v>889</v>
      </c>
      <c r="D282" t="s">
        <v>890</v>
      </c>
      <c r="E282" s="14">
        <v>923148219812</v>
      </c>
      <c r="F282" t="s">
        <v>54</v>
      </c>
      <c r="G282" t="s">
        <v>18</v>
      </c>
      <c r="H282" t="s">
        <v>50</v>
      </c>
      <c r="I282">
        <v>4</v>
      </c>
      <c r="J282">
        <v>8112</v>
      </c>
      <c r="K282">
        <v>32448</v>
      </c>
      <c r="L282" t="s">
        <v>26</v>
      </c>
      <c r="M282" t="s">
        <v>45</v>
      </c>
      <c r="N282" t="s">
        <v>69</v>
      </c>
    </row>
    <row r="283" spans="1:14" x14ac:dyDescent="0.25">
      <c r="A283" t="s">
        <v>891</v>
      </c>
      <c r="B283" s="1">
        <v>45898</v>
      </c>
      <c r="C283" t="s">
        <v>892</v>
      </c>
      <c r="D283" t="s">
        <v>893</v>
      </c>
      <c r="E283" s="14">
        <v>923333520092</v>
      </c>
      <c r="F283" t="s">
        <v>44</v>
      </c>
      <c r="G283" t="s">
        <v>18</v>
      </c>
      <c r="H283" t="s">
        <v>59</v>
      </c>
      <c r="I283">
        <v>3</v>
      </c>
      <c r="J283">
        <v>6273</v>
      </c>
      <c r="K283">
        <v>18819</v>
      </c>
      <c r="L283" t="s">
        <v>78</v>
      </c>
      <c r="M283" t="s">
        <v>135</v>
      </c>
      <c r="N283" t="s">
        <v>28</v>
      </c>
    </row>
    <row r="284" spans="1:14" x14ac:dyDescent="0.25">
      <c r="A284" t="s">
        <v>894</v>
      </c>
      <c r="B284" s="1">
        <v>45792</v>
      </c>
      <c r="C284" t="s">
        <v>895</v>
      </c>
      <c r="D284" t="s">
        <v>896</v>
      </c>
      <c r="E284" s="14">
        <v>923202623916</v>
      </c>
      <c r="F284" t="s">
        <v>32</v>
      </c>
      <c r="G284" t="s">
        <v>18</v>
      </c>
      <c r="H284" t="s">
        <v>50</v>
      </c>
      <c r="I284">
        <v>2</v>
      </c>
      <c r="J284">
        <v>4839</v>
      </c>
      <c r="K284">
        <v>9678</v>
      </c>
      <c r="L284" t="s">
        <v>68</v>
      </c>
      <c r="M284" t="s">
        <v>21</v>
      </c>
      <c r="N284" t="s">
        <v>69</v>
      </c>
    </row>
    <row r="285" spans="1:14" x14ac:dyDescent="0.25">
      <c r="A285" t="s">
        <v>897</v>
      </c>
      <c r="B285" s="1">
        <v>45793</v>
      </c>
      <c r="C285" t="s">
        <v>898</v>
      </c>
      <c r="D285" t="s">
        <v>899</v>
      </c>
      <c r="E285" s="14">
        <v>923020755339</v>
      </c>
      <c r="F285" t="s">
        <v>44</v>
      </c>
      <c r="G285" t="s">
        <v>18</v>
      </c>
      <c r="H285" t="s">
        <v>73</v>
      </c>
      <c r="I285">
        <v>4</v>
      </c>
      <c r="J285">
        <v>4906</v>
      </c>
      <c r="K285">
        <v>19624</v>
      </c>
      <c r="L285" t="s">
        <v>40</v>
      </c>
      <c r="M285" t="s">
        <v>135</v>
      </c>
      <c r="N285" t="s">
        <v>69</v>
      </c>
    </row>
    <row r="286" spans="1:14" x14ac:dyDescent="0.25">
      <c r="A286" t="s">
        <v>900</v>
      </c>
      <c r="B286" s="1">
        <v>45915</v>
      </c>
      <c r="C286" t="s">
        <v>901</v>
      </c>
      <c r="D286" t="s">
        <v>902</v>
      </c>
      <c r="E286" s="14">
        <v>923397503508</v>
      </c>
      <c r="F286" t="s">
        <v>49</v>
      </c>
      <c r="G286" t="s">
        <v>18</v>
      </c>
      <c r="H286" t="s">
        <v>73</v>
      </c>
      <c r="I286">
        <v>3</v>
      </c>
      <c r="J286">
        <v>4945</v>
      </c>
      <c r="K286">
        <v>14835</v>
      </c>
      <c r="L286" t="s">
        <v>68</v>
      </c>
      <c r="M286" t="s">
        <v>55</v>
      </c>
      <c r="N286" t="s">
        <v>69</v>
      </c>
    </row>
    <row r="287" spans="1:14" x14ac:dyDescent="0.25">
      <c r="A287" t="s">
        <v>903</v>
      </c>
      <c r="B287" s="1">
        <v>45735</v>
      </c>
      <c r="C287" t="s">
        <v>904</v>
      </c>
      <c r="D287" t="s">
        <v>905</v>
      </c>
      <c r="E287" s="14">
        <v>923428406465</v>
      </c>
      <c r="F287" t="s">
        <v>67</v>
      </c>
      <c r="G287" t="s">
        <v>18</v>
      </c>
      <c r="H287" t="s">
        <v>33</v>
      </c>
      <c r="I287">
        <v>5</v>
      </c>
      <c r="J287">
        <v>6643</v>
      </c>
      <c r="K287">
        <v>33215</v>
      </c>
      <c r="L287" t="s">
        <v>26</v>
      </c>
      <c r="M287" t="s">
        <v>82</v>
      </c>
      <c r="N287" t="s">
        <v>35</v>
      </c>
    </row>
    <row r="288" spans="1:14" x14ac:dyDescent="0.25">
      <c r="A288" t="s">
        <v>906</v>
      </c>
      <c r="B288" s="1">
        <v>45845</v>
      </c>
      <c r="C288" t="s">
        <v>907</v>
      </c>
      <c r="D288" t="s">
        <v>908</v>
      </c>
      <c r="E288" s="14">
        <v>923335432703</v>
      </c>
      <c r="F288" t="s">
        <v>32</v>
      </c>
      <c r="G288" t="s">
        <v>18</v>
      </c>
      <c r="H288" t="s">
        <v>39</v>
      </c>
      <c r="I288">
        <v>2</v>
      </c>
      <c r="J288">
        <v>4109</v>
      </c>
      <c r="K288">
        <v>8218</v>
      </c>
      <c r="L288" t="s">
        <v>40</v>
      </c>
      <c r="M288" t="s">
        <v>45</v>
      </c>
      <c r="N288" t="s">
        <v>28</v>
      </c>
    </row>
    <row r="289" spans="1:14" x14ac:dyDescent="0.25">
      <c r="A289" t="s">
        <v>909</v>
      </c>
      <c r="B289" s="1">
        <v>45707</v>
      </c>
      <c r="C289" t="s">
        <v>910</v>
      </c>
      <c r="D289" t="s">
        <v>911</v>
      </c>
      <c r="E289" s="14">
        <v>923468808507</v>
      </c>
      <c r="F289" t="s">
        <v>32</v>
      </c>
      <c r="G289" t="s">
        <v>18</v>
      </c>
      <c r="H289" t="s">
        <v>50</v>
      </c>
      <c r="I289">
        <v>2</v>
      </c>
      <c r="J289">
        <v>14967</v>
      </c>
      <c r="K289">
        <v>29934</v>
      </c>
      <c r="L289" t="s">
        <v>26</v>
      </c>
      <c r="M289" t="s">
        <v>55</v>
      </c>
      <c r="N289" t="s">
        <v>35</v>
      </c>
    </row>
    <row r="290" spans="1:14" x14ac:dyDescent="0.25">
      <c r="A290" t="s">
        <v>912</v>
      </c>
      <c r="B290" s="1">
        <v>45951</v>
      </c>
      <c r="C290" t="s">
        <v>913</v>
      </c>
      <c r="D290" t="s">
        <v>914</v>
      </c>
      <c r="E290" s="14">
        <v>923463022483</v>
      </c>
      <c r="F290" t="s">
        <v>77</v>
      </c>
      <c r="G290" t="s">
        <v>18</v>
      </c>
      <c r="H290" t="s">
        <v>39</v>
      </c>
      <c r="I290">
        <v>1</v>
      </c>
      <c r="J290">
        <v>9099</v>
      </c>
      <c r="K290">
        <v>9099</v>
      </c>
      <c r="L290" t="s">
        <v>68</v>
      </c>
      <c r="M290" t="s">
        <v>93</v>
      </c>
      <c r="N290" t="s">
        <v>22</v>
      </c>
    </row>
    <row r="291" spans="1:14" x14ac:dyDescent="0.25">
      <c r="A291" t="s">
        <v>915</v>
      </c>
      <c r="B291" s="1">
        <v>45808</v>
      </c>
      <c r="C291" t="s">
        <v>916</v>
      </c>
      <c r="D291" t="s">
        <v>917</v>
      </c>
      <c r="E291" s="14">
        <v>923496387783</v>
      </c>
      <c r="F291" t="s">
        <v>49</v>
      </c>
      <c r="G291" t="s">
        <v>18</v>
      </c>
      <c r="H291" t="s">
        <v>59</v>
      </c>
      <c r="I291">
        <v>3</v>
      </c>
      <c r="J291">
        <v>7547</v>
      </c>
      <c r="K291">
        <v>22641</v>
      </c>
      <c r="L291" t="s">
        <v>68</v>
      </c>
      <c r="M291" t="s">
        <v>45</v>
      </c>
      <c r="N291" t="s">
        <v>28</v>
      </c>
    </row>
    <row r="292" spans="1:14" x14ac:dyDescent="0.25">
      <c r="A292" t="s">
        <v>918</v>
      </c>
      <c r="B292" s="1">
        <v>45949</v>
      </c>
      <c r="C292" t="s">
        <v>919</v>
      </c>
      <c r="D292" t="s">
        <v>920</v>
      </c>
      <c r="E292" s="14">
        <v>923426327625</v>
      </c>
      <c r="F292" t="s">
        <v>17</v>
      </c>
      <c r="G292" t="s">
        <v>18</v>
      </c>
      <c r="H292" t="s">
        <v>50</v>
      </c>
      <c r="I292">
        <v>3</v>
      </c>
      <c r="J292">
        <v>5594</v>
      </c>
      <c r="K292">
        <v>16782</v>
      </c>
      <c r="L292" t="s">
        <v>78</v>
      </c>
      <c r="M292" t="s">
        <v>34</v>
      </c>
      <c r="N292" t="s">
        <v>22</v>
      </c>
    </row>
    <row r="293" spans="1:14" x14ac:dyDescent="0.25">
      <c r="A293" t="s">
        <v>921</v>
      </c>
      <c r="B293" s="1">
        <v>45763</v>
      </c>
      <c r="C293" t="s">
        <v>922</v>
      </c>
      <c r="D293" t="s">
        <v>923</v>
      </c>
      <c r="E293" s="14">
        <v>923235605265</v>
      </c>
      <c r="F293" t="s">
        <v>106</v>
      </c>
      <c r="G293" t="s">
        <v>18</v>
      </c>
      <c r="H293" t="s">
        <v>39</v>
      </c>
      <c r="I293">
        <v>3</v>
      </c>
      <c r="J293">
        <v>6231</v>
      </c>
      <c r="K293">
        <v>18693</v>
      </c>
      <c r="L293" t="s">
        <v>20</v>
      </c>
      <c r="M293" t="s">
        <v>55</v>
      </c>
      <c r="N293" t="s">
        <v>35</v>
      </c>
    </row>
    <row r="294" spans="1:14" x14ac:dyDescent="0.25">
      <c r="A294" t="s">
        <v>924</v>
      </c>
      <c r="B294" s="1">
        <v>45852</v>
      </c>
      <c r="C294" t="s">
        <v>925</v>
      </c>
      <c r="D294" t="s">
        <v>926</v>
      </c>
      <c r="E294" s="14">
        <v>923423382050</v>
      </c>
      <c r="F294" t="s">
        <v>49</v>
      </c>
      <c r="G294" t="s">
        <v>18</v>
      </c>
      <c r="H294" t="s">
        <v>19</v>
      </c>
      <c r="I294">
        <v>3</v>
      </c>
      <c r="J294">
        <v>6311</v>
      </c>
      <c r="K294">
        <v>18933</v>
      </c>
      <c r="L294" t="s">
        <v>20</v>
      </c>
      <c r="M294" t="s">
        <v>82</v>
      </c>
      <c r="N294" t="s">
        <v>28</v>
      </c>
    </row>
    <row r="295" spans="1:14" x14ac:dyDescent="0.25">
      <c r="A295" t="s">
        <v>927</v>
      </c>
      <c r="B295" s="1">
        <v>45794</v>
      </c>
      <c r="C295" t="s">
        <v>928</v>
      </c>
      <c r="D295" t="s">
        <v>929</v>
      </c>
      <c r="E295" s="14">
        <v>923260874900</v>
      </c>
      <c r="F295" t="s">
        <v>54</v>
      </c>
      <c r="G295" t="s">
        <v>18</v>
      </c>
      <c r="H295" t="s">
        <v>73</v>
      </c>
      <c r="I295">
        <v>2</v>
      </c>
      <c r="J295">
        <v>4776</v>
      </c>
      <c r="K295">
        <v>9552</v>
      </c>
      <c r="L295" t="s">
        <v>26</v>
      </c>
      <c r="M295" t="s">
        <v>55</v>
      </c>
      <c r="N295" t="s">
        <v>22</v>
      </c>
    </row>
    <row r="296" spans="1:14" x14ac:dyDescent="0.25">
      <c r="A296" t="s">
        <v>930</v>
      </c>
      <c r="B296" s="1">
        <v>46070</v>
      </c>
      <c r="C296" t="s">
        <v>931</v>
      </c>
      <c r="D296" t="s">
        <v>932</v>
      </c>
      <c r="E296" s="14">
        <v>923026474317</v>
      </c>
      <c r="F296" t="s">
        <v>32</v>
      </c>
      <c r="G296" t="s">
        <v>18</v>
      </c>
      <c r="H296" t="s">
        <v>19</v>
      </c>
      <c r="I296">
        <v>1</v>
      </c>
      <c r="J296">
        <v>1374</v>
      </c>
      <c r="K296">
        <v>1374</v>
      </c>
      <c r="L296" t="s">
        <v>68</v>
      </c>
      <c r="M296" t="s">
        <v>93</v>
      </c>
      <c r="N296" t="s">
        <v>28</v>
      </c>
    </row>
    <row r="297" spans="1:14" x14ac:dyDescent="0.25">
      <c r="A297" t="s">
        <v>933</v>
      </c>
      <c r="B297" s="1">
        <v>45949</v>
      </c>
      <c r="C297" t="s">
        <v>934</v>
      </c>
      <c r="D297" t="s">
        <v>935</v>
      </c>
      <c r="E297" s="14">
        <v>923478355067</v>
      </c>
      <c r="F297" t="s">
        <v>92</v>
      </c>
      <c r="G297" t="s">
        <v>18</v>
      </c>
      <c r="H297" t="s">
        <v>73</v>
      </c>
      <c r="I297">
        <v>5</v>
      </c>
      <c r="J297">
        <v>5401</v>
      </c>
      <c r="K297">
        <v>27005</v>
      </c>
      <c r="L297" t="s">
        <v>78</v>
      </c>
      <c r="M297" t="s">
        <v>27</v>
      </c>
      <c r="N297" t="s">
        <v>35</v>
      </c>
    </row>
    <row r="298" spans="1:14" x14ac:dyDescent="0.25">
      <c r="A298" t="s">
        <v>936</v>
      </c>
      <c r="B298" s="1">
        <v>45958</v>
      </c>
      <c r="C298" t="s">
        <v>937</v>
      </c>
      <c r="D298" t="s">
        <v>938</v>
      </c>
      <c r="E298" s="14">
        <v>923002040625</v>
      </c>
      <c r="F298" t="s">
        <v>106</v>
      </c>
      <c r="G298" t="s">
        <v>18</v>
      </c>
      <c r="H298" t="s">
        <v>33</v>
      </c>
      <c r="I298">
        <v>1</v>
      </c>
      <c r="J298">
        <v>14580</v>
      </c>
      <c r="K298">
        <v>14580</v>
      </c>
      <c r="L298" t="s">
        <v>78</v>
      </c>
      <c r="M298" t="s">
        <v>21</v>
      </c>
      <c r="N298" t="s">
        <v>35</v>
      </c>
    </row>
    <row r="299" spans="1:14" x14ac:dyDescent="0.25">
      <c r="A299" t="s">
        <v>939</v>
      </c>
      <c r="B299" s="1">
        <v>45778</v>
      </c>
      <c r="C299" t="s">
        <v>940</v>
      </c>
      <c r="D299" t="s">
        <v>941</v>
      </c>
      <c r="E299" s="14">
        <v>923391884226</v>
      </c>
      <c r="F299" t="s">
        <v>54</v>
      </c>
      <c r="G299" t="s">
        <v>18</v>
      </c>
      <c r="H299" t="s">
        <v>33</v>
      </c>
      <c r="I299">
        <v>1</v>
      </c>
      <c r="J299">
        <v>1787</v>
      </c>
      <c r="K299">
        <v>1787</v>
      </c>
      <c r="L299" t="s">
        <v>63</v>
      </c>
      <c r="M299" t="s">
        <v>27</v>
      </c>
      <c r="N299" t="s">
        <v>28</v>
      </c>
    </row>
    <row r="300" spans="1:14" x14ac:dyDescent="0.25">
      <c r="A300" t="s">
        <v>942</v>
      </c>
      <c r="B300" s="1">
        <v>46050</v>
      </c>
      <c r="C300" t="s">
        <v>943</v>
      </c>
      <c r="D300" t="s">
        <v>944</v>
      </c>
      <c r="E300" s="14">
        <v>923256235936</v>
      </c>
      <c r="F300" t="s">
        <v>54</v>
      </c>
      <c r="G300" t="s">
        <v>18</v>
      </c>
      <c r="H300" t="s">
        <v>39</v>
      </c>
      <c r="I300">
        <v>3</v>
      </c>
      <c r="J300">
        <v>8763</v>
      </c>
      <c r="K300">
        <v>26289</v>
      </c>
      <c r="L300" t="s">
        <v>78</v>
      </c>
      <c r="M300" t="s">
        <v>55</v>
      </c>
      <c r="N300" t="s">
        <v>28</v>
      </c>
    </row>
    <row r="301" spans="1:14" x14ac:dyDescent="0.25">
      <c r="A301" t="s">
        <v>945</v>
      </c>
      <c r="B301" s="1">
        <v>45795</v>
      </c>
      <c r="C301" t="s">
        <v>946</v>
      </c>
      <c r="D301" t="s">
        <v>947</v>
      </c>
      <c r="E301" s="14">
        <v>923307168896</v>
      </c>
      <c r="F301" t="s">
        <v>32</v>
      </c>
      <c r="G301" t="s">
        <v>18</v>
      </c>
      <c r="H301" t="s">
        <v>19</v>
      </c>
      <c r="I301">
        <v>2</v>
      </c>
      <c r="J301">
        <v>6579</v>
      </c>
      <c r="K301">
        <v>13158</v>
      </c>
      <c r="L301" t="s">
        <v>78</v>
      </c>
      <c r="M301" t="s">
        <v>45</v>
      </c>
      <c r="N301" t="s">
        <v>22</v>
      </c>
    </row>
    <row r="302" spans="1:14" x14ac:dyDescent="0.25">
      <c r="A302" t="s">
        <v>948</v>
      </c>
      <c r="B302" s="1">
        <v>45967</v>
      </c>
      <c r="C302" t="s">
        <v>949</v>
      </c>
      <c r="D302" t="s">
        <v>950</v>
      </c>
      <c r="E302" s="14">
        <v>923184037893</v>
      </c>
      <c r="F302" t="s">
        <v>54</v>
      </c>
      <c r="G302" t="s">
        <v>18</v>
      </c>
      <c r="H302" t="s">
        <v>59</v>
      </c>
      <c r="I302">
        <v>1</v>
      </c>
      <c r="J302">
        <v>6667</v>
      </c>
      <c r="K302">
        <v>6667</v>
      </c>
      <c r="L302" t="s">
        <v>26</v>
      </c>
      <c r="M302" t="s">
        <v>93</v>
      </c>
      <c r="N302" t="s">
        <v>35</v>
      </c>
    </row>
    <row r="303" spans="1:14" x14ac:dyDescent="0.25">
      <c r="A303" t="s">
        <v>951</v>
      </c>
      <c r="B303" s="1">
        <v>45832</v>
      </c>
      <c r="C303" t="s">
        <v>952</v>
      </c>
      <c r="D303" t="s">
        <v>953</v>
      </c>
      <c r="E303" s="14">
        <v>923153140353</v>
      </c>
      <c r="F303" t="s">
        <v>49</v>
      </c>
      <c r="G303" t="s">
        <v>18</v>
      </c>
      <c r="H303" t="s">
        <v>73</v>
      </c>
      <c r="I303">
        <v>3</v>
      </c>
      <c r="J303">
        <v>13801</v>
      </c>
      <c r="K303">
        <v>41403</v>
      </c>
      <c r="L303" t="s">
        <v>20</v>
      </c>
      <c r="M303" t="s">
        <v>21</v>
      </c>
      <c r="N303" t="s">
        <v>22</v>
      </c>
    </row>
    <row r="304" spans="1:14" x14ac:dyDescent="0.25">
      <c r="A304" t="s">
        <v>954</v>
      </c>
      <c r="B304" s="1">
        <v>45993</v>
      </c>
      <c r="C304" t="s">
        <v>955</v>
      </c>
      <c r="D304" t="s">
        <v>956</v>
      </c>
      <c r="E304" s="14">
        <v>923167263409</v>
      </c>
      <c r="F304" t="s">
        <v>122</v>
      </c>
      <c r="G304" t="s">
        <v>18</v>
      </c>
      <c r="H304" t="s">
        <v>50</v>
      </c>
      <c r="I304">
        <v>3</v>
      </c>
      <c r="J304">
        <v>14306</v>
      </c>
      <c r="K304">
        <v>42918</v>
      </c>
      <c r="L304" t="s">
        <v>40</v>
      </c>
      <c r="M304" t="s">
        <v>55</v>
      </c>
      <c r="N304" t="s">
        <v>22</v>
      </c>
    </row>
    <row r="305" spans="1:14" x14ac:dyDescent="0.25">
      <c r="A305" t="s">
        <v>957</v>
      </c>
      <c r="B305" s="1">
        <v>45926</v>
      </c>
      <c r="C305" t="s">
        <v>958</v>
      </c>
      <c r="D305" t="s">
        <v>959</v>
      </c>
      <c r="E305" s="14">
        <v>923277535009</v>
      </c>
      <c r="F305" t="s">
        <v>67</v>
      </c>
      <c r="G305" t="s">
        <v>18</v>
      </c>
      <c r="H305" t="s">
        <v>50</v>
      </c>
      <c r="I305">
        <v>1</v>
      </c>
      <c r="J305">
        <v>1582</v>
      </c>
      <c r="K305">
        <v>1582</v>
      </c>
      <c r="L305" t="s">
        <v>20</v>
      </c>
      <c r="M305" t="s">
        <v>93</v>
      </c>
      <c r="N305" t="s">
        <v>69</v>
      </c>
    </row>
    <row r="306" spans="1:14" x14ac:dyDescent="0.25">
      <c r="A306" t="s">
        <v>960</v>
      </c>
      <c r="B306" s="1">
        <v>46037</v>
      </c>
      <c r="C306" t="s">
        <v>961</v>
      </c>
      <c r="D306" t="s">
        <v>962</v>
      </c>
      <c r="E306" s="14">
        <v>923307981098</v>
      </c>
      <c r="F306" t="s">
        <v>106</v>
      </c>
      <c r="G306" t="s">
        <v>18</v>
      </c>
      <c r="H306" t="s">
        <v>39</v>
      </c>
      <c r="I306">
        <v>5</v>
      </c>
      <c r="J306">
        <v>12134</v>
      </c>
      <c r="K306">
        <v>60670</v>
      </c>
      <c r="L306" t="s">
        <v>63</v>
      </c>
      <c r="M306" t="s">
        <v>82</v>
      </c>
      <c r="N306" t="s">
        <v>69</v>
      </c>
    </row>
    <row r="307" spans="1:14" x14ac:dyDescent="0.25">
      <c r="A307" t="s">
        <v>963</v>
      </c>
      <c r="B307" s="1">
        <v>45823</v>
      </c>
      <c r="C307" t="s">
        <v>964</v>
      </c>
      <c r="D307" t="s">
        <v>965</v>
      </c>
      <c r="E307" s="14">
        <v>923035438422</v>
      </c>
      <c r="F307" t="s">
        <v>44</v>
      </c>
      <c r="G307" t="s">
        <v>18</v>
      </c>
      <c r="H307" t="s">
        <v>33</v>
      </c>
      <c r="I307">
        <v>3</v>
      </c>
      <c r="J307">
        <v>2918</v>
      </c>
      <c r="K307">
        <v>8754</v>
      </c>
      <c r="L307" t="s">
        <v>78</v>
      </c>
      <c r="M307" t="s">
        <v>82</v>
      </c>
      <c r="N307" t="s">
        <v>69</v>
      </c>
    </row>
    <row r="308" spans="1:14" x14ac:dyDescent="0.25">
      <c r="A308" t="s">
        <v>966</v>
      </c>
      <c r="B308" s="1">
        <v>45847</v>
      </c>
      <c r="C308" t="s">
        <v>967</v>
      </c>
      <c r="D308" t="s">
        <v>968</v>
      </c>
      <c r="E308" s="14">
        <v>923118002509</v>
      </c>
      <c r="F308" t="s">
        <v>106</v>
      </c>
      <c r="G308" t="s">
        <v>18</v>
      </c>
      <c r="H308" t="s">
        <v>33</v>
      </c>
      <c r="I308">
        <v>3</v>
      </c>
      <c r="J308">
        <v>8143</v>
      </c>
      <c r="K308">
        <v>24429</v>
      </c>
      <c r="L308" t="s">
        <v>78</v>
      </c>
      <c r="M308" t="s">
        <v>135</v>
      </c>
      <c r="N308" t="s">
        <v>28</v>
      </c>
    </row>
    <row r="309" spans="1:14" x14ac:dyDescent="0.25">
      <c r="A309" t="s">
        <v>969</v>
      </c>
      <c r="B309" s="1">
        <v>45786</v>
      </c>
      <c r="C309" t="s">
        <v>970</v>
      </c>
      <c r="D309" t="s">
        <v>971</v>
      </c>
      <c r="E309" s="14">
        <v>923160562984</v>
      </c>
      <c r="F309" t="s">
        <v>54</v>
      </c>
      <c r="G309" t="s">
        <v>18</v>
      </c>
      <c r="H309" t="s">
        <v>39</v>
      </c>
      <c r="I309">
        <v>3</v>
      </c>
      <c r="J309">
        <v>10837</v>
      </c>
      <c r="K309">
        <v>32511</v>
      </c>
      <c r="L309" t="s">
        <v>63</v>
      </c>
      <c r="M309" t="s">
        <v>34</v>
      </c>
      <c r="N309" t="s">
        <v>28</v>
      </c>
    </row>
    <row r="310" spans="1:14" x14ac:dyDescent="0.25">
      <c r="A310" t="s">
        <v>972</v>
      </c>
      <c r="B310" s="1">
        <v>45751</v>
      </c>
      <c r="C310" t="s">
        <v>973</v>
      </c>
      <c r="D310" t="s">
        <v>974</v>
      </c>
      <c r="E310" s="14">
        <v>923248666497</v>
      </c>
      <c r="F310" t="s">
        <v>54</v>
      </c>
      <c r="G310" t="s">
        <v>18</v>
      </c>
      <c r="H310" t="s">
        <v>39</v>
      </c>
      <c r="I310">
        <v>5</v>
      </c>
      <c r="J310">
        <v>4816</v>
      </c>
      <c r="K310">
        <v>24080</v>
      </c>
      <c r="L310" t="s">
        <v>26</v>
      </c>
      <c r="M310" t="s">
        <v>135</v>
      </c>
      <c r="N310" t="s">
        <v>28</v>
      </c>
    </row>
    <row r="311" spans="1:14" x14ac:dyDescent="0.25">
      <c r="A311" t="s">
        <v>975</v>
      </c>
      <c r="B311" s="1">
        <v>45995</v>
      </c>
      <c r="C311" t="s">
        <v>976</v>
      </c>
      <c r="D311" t="s">
        <v>977</v>
      </c>
      <c r="E311" s="14">
        <v>923046891229</v>
      </c>
      <c r="F311" t="s">
        <v>44</v>
      </c>
      <c r="G311" t="s">
        <v>18</v>
      </c>
      <c r="H311" t="s">
        <v>39</v>
      </c>
      <c r="I311">
        <v>2</v>
      </c>
      <c r="J311">
        <v>9524</v>
      </c>
      <c r="K311">
        <v>19048</v>
      </c>
      <c r="L311" t="s">
        <v>26</v>
      </c>
      <c r="M311" t="s">
        <v>34</v>
      </c>
      <c r="N311" t="s">
        <v>28</v>
      </c>
    </row>
    <row r="312" spans="1:14" x14ac:dyDescent="0.25">
      <c r="A312" t="s">
        <v>978</v>
      </c>
      <c r="B312" s="1">
        <v>46068</v>
      </c>
      <c r="C312" t="s">
        <v>979</v>
      </c>
      <c r="D312" t="s">
        <v>980</v>
      </c>
      <c r="E312" s="14">
        <v>923291963900</v>
      </c>
      <c r="F312" t="s">
        <v>32</v>
      </c>
      <c r="G312" t="s">
        <v>18</v>
      </c>
      <c r="H312" t="s">
        <v>59</v>
      </c>
      <c r="I312">
        <v>5</v>
      </c>
      <c r="J312">
        <v>8607</v>
      </c>
      <c r="K312">
        <v>43035</v>
      </c>
      <c r="L312" t="s">
        <v>20</v>
      </c>
      <c r="M312" t="s">
        <v>82</v>
      </c>
      <c r="N312" t="s">
        <v>69</v>
      </c>
    </row>
    <row r="313" spans="1:14" x14ac:dyDescent="0.25">
      <c r="A313" t="s">
        <v>981</v>
      </c>
      <c r="B313" s="1">
        <v>46041</v>
      </c>
      <c r="C313" t="s">
        <v>982</v>
      </c>
      <c r="D313" t="s">
        <v>983</v>
      </c>
      <c r="E313" s="14">
        <v>923043077009</v>
      </c>
      <c r="F313" t="s">
        <v>67</v>
      </c>
      <c r="G313" t="s">
        <v>18</v>
      </c>
      <c r="H313" t="s">
        <v>19</v>
      </c>
      <c r="I313">
        <v>2</v>
      </c>
      <c r="J313">
        <v>7788</v>
      </c>
      <c r="K313">
        <v>15576</v>
      </c>
      <c r="L313" t="s">
        <v>20</v>
      </c>
      <c r="M313" t="s">
        <v>27</v>
      </c>
      <c r="N313" t="s">
        <v>69</v>
      </c>
    </row>
    <row r="314" spans="1:14" x14ac:dyDescent="0.25">
      <c r="A314" t="s">
        <v>984</v>
      </c>
      <c r="B314" s="1">
        <v>45965</v>
      </c>
      <c r="C314" t="s">
        <v>985</v>
      </c>
      <c r="D314" t="s">
        <v>986</v>
      </c>
      <c r="E314" s="14">
        <v>923237335058</v>
      </c>
      <c r="F314" t="s">
        <v>17</v>
      </c>
      <c r="G314" t="s">
        <v>18</v>
      </c>
      <c r="H314" t="s">
        <v>33</v>
      </c>
      <c r="I314">
        <v>3</v>
      </c>
      <c r="J314">
        <v>11927</v>
      </c>
      <c r="K314">
        <v>35781</v>
      </c>
      <c r="L314" t="s">
        <v>20</v>
      </c>
      <c r="M314" t="s">
        <v>45</v>
      </c>
      <c r="N314" t="s">
        <v>22</v>
      </c>
    </row>
    <row r="315" spans="1:14" x14ac:dyDescent="0.25">
      <c r="A315" t="s">
        <v>987</v>
      </c>
      <c r="B315" s="1">
        <v>45787</v>
      </c>
      <c r="C315" t="s">
        <v>988</v>
      </c>
      <c r="D315" t="s">
        <v>989</v>
      </c>
      <c r="E315" s="14">
        <v>923469044492</v>
      </c>
      <c r="F315" t="s">
        <v>67</v>
      </c>
      <c r="G315" t="s">
        <v>18</v>
      </c>
      <c r="H315" t="s">
        <v>39</v>
      </c>
      <c r="I315">
        <v>4</v>
      </c>
      <c r="J315">
        <v>7243</v>
      </c>
      <c r="K315">
        <v>28972</v>
      </c>
      <c r="L315" t="s">
        <v>78</v>
      </c>
      <c r="M315" t="s">
        <v>55</v>
      </c>
      <c r="N315" t="s">
        <v>28</v>
      </c>
    </row>
    <row r="316" spans="1:14" x14ac:dyDescent="0.25">
      <c r="A316" t="s">
        <v>990</v>
      </c>
      <c r="B316" s="1">
        <v>45954</v>
      </c>
      <c r="C316" t="s">
        <v>991</v>
      </c>
      <c r="D316" t="s">
        <v>992</v>
      </c>
      <c r="E316" s="14">
        <v>923261801166</v>
      </c>
      <c r="F316" t="s">
        <v>49</v>
      </c>
      <c r="G316" t="s">
        <v>18</v>
      </c>
      <c r="H316" t="s">
        <v>59</v>
      </c>
      <c r="I316">
        <v>4</v>
      </c>
      <c r="J316">
        <v>10186</v>
      </c>
      <c r="K316">
        <v>40744</v>
      </c>
      <c r="L316" t="s">
        <v>40</v>
      </c>
      <c r="M316" t="s">
        <v>45</v>
      </c>
      <c r="N316" t="s">
        <v>35</v>
      </c>
    </row>
    <row r="317" spans="1:14" x14ac:dyDescent="0.25">
      <c r="A317" t="s">
        <v>993</v>
      </c>
      <c r="B317" s="1">
        <v>46067</v>
      </c>
      <c r="C317" t="s">
        <v>994</v>
      </c>
      <c r="D317" t="s">
        <v>995</v>
      </c>
      <c r="E317" s="14">
        <v>923055845409</v>
      </c>
      <c r="F317" t="s">
        <v>67</v>
      </c>
      <c r="G317" t="s">
        <v>18</v>
      </c>
      <c r="H317" t="s">
        <v>19</v>
      </c>
      <c r="I317">
        <v>4</v>
      </c>
      <c r="J317">
        <v>2569</v>
      </c>
      <c r="K317">
        <v>10276</v>
      </c>
      <c r="L317" t="s">
        <v>20</v>
      </c>
      <c r="M317" t="s">
        <v>55</v>
      </c>
      <c r="N317" t="s">
        <v>35</v>
      </c>
    </row>
    <row r="318" spans="1:14" x14ac:dyDescent="0.25">
      <c r="A318" t="s">
        <v>996</v>
      </c>
      <c r="B318" s="1">
        <v>45820</v>
      </c>
      <c r="C318" t="s">
        <v>997</v>
      </c>
      <c r="D318" t="s">
        <v>998</v>
      </c>
      <c r="E318" s="14">
        <v>923079709477</v>
      </c>
      <c r="F318" t="s">
        <v>32</v>
      </c>
      <c r="G318" t="s">
        <v>18</v>
      </c>
      <c r="H318" t="s">
        <v>39</v>
      </c>
      <c r="I318">
        <v>2</v>
      </c>
      <c r="J318">
        <v>11932</v>
      </c>
      <c r="K318">
        <v>23864</v>
      </c>
      <c r="L318" t="s">
        <v>26</v>
      </c>
      <c r="M318" t="s">
        <v>135</v>
      </c>
      <c r="N318" t="s">
        <v>28</v>
      </c>
    </row>
    <row r="319" spans="1:14" x14ac:dyDescent="0.25">
      <c r="A319" t="s">
        <v>999</v>
      </c>
      <c r="B319" s="1">
        <v>45735</v>
      </c>
      <c r="C319" t="s">
        <v>1000</v>
      </c>
      <c r="D319" t="s">
        <v>1001</v>
      </c>
      <c r="E319" s="14">
        <v>923303204659</v>
      </c>
      <c r="F319" t="s">
        <v>17</v>
      </c>
      <c r="G319" t="s">
        <v>18</v>
      </c>
      <c r="H319" t="s">
        <v>59</v>
      </c>
      <c r="I319">
        <v>4</v>
      </c>
      <c r="J319">
        <v>12072</v>
      </c>
      <c r="K319">
        <v>48288</v>
      </c>
      <c r="L319" t="s">
        <v>26</v>
      </c>
      <c r="M319" t="s">
        <v>55</v>
      </c>
      <c r="N319" t="s">
        <v>22</v>
      </c>
    </row>
    <row r="320" spans="1:14" x14ac:dyDescent="0.25">
      <c r="A320" t="s">
        <v>1002</v>
      </c>
      <c r="B320" s="1">
        <v>45930</v>
      </c>
      <c r="C320" t="s">
        <v>1003</v>
      </c>
      <c r="D320" t="s">
        <v>1004</v>
      </c>
      <c r="E320" s="14">
        <v>923357571177</v>
      </c>
      <c r="F320" t="s">
        <v>122</v>
      </c>
      <c r="G320" t="s">
        <v>18</v>
      </c>
      <c r="H320" t="s">
        <v>39</v>
      </c>
      <c r="I320">
        <v>3</v>
      </c>
      <c r="J320">
        <v>11557</v>
      </c>
      <c r="K320">
        <v>34671</v>
      </c>
      <c r="L320" t="s">
        <v>40</v>
      </c>
      <c r="M320" t="s">
        <v>93</v>
      </c>
      <c r="N320" t="s">
        <v>22</v>
      </c>
    </row>
    <row r="321" spans="1:14" x14ac:dyDescent="0.25">
      <c r="A321" t="s">
        <v>1005</v>
      </c>
      <c r="B321" s="1">
        <v>45868</v>
      </c>
      <c r="C321" t="s">
        <v>1006</v>
      </c>
      <c r="D321" t="s">
        <v>1007</v>
      </c>
      <c r="E321" s="14">
        <v>923231619688</v>
      </c>
      <c r="F321" t="s">
        <v>54</v>
      </c>
      <c r="G321" t="s">
        <v>18</v>
      </c>
      <c r="H321" t="s">
        <v>73</v>
      </c>
      <c r="I321">
        <v>4</v>
      </c>
      <c r="J321">
        <v>10096</v>
      </c>
      <c r="K321">
        <v>40384</v>
      </c>
      <c r="L321" t="s">
        <v>20</v>
      </c>
      <c r="M321" t="s">
        <v>55</v>
      </c>
      <c r="N321" t="s">
        <v>69</v>
      </c>
    </row>
    <row r="322" spans="1:14" x14ac:dyDescent="0.25">
      <c r="A322" t="s">
        <v>1008</v>
      </c>
      <c r="B322" s="1">
        <v>45752</v>
      </c>
      <c r="C322" t="s">
        <v>1009</v>
      </c>
      <c r="D322" t="s">
        <v>1010</v>
      </c>
      <c r="E322" s="14">
        <v>923336126289</v>
      </c>
      <c r="F322" t="s">
        <v>49</v>
      </c>
      <c r="G322" t="s">
        <v>18</v>
      </c>
      <c r="H322" t="s">
        <v>73</v>
      </c>
      <c r="I322">
        <v>2</v>
      </c>
      <c r="J322">
        <v>5598</v>
      </c>
      <c r="K322">
        <v>11196</v>
      </c>
      <c r="L322" t="s">
        <v>26</v>
      </c>
      <c r="M322" t="s">
        <v>55</v>
      </c>
      <c r="N322" t="s">
        <v>22</v>
      </c>
    </row>
    <row r="323" spans="1:14" x14ac:dyDescent="0.25">
      <c r="A323" t="s">
        <v>1011</v>
      </c>
      <c r="B323" s="1">
        <v>45735</v>
      </c>
      <c r="C323" t="s">
        <v>1012</v>
      </c>
      <c r="D323" t="s">
        <v>1013</v>
      </c>
      <c r="E323" s="14">
        <v>923240758299</v>
      </c>
      <c r="F323" t="s">
        <v>32</v>
      </c>
      <c r="G323" t="s">
        <v>18</v>
      </c>
      <c r="H323" t="s">
        <v>33</v>
      </c>
      <c r="I323">
        <v>3</v>
      </c>
      <c r="J323">
        <v>4930</v>
      </c>
      <c r="K323">
        <v>14790</v>
      </c>
      <c r="L323" t="s">
        <v>68</v>
      </c>
      <c r="M323" t="s">
        <v>135</v>
      </c>
      <c r="N323" t="s">
        <v>22</v>
      </c>
    </row>
    <row r="324" spans="1:14" x14ac:dyDescent="0.25">
      <c r="A324" t="s">
        <v>1014</v>
      </c>
      <c r="B324" s="1">
        <v>45934</v>
      </c>
      <c r="C324" t="s">
        <v>1015</v>
      </c>
      <c r="D324" t="s">
        <v>1016</v>
      </c>
      <c r="E324" s="14">
        <v>923116488226</v>
      </c>
      <c r="F324" t="s">
        <v>77</v>
      </c>
      <c r="G324" t="s">
        <v>18</v>
      </c>
      <c r="H324" t="s">
        <v>39</v>
      </c>
      <c r="I324">
        <v>4</v>
      </c>
      <c r="J324">
        <v>9462</v>
      </c>
      <c r="K324">
        <v>37848</v>
      </c>
      <c r="L324" t="s">
        <v>63</v>
      </c>
      <c r="M324" t="s">
        <v>93</v>
      </c>
      <c r="N324" t="s">
        <v>28</v>
      </c>
    </row>
    <row r="325" spans="1:14" x14ac:dyDescent="0.25">
      <c r="A325" t="s">
        <v>1017</v>
      </c>
      <c r="B325" s="1">
        <v>45876</v>
      </c>
      <c r="C325" t="s">
        <v>1018</v>
      </c>
      <c r="D325" t="s">
        <v>1019</v>
      </c>
      <c r="E325" s="14">
        <v>923322973116</v>
      </c>
      <c r="F325" t="s">
        <v>32</v>
      </c>
      <c r="G325" t="s">
        <v>18</v>
      </c>
      <c r="H325" t="s">
        <v>19</v>
      </c>
      <c r="I325">
        <v>3</v>
      </c>
      <c r="J325">
        <v>3810</v>
      </c>
      <c r="K325">
        <v>11430</v>
      </c>
      <c r="L325" t="s">
        <v>26</v>
      </c>
      <c r="M325" t="s">
        <v>21</v>
      </c>
      <c r="N325" t="s">
        <v>35</v>
      </c>
    </row>
    <row r="326" spans="1:14" x14ac:dyDescent="0.25">
      <c r="A326" t="s">
        <v>1020</v>
      </c>
      <c r="B326" s="1">
        <v>45906</v>
      </c>
      <c r="C326" t="s">
        <v>1021</v>
      </c>
      <c r="D326" t="s">
        <v>1022</v>
      </c>
      <c r="E326" s="14">
        <v>923370843896</v>
      </c>
      <c r="F326" t="s">
        <v>54</v>
      </c>
      <c r="G326" t="s">
        <v>18</v>
      </c>
      <c r="H326" t="s">
        <v>33</v>
      </c>
      <c r="I326">
        <v>2</v>
      </c>
      <c r="J326">
        <v>4814</v>
      </c>
      <c r="K326">
        <v>9628</v>
      </c>
      <c r="L326" t="s">
        <v>20</v>
      </c>
      <c r="M326" t="s">
        <v>135</v>
      </c>
      <c r="N326" t="s">
        <v>22</v>
      </c>
    </row>
    <row r="327" spans="1:14" x14ac:dyDescent="0.25">
      <c r="A327" t="s">
        <v>1023</v>
      </c>
      <c r="B327" s="1">
        <v>45927</v>
      </c>
      <c r="C327" t="s">
        <v>1024</v>
      </c>
      <c r="D327" t="s">
        <v>1025</v>
      </c>
      <c r="E327" s="14">
        <v>923217710204</v>
      </c>
      <c r="F327" t="s">
        <v>44</v>
      </c>
      <c r="G327" t="s">
        <v>18</v>
      </c>
      <c r="H327" t="s">
        <v>39</v>
      </c>
      <c r="I327">
        <v>1</v>
      </c>
      <c r="J327">
        <v>14782</v>
      </c>
      <c r="K327">
        <v>14782</v>
      </c>
      <c r="L327" t="s">
        <v>26</v>
      </c>
      <c r="M327" t="s">
        <v>21</v>
      </c>
      <c r="N327" t="s">
        <v>35</v>
      </c>
    </row>
    <row r="328" spans="1:14" x14ac:dyDescent="0.25">
      <c r="A328" t="s">
        <v>1026</v>
      </c>
      <c r="B328" s="1">
        <v>45776</v>
      </c>
      <c r="C328" t="s">
        <v>1027</v>
      </c>
      <c r="D328" t="s">
        <v>1028</v>
      </c>
      <c r="E328" s="14">
        <v>923092654681</v>
      </c>
      <c r="F328" t="s">
        <v>17</v>
      </c>
      <c r="G328" t="s">
        <v>18</v>
      </c>
      <c r="H328" t="s">
        <v>33</v>
      </c>
      <c r="I328">
        <v>5</v>
      </c>
      <c r="J328">
        <v>10871</v>
      </c>
      <c r="K328">
        <v>54355</v>
      </c>
      <c r="L328" t="s">
        <v>26</v>
      </c>
      <c r="M328" t="s">
        <v>82</v>
      </c>
      <c r="N328" t="s">
        <v>22</v>
      </c>
    </row>
    <row r="329" spans="1:14" x14ac:dyDescent="0.25">
      <c r="A329" t="s">
        <v>1029</v>
      </c>
      <c r="B329" s="1">
        <v>45897</v>
      </c>
      <c r="C329" t="s">
        <v>1030</v>
      </c>
      <c r="D329" t="s">
        <v>1031</v>
      </c>
      <c r="E329" s="14">
        <v>923356270608</v>
      </c>
      <c r="F329" t="s">
        <v>54</v>
      </c>
      <c r="G329" t="s">
        <v>18</v>
      </c>
      <c r="H329" t="s">
        <v>50</v>
      </c>
      <c r="I329">
        <v>3</v>
      </c>
      <c r="J329">
        <v>1298</v>
      </c>
      <c r="K329">
        <v>3894</v>
      </c>
      <c r="L329" t="s">
        <v>20</v>
      </c>
      <c r="M329" t="s">
        <v>34</v>
      </c>
      <c r="N329" t="s">
        <v>22</v>
      </c>
    </row>
    <row r="330" spans="1:14" x14ac:dyDescent="0.25">
      <c r="A330" t="s">
        <v>1032</v>
      </c>
      <c r="B330" s="1">
        <v>45987</v>
      </c>
      <c r="C330" t="s">
        <v>1033</v>
      </c>
      <c r="D330" t="s">
        <v>1034</v>
      </c>
      <c r="E330" s="14">
        <v>923208310259</v>
      </c>
      <c r="F330" t="s">
        <v>44</v>
      </c>
      <c r="G330" t="s">
        <v>18</v>
      </c>
      <c r="H330" t="s">
        <v>73</v>
      </c>
      <c r="I330">
        <v>3</v>
      </c>
      <c r="J330">
        <v>2666</v>
      </c>
      <c r="K330">
        <v>7998</v>
      </c>
      <c r="L330" t="s">
        <v>63</v>
      </c>
      <c r="M330" t="s">
        <v>55</v>
      </c>
      <c r="N330" t="s">
        <v>35</v>
      </c>
    </row>
    <row r="331" spans="1:14" x14ac:dyDescent="0.25">
      <c r="A331" t="s">
        <v>1035</v>
      </c>
      <c r="B331" s="1">
        <v>45972</v>
      </c>
      <c r="C331" t="s">
        <v>1036</v>
      </c>
      <c r="D331" t="s">
        <v>1037</v>
      </c>
      <c r="E331" s="14">
        <v>923457439708</v>
      </c>
      <c r="F331" t="s">
        <v>92</v>
      </c>
      <c r="G331" t="s">
        <v>18</v>
      </c>
      <c r="H331" t="s">
        <v>19</v>
      </c>
      <c r="I331">
        <v>5</v>
      </c>
      <c r="J331">
        <v>6654</v>
      </c>
      <c r="K331">
        <v>33270</v>
      </c>
      <c r="L331" t="s">
        <v>26</v>
      </c>
      <c r="M331" t="s">
        <v>93</v>
      </c>
      <c r="N331" t="s">
        <v>69</v>
      </c>
    </row>
    <row r="332" spans="1:14" x14ac:dyDescent="0.25">
      <c r="A332" t="s">
        <v>1038</v>
      </c>
      <c r="B332" s="1">
        <v>45852</v>
      </c>
      <c r="C332" t="s">
        <v>1039</v>
      </c>
      <c r="D332" t="s">
        <v>1040</v>
      </c>
      <c r="E332" s="14">
        <v>923028062044</v>
      </c>
      <c r="F332" t="s">
        <v>44</v>
      </c>
      <c r="G332" t="s">
        <v>18</v>
      </c>
      <c r="H332" t="s">
        <v>50</v>
      </c>
      <c r="I332">
        <v>4</v>
      </c>
      <c r="J332">
        <v>1489</v>
      </c>
      <c r="K332">
        <v>5956</v>
      </c>
      <c r="L332" t="s">
        <v>20</v>
      </c>
      <c r="M332" t="s">
        <v>45</v>
      </c>
      <c r="N332" t="s">
        <v>28</v>
      </c>
    </row>
    <row r="333" spans="1:14" x14ac:dyDescent="0.25">
      <c r="A333" t="s">
        <v>1041</v>
      </c>
      <c r="B333" s="1">
        <v>46015</v>
      </c>
      <c r="C333" t="s">
        <v>1042</v>
      </c>
      <c r="D333" t="s">
        <v>1043</v>
      </c>
      <c r="E333" s="14">
        <v>923401245841</v>
      </c>
      <c r="F333" t="s">
        <v>44</v>
      </c>
      <c r="G333" t="s">
        <v>18</v>
      </c>
      <c r="H333" t="s">
        <v>50</v>
      </c>
      <c r="I333">
        <v>1</v>
      </c>
      <c r="J333">
        <v>1703</v>
      </c>
      <c r="K333">
        <v>1703</v>
      </c>
      <c r="L333" t="s">
        <v>63</v>
      </c>
      <c r="M333" t="s">
        <v>135</v>
      </c>
      <c r="N333" t="s">
        <v>35</v>
      </c>
    </row>
    <row r="334" spans="1:14" x14ac:dyDescent="0.25">
      <c r="A334" t="s">
        <v>1044</v>
      </c>
      <c r="B334" s="1">
        <v>46020</v>
      </c>
      <c r="C334" t="s">
        <v>1045</v>
      </c>
      <c r="D334" t="s">
        <v>1046</v>
      </c>
      <c r="E334" s="14">
        <v>923091233459</v>
      </c>
      <c r="F334" t="s">
        <v>106</v>
      </c>
      <c r="G334" t="s">
        <v>18</v>
      </c>
      <c r="H334" t="s">
        <v>59</v>
      </c>
      <c r="I334">
        <v>2</v>
      </c>
      <c r="J334">
        <v>4694</v>
      </c>
      <c r="K334">
        <v>9388</v>
      </c>
      <c r="L334" t="s">
        <v>40</v>
      </c>
      <c r="M334" t="s">
        <v>27</v>
      </c>
      <c r="N334" t="s">
        <v>35</v>
      </c>
    </row>
    <row r="335" spans="1:14" x14ac:dyDescent="0.25">
      <c r="A335" t="s">
        <v>1047</v>
      </c>
      <c r="B335" s="1">
        <v>46047</v>
      </c>
      <c r="C335" t="s">
        <v>1048</v>
      </c>
      <c r="D335" t="s">
        <v>1049</v>
      </c>
      <c r="E335" s="14">
        <v>923025111757</v>
      </c>
      <c r="F335" t="s">
        <v>106</v>
      </c>
      <c r="G335" t="s">
        <v>18</v>
      </c>
      <c r="H335" t="s">
        <v>73</v>
      </c>
      <c r="I335">
        <v>2</v>
      </c>
      <c r="J335">
        <v>2435</v>
      </c>
      <c r="K335">
        <v>4870</v>
      </c>
      <c r="L335" t="s">
        <v>40</v>
      </c>
      <c r="M335" t="s">
        <v>55</v>
      </c>
      <c r="N335" t="s">
        <v>35</v>
      </c>
    </row>
    <row r="336" spans="1:14" x14ac:dyDescent="0.25">
      <c r="A336" t="s">
        <v>1050</v>
      </c>
      <c r="B336" s="1">
        <v>45737</v>
      </c>
      <c r="C336" t="s">
        <v>1051</v>
      </c>
      <c r="D336" t="s">
        <v>1052</v>
      </c>
      <c r="E336" s="14">
        <v>923340925918</v>
      </c>
      <c r="F336" t="s">
        <v>77</v>
      </c>
      <c r="G336" t="s">
        <v>18</v>
      </c>
      <c r="H336" t="s">
        <v>19</v>
      </c>
      <c r="I336">
        <v>2</v>
      </c>
      <c r="J336">
        <v>1494</v>
      </c>
      <c r="K336">
        <v>2988</v>
      </c>
      <c r="L336" t="s">
        <v>63</v>
      </c>
      <c r="M336" t="s">
        <v>93</v>
      </c>
      <c r="N336" t="s">
        <v>22</v>
      </c>
    </row>
    <row r="337" spans="1:14" x14ac:dyDescent="0.25">
      <c r="A337" t="s">
        <v>1053</v>
      </c>
      <c r="B337" s="1">
        <v>46003</v>
      </c>
      <c r="C337" t="s">
        <v>1054</v>
      </c>
      <c r="D337" t="s">
        <v>1055</v>
      </c>
      <c r="E337" s="14">
        <v>923256807891</v>
      </c>
      <c r="F337" t="s">
        <v>44</v>
      </c>
      <c r="G337" t="s">
        <v>18</v>
      </c>
      <c r="H337" t="s">
        <v>73</v>
      </c>
      <c r="I337">
        <v>1</v>
      </c>
      <c r="J337">
        <v>3360</v>
      </c>
      <c r="K337">
        <v>3360</v>
      </c>
      <c r="L337" t="s">
        <v>63</v>
      </c>
      <c r="M337" t="s">
        <v>93</v>
      </c>
      <c r="N337" t="s">
        <v>35</v>
      </c>
    </row>
    <row r="338" spans="1:14" x14ac:dyDescent="0.25">
      <c r="A338" t="s">
        <v>1056</v>
      </c>
      <c r="B338" s="1">
        <v>45860</v>
      </c>
      <c r="C338" t="s">
        <v>1057</v>
      </c>
      <c r="D338" t="s">
        <v>1058</v>
      </c>
      <c r="E338" s="14">
        <v>923105139895</v>
      </c>
      <c r="F338" t="s">
        <v>17</v>
      </c>
      <c r="G338" t="s">
        <v>18</v>
      </c>
      <c r="H338" t="s">
        <v>33</v>
      </c>
      <c r="I338">
        <v>2</v>
      </c>
      <c r="J338">
        <v>1674</v>
      </c>
      <c r="K338">
        <v>3348</v>
      </c>
      <c r="L338" t="s">
        <v>40</v>
      </c>
      <c r="M338" t="s">
        <v>93</v>
      </c>
      <c r="N338" t="s">
        <v>28</v>
      </c>
    </row>
    <row r="339" spans="1:14" x14ac:dyDescent="0.25">
      <c r="A339" t="s">
        <v>1059</v>
      </c>
      <c r="B339" s="1">
        <v>45746</v>
      </c>
      <c r="C339" t="s">
        <v>1060</v>
      </c>
      <c r="D339" t="s">
        <v>1061</v>
      </c>
      <c r="E339" s="14">
        <v>923406925816</v>
      </c>
      <c r="F339" t="s">
        <v>32</v>
      </c>
      <c r="G339" t="s">
        <v>18</v>
      </c>
      <c r="H339" t="s">
        <v>50</v>
      </c>
      <c r="I339">
        <v>1</v>
      </c>
      <c r="J339">
        <v>14288</v>
      </c>
      <c r="K339">
        <v>14288</v>
      </c>
      <c r="L339" t="s">
        <v>63</v>
      </c>
      <c r="M339" t="s">
        <v>21</v>
      </c>
      <c r="N339" t="s">
        <v>69</v>
      </c>
    </row>
    <row r="340" spans="1:14" x14ac:dyDescent="0.25">
      <c r="A340" t="s">
        <v>1062</v>
      </c>
      <c r="B340" s="1">
        <v>45934</v>
      </c>
      <c r="C340" t="s">
        <v>1063</v>
      </c>
      <c r="D340" t="s">
        <v>1064</v>
      </c>
      <c r="E340" s="14">
        <v>923233758785</v>
      </c>
      <c r="F340" t="s">
        <v>106</v>
      </c>
      <c r="G340" t="s">
        <v>18</v>
      </c>
      <c r="H340" t="s">
        <v>33</v>
      </c>
      <c r="I340">
        <v>5</v>
      </c>
      <c r="J340">
        <v>2618</v>
      </c>
      <c r="K340">
        <v>13090</v>
      </c>
      <c r="L340" t="s">
        <v>68</v>
      </c>
      <c r="M340" t="s">
        <v>34</v>
      </c>
      <c r="N340" t="s">
        <v>69</v>
      </c>
    </row>
    <row r="341" spans="1:14" x14ac:dyDescent="0.25">
      <c r="A341" t="s">
        <v>1065</v>
      </c>
      <c r="B341" s="1">
        <v>46005</v>
      </c>
      <c r="C341" t="s">
        <v>1066</v>
      </c>
      <c r="D341" t="s">
        <v>1067</v>
      </c>
      <c r="E341" s="14">
        <v>923295713618</v>
      </c>
      <c r="F341" t="s">
        <v>17</v>
      </c>
      <c r="G341" t="s">
        <v>18</v>
      </c>
      <c r="H341" t="s">
        <v>19</v>
      </c>
      <c r="I341">
        <v>4</v>
      </c>
      <c r="J341">
        <v>9465</v>
      </c>
      <c r="K341">
        <v>37860</v>
      </c>
      <c r="L341" t="s">
        <v>68</v>
      </c>
      <c r="M341" t="s">
        <v>93</v>
      </c>
      <c r="N341" t="s">
        <v>69</v>
      </c>
    </row>
    <row r="342" spans="1:14" x14ac:dyDescent="0.25">
      <c r="A342" t="s">
        <v>1068</v>
      </c>
      <c r="B342" s="1">
        <v>46044</v>
      </c>
      <c r="C342" t="s">
        <v>1069</v>
      </c>
      <c r="D342" t="s">
        <v>1070</v>
      </c>
      <c r="E342" s="14">
        <v>923370549491</v>
      </c>
      <c r="F342" t="s">
        <v>92</v>
      </c>
      <c r="G342" t="s">
        <v>18</v>
      </c>
      <c r="H342" t="s">
        <v>19</v>
      </c>
      <c r="I342">
        <v>1</v>
      </c>
      <c r="J342">
        <v>3691</v>
      </c>
      <c r="K342">
        <v>3691</v>
      </c>
      <c r="L342" t="s">
        <v>26</v>
      </c>
      <c r="M342" t="s">
        <v>34</v>
      </c>
      <c r="N342" t="s">
        <v>35</v>
      </c>
    </row>
    <row r="343" spans="1:14" x14ac:dyDescent="0.25">
      <c r="A343" t="s">
        <v>1071</v>
      </c>
      <c r="B343" s="1">
        <v>45766</v>
      </c>
      <c r="C343" t="s">
        <v>1072</v>
      </c>
      <c r="D343" t="s">
        <v>1073</v>
      </c>
      <c r="E343" s="14">
        <v>923412890132</v>
      </c>
      <c r="F343" t="s">
        <v>92</v>
      </c>
      <c r="G343" t="s">
        <v>18</v>
      </c>
      <c r="H343" t="s">
        <v>33</v>
      </c>
      <c r="I343">
        <v>1</v>
      </c>
      <c r="J343">
        <v>12277</v>
      </c>
      <c r="K343">
        <v>12277</v>
      </c>
      <c r="L343" t="s">
        <v>63</v>
      </c>
      <c r="M343" t="s">
        <v>45</v>
      </c>
      <c r="N343" t="s">
        <v>28</v>
      </c>
    </row>
    <row r="344" spans="1:14" x14ac:dyDescent="0.25">
      <c r="A344" t="s">
        <v>1074</v>
      </c>
      <c r="B344" s="1">
        <v>46025</v>
      </c>
      <c r="C344" t="s">
        <v>1075</v>
      </c>
      <c r="D344" t="s">
        <v>1076</v>
      </c>
      <c r="E344" s="14">
        <v>923436194274</v>
      </c>
      <c r="F344" t="s">
        <v>49</v>
      </c>
      <c r="G344" t="s">
        <v>18</v>
      </c>
      <c r="H344" t="s">
        <v>50</v>
      </c>
      <c r="I344">
        <v>4</v>
      </c>
      <c r="J344">
        <v>13354</v>
      </c>
      <c r="K344">
        <v>53416</v>
      </c>
      <c r="L344" t="s">
        <v>26</v>
      </c>
      <c r="M344" t="s">
        <v>34</v>
      </c>
      <c r="N344" t="s">
        <v>35</v>
      </c>
    </row>
    <row r="345" spans="1:14" x14ac:dyDescent="0.25">
      <c r="A345" t="s">
        <v>1077</v>
      </c>
      <c r="B345" s="1">
        <v>45952</v>
      </c>
      <c r="C345" t="s">
        <v>1078</v>
      </c>
      <c r="D345" t="s">
        <v>1079</v>
      </c>
      <c r="E345" s="14">
        <v>923329072113</v>
      </c>
      <c r="F345" t="s">
        <v>67</v>
      </c>
      <c r="G345" t="s">
        <v>18</v>
      </c>
      <c r="H345" t="s">
        <v>39</v>
      </c>
      <c r="I345">
        <v>1</v>
      </c>
      <c r="J345">
        <v>3091</v>
      </c>
      <c r="K345">
        <v>3091</v>
      </c>
      <c r="L345" t="s">
        <v>68</v>
      </c>
      <c r="M345" t="s">
        <v>27</v>
      </c>
      <c r="N345" t="s">
        <v>28</v>
      </c>
    </row>
    <row r="346" spans="1:14" x14ac:dyDescent="0.25">
      <c r="A346" t="s">
        <v>1080</v>
      </c>
      <c r="B346" s="1">
        <v>45825</v>
      </c>
      <c r="C346" t="s">
        <v>1081</v>
      </c>
      <c r="D346" t="s">
        <v>1082</v>
      </c>
      <c r="E346" s="14">
        <v>923074152735</v>
      </c>
      <c r="F346" t="s">
        <v>49</v>
      </c>
      <c r="G346" t="s">
        <v>18</v>
      </c>
      <c r="H346" t="s">
        <v>59</v>
      </c>
      <c r="I346">
        <v>1</v>
      </c>
      <c r="J346">
        <v>5673</v>
      </c>
      <c r="K346">
        <v>5673</v>
      </c>
      <c r="L346" t="s">
        <v>68</v>
      </c>
      <c r="M346" t="s">
        <v>135</v>
      </c>
      <c r="N346" t="s">
        <v>22</v>
      </c>
    </row>
    <row r="347" spans="1:14" x14ac:dyDescent="0.25">
      <c r="A347" t="s">
        <v>1083</v>
      </c>
      <c r="B347" s="1">
        <v>45955</v>
      </c>
      <c r="C347" t="s">
        <v>1084</v>
      </c>
      <c r="D347" t="s">
        <v>1085</v>
      </c>
      <c r="E347" s="14">
        <v>923219766617</v>
      </c>
      <c r="F347" t="s">
        <v>122</v>
      </c>
      <c r="G347" t="s">
        <v>18</v>
      </c>
      <c r="H347" t="s">
        <v>50</v>
      </c>
      <c r="I347">
        <v>3</v>
      </c>
      <c r="J347">
        <v>9030</v>
      </c>
      <c r="K347">
        <v>27090</v>
      </c>
      <c r="L347" t="s">
        <v>26</v>
      </c>
      <c r="M347" t="s">
        <v>34</v>
      </c>
      <c r="N347" t="s">
        <v>22</v>
      </c>
    </row>
    <row r="348" spans="1:14" x14ac:dyDescent="0.25">
      <c r="A348" t="s">
        <v>1086</v>
      </c>
      <c r="B348" s="1">
        <v>45747</v>
      </c>
      <c r="C348" t="s">
        <v>1087</v>
      </c>
      <c r="D348" t="s">
        <v>1088</v>
      </c>
      <c r="E348" s="14">
        <v>923036956400</v>
      </c>
      <c r="F348" t="s">
        <v>67</v>
      </c>
      <c r="G348" t="s">
        <v>18</v>
      </c>
      <c r="H348" t="s">
        <v>19</v>
      </c>
      <c r="I348">
        <v>5</v>
      </c>
      <c r="J348">
        <v>8399</v>
      </c>
      <c r="K348">
        <v>41995</v>
      </c>
      <c r="L348" t="s">
        <v>63</v>
      </c>
      <c r="M348" t="s">
        <v>34</v>
      </c>
      <c r="N348" t="s">
        <v>22</v>
      </c>
    </row>
    <row r="349" spans="1:14" x14ac:dyDescent="0.25">
      <c r="A349" t="s">
        <v>1089</v>
      </c>
      <c r="B349" s="1">
        <v>46011</v>
      </c>
      <c r="C349" t="s">
        <v>1090</v>
      </c>
      <c r="D349" t="s">
        <v>1091</v>
      </c>
      <c r="E349" s="14">
        <v>923371757470</v>
      </c>
      <c r="F349" t="s">
        <v>32</v>
      </c>
      <c r="G349" t="s">
        <v>18</v>
      </c>
      <c r="H349" t="s">
        <v>73</v>
      </c>
      <c r="I349">
        <v>3</v>
      </c>
      <c r="J349">
        <v>3232</v>
      </c>
      <c r="K349">
        <v>9696</v>
      </c>
      <c r="L349" t="s">
        <v>40</v>
      </c>
      <c r="M349" t="s">
        <v>93</v>
      </c>
      <c r="N349" t="s">
        <v>69</v>
      </c>
    </row>
    <row r="350" spans="1:14" x14ac:dyDescent="0.25">
      <c r="A350" t="s">
        <v>1092</v>
      </c>
      <c r="B350" s="1">
        <v>45858</v>
      </c>
      <c r="C350" t="s">
        <v>1093</v>
      </c>
      <c r="D350" t="s">
        <v>1094</v>
      </c>
      <c r="E350" s="14">
        <v>923461483436</v>
      </c>
      <c r="F350" t="s">
        <v>44</v>
      </c>
      <c r="G350" t="s">
        <v>18</v>
      </c>
      <c r="H350" t="s">
        <v>19</v>
      </c>
      <c r="I350">
        <v>5</v>
      </c>
      <c r="J350">
        <v>8813</v>
      </c>
      <c r="K350">
        <v>44065</v>
      </c>
      <c r="L350" t="s">
        <v>78</v>
      </c>
      <c r="M350" t="s">
        <v>82</v>
      </c>
      <c r="N350" t="s">
        <v>28</v>
      </c>
    </row>
    <row r="351" spans="1:14" x14ac:dyDescent="0.25">
      <c r="A351" t="s">
        <v>1095</v>
      </c>
      <c r="B351" s="1">
        <v>46035</v>
      </c>
      <c r="C351" t="s">
        <v>1096</v>
      </c>
      <c r="D351" t="s">
        <v>1097</v>
      </c>
      <c r="E351" s="14">
        <v>923322983100</v>
      </c>
      <c r="F351" t="s">
        <v>32</v>
      </c>
      <c r="G351" t="s">
        <v>18</v>
      </c>
      <c r="H351" t="s">
        <v>19</v>
      </c>
      <c r="I351">
        <v>1</v>
      </c>
      <c r="J351">
        <v>13786</v>
      </c>
      <c r="K351">
        <v>13786</v>
      </c>
      <c r="L351" t="s">
        <v>20</v>
      </c>
      <c r="M351" t="s">
        <v>135</v>
      </c>
      <c r="N351" t="s">
        <v>22</v>
      </c>
    </row>
    <row r="352" spans="1:14" x14ac:dyDescent="0.25">
      <c r="A352" t="s">
        <v>1098</v>
      </c>
      <c r="B352" s="1">
        <v>45903</v>
      </c>
      <c r="C352" t="s">
        <v>1099</v>
      </c>
      <c r="D352" t="s">
        <v>1100</v>
      </c>
      <c r="E352" s="14">
        <v>923435922325</v>
      </c>
      <c r="F352" t="s">
        <v>17</v>
      </c>
      <c r="G352" t="s">
        <v>18</v>
      </c>
      <c r="H352" t="s">
        <v>33</v>
      </c>
      <c r="I352">
        <v>4</v>
      </c>
      <c r="J352">
        <v>6383</v>
      </c>
      <c r="K352">
        <v>25532</v>
      </c>
      <c r="L352" t="s">
        <v>78</v>
      </c>
      <c r="M352" t="s">
        <v>82</v>
      </c>
      <c r="N352" t="s">
        <v>35</v>
      </c>
    </row>
    <row r="353" spans="1:14" x14ac:dyDescent="0.25">
      <c r="A353" t="s">
        <v>1101</v>
      </c>
      <c r="B353" s="1">
        <v>46063</v>
      </c>
      <c r="C353" t="s">
        <v>1102</v>
      </c>
      <c r="D353" t="s">
        <v>1103</v>
      </c>
      <c r="E353" s="14">
        <v>923087248217</v>
      </c>
      <c r="F353" t="s">
        <v>106</v>
      </c>
      <c r="G353" t="s">
        <v>18</v>
      </c>
      <c r="H353" t="s">
        <v>50</v>
      </c>
      <c r="I353">
        <v>5</v>
      </c>
      <c r="J353">
        <v>6309</v>
      </c>
      <c r="K353">
        <v>31545</v>
      </c>
      <c r="L353" t="s">
        <v>20</v>
      </c>
      <c r="M353" t="s">
        <v>82</v>
      </c>
      <c r="N353" t="s">
        <v>28</v>
      </c>
    </row>
    <row r="354" spans="1:14" x14ac:dyDescent="0.25">
      <c r="A354" t="s">
        <v>1104</v>
      </c>
      <c r="B354" s="1">
        <v>46048</v>
      </c>
      <c r="C354" t="s">
        <v>1105</v>
      </c>
      <c r="D354" t="s">
        <v>1106</v>
      </c>
      <c r="E354" s="14">
        <v>923194635195</v>
      </c>
      <c r="F354" t="s">
        <v>17</v>
      </c>
      <c r="G354" t="s">
        <v>18</v>
      </c>
      <c r="H354" t="s">
        <v>33</v>
      </c>
      <c r="I354">
        <v>5</v>
      </c>
      <c r="J354">
        <v>7179</v>
      </c>
      <c r="K354">
        <v>35895</v>
      </c>
      <c r="L354" t="s">
        <v>68</v>
      </c>
      <c r="M354" t="s">
        <v>27</v>
      </c>
      <c r="N354" t="s">
        <v>28</v>
      </c>
    </row>
    <row r="355" spans="1:14" x14ac:dyDescent="0.25">
      <c r="A355" t="s">
        <v>1107</v>
      </c>
      <c r="B355" s="1">
        <v>45801</v>
      </c>
      <c r="C355" t="s">
        <v>1108</v>
      </c>
      <c r="D355" t="s">
        <v>1109</v>
      </c>
      <c r="E355" s="14">
        <v>923206694427</v>
      </c>
      <c r="F355" t="s">
        <v>17</v>
      </c>
      <c r="G355" t="s">
        <v>18</v>
      </c>
      <c r="H355" t="s">
        <v>73</v>
      </c>
      <c r="I355">
        <v>2</v>
      </c>
      <c r="J355">
        <v>11091</v>
      </c>
      <c r="K355">
        <v>22182</v>
      </c>
      <c r="L355" t="s">
        <v>20</v>
      </c>
      <c r="M355" t="s">
        <v>55</v>
      </c>
      <c r="N355" t="s">
        <v>28</v>
      </c>
    </row>
    <row r="356" spans="1:14" x14ac:dyDescent="0.25">
      <c r="A356" t="s">
        <v>1110</v>
      </c>
      <c r="B356" s="1">
        <v>45764</v>
      </c>
      <c r="C356" t="s">
        <v>1111</v>
      </c>
      <c r="D356" t="s">
        <v>1112</v>
      </c>
      <c r="E356" s="14">
        <v>923041156952</v>
      </c>
      <c r="F356" t="s">
        <v>67</v>
      </c>
      <c r="G356" t="s">
        <v>18</v>
      </c>
      <c r="H356" t="s">
        <v>59</v>
      </c>
      <c r="I356">
        <v>2</v>
      </c>
      <c r="J356">
        <v>6595</v>
      </c>
      <c r="K356">
        <v>13190</v>
      </c>
      <c r="L356" t="s">
        <v>40</v>
      </c>
      <c r="M356" t="s">
        <v>45</v>
      </c>
      <c r="N356" t="s">
        <v>28</v>
      </c>
    </row>
    <row r="357" spans="1:14" x14ac:dyDescent="0.25">
      <c r="A357" t="s">
        <v>1113</v>
      </c>
      <c r="B357" s="1">
        <v>45965</v>
      </c>
      <c r="C357" t="s">
        <v>1114</v>
      </c>
      <c r="D357" t="s">
        <v>1115</v>
      </c>
      <c r="E357" s="14">
        <v>923065626690</v>
      </c>
      <c r="F357" t="s">
        <v>32</v>
      </c>
      <c r="G357" t="s">
        <v>18</v>
      </c>
      <c r="H357" t="s">
        <v>19</v>
      </c>
      <c r="I357">
        <v>1</v>
      </c>
      <c r="J357">
        <v>8517</v>
      </c>
      <c r="K357">
        <v>8517</v>
      </c>
      <c r="L357" t="s">
        <v>26</v>
      </c>
      <c r="M357" t="s">
        <v>21</v>
      </c>
      <c r="N357" t="s">
        <v>22</v>
      </c>
    </row>
    <row r="358" spans="1:14" x14ac:dyDescent="0.25">
      <c r="A358" t="s">
        <v>1116</v>
      </c>
      <c r="B358" s="1">
        <v>45913</v>
      </c>
      <c r="C358" t="s">
        <v>1117</v>
      </c>
      <c r="D358" t="s">
        <v>1118</v>
      </c>
      <c r="E358" s="14">
        <v>923021898749</v>
      </c>
      <c r="F358" t="s">
        <v>17</v>
      </c>
      <c r="G358" t="s">
        <v>18</v>
      </c>
      <c r="H358" t="s">
        <v>73</v>
      </c>
      <c r="I358">
        <v>1</v>
      </c>
      <c r="J358">
        <v>8448</v>
      </c>
      <c r="K358">
        <v>8448</v>
      </c>
      <c r="L358" t="s">
        <v>40</v>
      </c>
      <c r="M358" t="s">
        <v>21</v>
      </c>
      <c r="N358" t="s">
        <v>69</v>
      </c>
    </row>
    <row r="359" spans="1:14" x14ac:dyDescent="0.25">
      <c r="A359" t="s">
        <v>1119</v>
      </c>
      <c r="B359" s="1">
        <v>45749</v>
      </c>
      <c r="C359" t="s">
        <v>1120</v>
      </c>
      <c r="D359" t="s">
        <v>1121</v>
      </c>
      <c r="E359" s="14">
        <v>923075798576</v>
      </c>
      <c r="F359" t="s">
        <v>32</v>
      </c>
      <c r="G359" t="s">
        <v>18</v>
      </c>
      <c r="H359" t="s">
        <v>59</v>
      </c>
      <c r="I359">
        <v>2</v>
      </c>
      <c r="J359">
        <v>9563</v>
      </c>
      <c r="K359">
        <v>19126</v>
      </c>
      <c r="L359" t="s">
        <v>20</v>
      </c>
      <c r="M359" t="s">
        <v>34</v>
      </c>
      <c r="N359" t="s">
        <v>35</v>
      </c>
    </row>
    <row r="360" spans="1:14" x14ac:dyDescent="0.25">
      <c r="A360" t="s">
        <v>1122</v>
      </c>
      <c r="B360" s="1">
        <v>45714</v>
      </c>
      <c r="C360" t="s">
        <v>1123</v>
      </c>
      <c r="D360" t="s">
        <v>1124</v>
      </c>
      <c r="E360" s="14">
        <v>923267175150</v>
      </c>
      <c r="F360" t="s">
        <v>106</v>
      </c>
      <c r="G360" t="s">
        <v>18</v>
      </c>
      <c r="H360" t="s">
        <v>19</v>
      </c>
      <c r="I360">
        <v>2</v>
      </c>
      <c r="J360">
        <v>3787</v>
      </c>
      <c r="K360">
        <v>7574</v>
      </c>
      <c r="L360" t="s">
        <v>40</v>
      </c>
      <c r="M360" t="s">
        <v>21</v>
      </c>
      <c r="N360" t="s">
        <v>69</v>
      </c>
    </row>
    <row r="361" spans="1:14" x14ac:dyDescent="0.25">
      <c r="A361" t="s">
        <v>1125</v>
      </c>
      <c r="B361" s="1">
        <v>45754</v>
      </c>
      <c r="C361" t="s">
        <v>1126</v>
      </c>
      <c r="D361" t="s">
        <v>1127</v>
      </c>
      <c r="E361" s="14">
        <v>923347502676</v>
      </c>
      <c r="F361" t="s">
        <v>92</v>
      </c>
      <c r="G361" t="s">
        <v>18</v>
      </c>
      <c r="H361" t="s">
        <v>33</v>
      </c>
      <c r="I361">
        <v>5</v>
      </c>
      <c r="J361">
        <v>9847</v>
      </c>
      <c r="K361">
        <v>49235</v>
      </c>
      <c r="L361" t="s">
        <v>20</v>
      </c>
      <c r="M361" t="s">
        <v>93</v>
      </c>
      <c r="N361" t="s">
        <v>22</v>
      </c>
    </row>
    <row r="362" spans="1:14" x14ac:dyDescent="0.25">
      <c r="A362" t="s">
        <v>1128</v>
      </c>
      <c r="B362" s="1">
        <v>45920</v>
      </c>
      <c r="C362" t="s">
        <v>1129</v>
      </c>
      <c r="D362" t="s">
        <v>1130</v>
      </c>
      <c r="E362" s="14">
        <v>923156442088</v>
      </c>
      <c r="F362" t="s">
        <v>17</v>
      </c>
      <c r="G362" t="s">
        <v>18</v>
      </c>
      <c r="H362" t="s">
        <v>19</v>
      </c>
      <c r="I362">
        <v>1</v>
      </c>
      <c r="J362">
        <v>8672</v>
      </c>
      <c r="K362">
        <v>8672</v>
      </c>
      <c r="L362" t="s">
        <v>20</v>
      </c>
      <c r="M362" t="s">
        <v>21</v>
      </c>
      <c r="N362" t="s">
        <v>35</v>
      </c>
    </row>
    <row r="363" spans="1:14" x14ac:dyDescent="0.25">
      <c r="A363" t="s">
        <v>1131</v>
      </c>
      <c r="B363" s="1">
        <v>45868</v>
      </c>
      <c r="C363" t="s">
        <v>1132</v>
      </c>
      <c r="D363" t="s">
        <v>1133</v>
      </c>
      <c r="E363" s="14">
        <v>923273479656</v>
      </c>
      <c r="F363" t="s">
        <v>44</v>
      </c>
      <c r="G363" t="s">
        <v>18</v>
      </c>
      <c r="H363" t="s">
        <v>19</v>
      </c>
      <c r="I363">
        <v>4</v>
      </c>
      <c r="J363">
        <v>12330</v>
      </c>
      <c r="K363">
        <v>49320</v>
      </c>
      <c r="L363" t="s">
        <v>20</v>
      </c>
      <c r="M363" t="s">
        <v>135</v>
      </c>
      <c r="N363" t="s">
        <v>22</v>
      </c>
    </row>
    <row r="364" spans="1:14" x14ac:dyDescent="0.25">
      <c r="A364" t="s">
        <v>1134</v>
      </c>
      <c r="B364" s="1">
        <v>45977</v>
      </c>
      <c r="C364" t="s">
        <v>1135</v>
      </c>
      <c r="D364" t="s">
        <v>1136</v>
      </c>
      <c r="E364" s="14">
        <v>923120884387</v>
      </c>
      <c r="F364" t="s">
        <v>67</v>
      </c>
      <c r="G364" t="s">
        <v>18</v>
      </c>
      <c r="H364" t="s">
        <v>73</v>
      </c>
      <c r="I364">
        <v>2</v>
      </c>
      <c r="J364">
        <v>10895</v>
      </c>
      <c r="K364">
        <v>21790</v>
      </c>
      <c r="L364" t="s">
        <v>20</v>
      </c>
      <c r="M364" t="s">
        <v>21</v>
      </c>
      <c r="N364" t="s">
        <v>28</v>
      </c>
    </row>
    <row r="365" spans="1:14" x14ac:dyDescent="0.25">
      <c r="A365" t="s">
        <v>1137</v>
      </c>
      <c r="B365" s="1">
        <v>45966</v>
      </c>
      <c r="C365" t="s">
        <v>1138</v>
      </c>
      <c r="D365" t="s">
        <v>1139</v>
      </c>
      <c r="E365" s="14">
        <v>923054273632</v>
      </c>
      <c r="F365" t="s">
        <v>49</v>
      </c>
      <c r="G365" t="s">
        <v>18</v>
      </c>
      <c r="H365" t="s">
        <v>73</v>
      </c>
      <c r="I365">
        <v>3</v>
      </c>
      <c r="J365">
        <v>13874</v>
      </c>
      <c r="K365">
        <v>41622</v>
      </c>
      <c r="L365" t="s">
        <v>20</v>
      </c>
      <c r="M365" t="s">
        <v>34</v>
      </c>
      <c r="N365" t="s">
        <v>22</v>
      </c>
    </row>
    <row r="366" spans="1:14" x14ac:dyDescent="0.25">
      <c r="A366" t="s">
        <v>1140</v>
      </c>
      <c r="B366" s="1">
        <v>45927</v>
      </c>
      <c r="C366" t="s">
        <v>1141</v>
      </c>
      <c r="D366" t="s">
        <v>1142</v>
      </c>
      <c r="E366" s="14">
        <v>923283496262</v>
      </c>
      <c r="F366" t="s">
        <v>106</v>
      </c>
      <c r="G366" t="s">
        <v>18</v>
      </c>
      <c r="H366" t="s">
        <v>39</v>
      </c>
      <c r="I366">
        <v>2</v>
      </c>
      <c r="J366">
        <v>7961</v>
      </c>
      <c r="K366">
        <v>15922</v>
      </c>
      <c r="L366" t="s">
        <v>40</v>
      </c>
      <c r="M366" t="s">
        <v>45</v>
      </c>
      <c r="N366" t="s">
        <v>69</v>
      </c>
    </row>
    <row r="367" spans="1:14" x14ac:dyDescent="0.25">
      <c r="A367" t="s">
        <v>1143</v>
      </c>
      <c r="B367" s="1">
        <v>45779</v>
      </c>
      <c r="C367" t="s">
        <v>1144</v>
      </c>
      <c r="D367" t="s">
        <v>1145</v>
      </c>
      <c r="E367" s="14">
        <v>923242227484</v>
      </c>
      <c r="F367" t="s">
        <v>92</v>
      </c>
      <c r="G367" t="s">
        <v>18</v>
      </c>
      <c r="H367" t="s">
        <v>39</v>
      </c>
      <c r="I367">
        <v>4</v>
      </c>
      <c r="J367">
        <v>4554</v>
      </c>
      <c r="K367">
        <v>18216</v>
      </c>
      <c r="L367" t="s">
        <v>68</v>
      </c>
      <c r="M367" t="s">
        <v>21</v>
      </c>
      <c r="N367" t="s">
        <v>69</v>
      </c>
    </row>
    <row r="368" spans="1:14" x14ac:dyDescent="0.25">
      <c r="A368" t="s">
        <v>1146</v>
      </c>
      <c r="B368" s="1">
        <v>45716</v>
      </c>
      <c r="C368" t="s">
        <v>1147</v>
      </c>
      <c r="D368" t="s">
        <v>1148</v>
      </c>
      <c r="E368" s="14">
        <v>923274069834</v>
      </c>
      <c r="F368" t="s">
        <v>49</v>
      </c>
      <c r="G368" t="s">
        <v>18</v>
      </c>
      <c r="H368" t="s">
        <v>19</v>
      </c>
      <c r="I368">
        <v>5</v>
      </c>
      <c r="J368">
        <v>10732</v>
      </c>
      <c r="K368">
        <v>53660</v>
      </c>
      <c r="L368" t="s">
        <v>78</v>
      </c>
      <c r="M368" t="s">
        <v>135</v>
      </c>
      <c r="N368" t="s">
        <v>28</v>
      </c>
    </row>
    <row r="369" spans="1:14" x14ac:dyDescent="0.25">
      <c r="A369" t="s">
        <v>1149</v>
      </c>
      <c r="B369" s="1">
        <v>45739</v>
      </c>
      <c r="C369" t="s">
        <v>1150</v>
      </c>
      <c r="D369" t="s">
        <v>1151</v>
      </c>
      <c r="E369" s="14">
        <v>923444944477</v>
      </c>
      <c r="F369" t="s">
        <v>77</v>
      </c>
      <c r="G369" t="s">
        <v>18</v>
      </c>
      <c r="H369" t="s">
        <v>19</v>
      </c>
      <c r="I369">
        <v>1</v>
      </c>
      <c r="J369">
        <v>9872</v>
      </c>
      <c r="K369">
        <v>9872</v>
      </c>
      <c r="L369" t="s">
        <v>40</v>
      </c>
      <c r="M369" t="s">
        <v>27</v>
      </c>
      <c r="N369" t="s">
        <v>22</v>
      </c>
    </row>
    <row r="370" spans="1:14" x14ac:dyDescent="0.25">
      <c r="A370" t="s">
        <v>1152</v>
      </c>
      <c r="B370" s="1">
        <v>46069</v>
      </c>
      <c r="C370" t="s">
        <v>1153</v>
      </c>
      <c r="D370" t="s">
        <v>1154</v>
      </c>
      <c r="E370" s="14">
        <v>923489077343</v>
      </c>
      <c r="F370" t="s">
        <v>54</v>
      </c>
      <c r="G370" t="s">
        <v>18</v>
      </c>
      <c r="H370" t="s">
        <v>59</v>
      </c>
      <c r="I370">
        <v>4</v>
      </c>
      <c r="J370">
        <v>8763</v>
      </c>
      <c r="K370">
        <v>35052</v>
      </c>
      <c r="L370" t="s">
        <v>78</v>
      </c>
      <c r="M370" t="s">
        <v>45</v>
      </c>
      <c r="N370" t="s">
        <v>69</v>
      </c>
    </row>
    <row r="371" spans="1:14" x14ac:dyDescent="0.25">
      <c r="A371" t="s">
        <v>1155</v>
      </c>
      <c r="B371" s="1">
        <v>45726</v>
      </c>
      <c r="C371" t="s">
        <v>1156</v>
      </c>
      <c r="D371" t="s">
        <v>1157</v>
      </c>
      <c r="E371" s="14">
        <v>923301788838</v>
      </c>
      <c r="F371" t="s">
        <v>106</v>
      </c>
      <c r="G371" t="s">
        <v>18</v>
      </c>
      <c r="H371" t="s">
        <v>73</v>
      </c>
      <c r="I371">
        <v>4</v>
      </c>
      <c r="J371">
        <v>10491</v>
      </c>
      <c r="K371">
        <v>41964</v>
      </c>
      <c r="L371" t="s">
        <v>40</v>
      </c>
      <c r="M371" t="s">
        <v>21</v>
      </c>
      <c r="N371" t="s">
        <v>69</v>
      </c>
    </row>
    <row r="372" spans="1:14" x14ac:dyDescent="0.25">
      <c r="A372" t="s">
        <v>1158</v>
      </c>
      <c r="B372" s="1">
        <v>45933</v>
      </c>
      <c r="C372" t="s">
        <v>1159</v>
      </c>
      <c r="D372" t="s">
        <v>1160</v>
      </c>
      <c r="E372" s="14">
        <v>923235370441</v>
      </c>
      <c r="F372" t="s">
        <v>44</v>
      </c>
      <c r="G372" t="s">
        <v>18</v>
      </c>
      <c r="H372" t="s">
        <v>73</v>
      </c>
      <c r="I372">
        <v>2</v>
      </c>
      <c r="J372">
        <v>7346</v>
      </c>
      <c r="K372">
        <v>14692</v>
      </c>
      <c r="L372" t="s">
        <v>68</v>
      </c>
      <c r="M372" t="s">
        <v>93</v>
      </c>
      <c r="N372" t="s">
        <v>35</v>
      </c>
    </row>
    <row r="373" spans="1:14" x14ac:dyDescent="0.25">
      <c r="A373" t="s">
        <v>1161</v>
      </c>
      <c r="B373" s="1">
        <v>45847</v>
      </c>
      <c r="C373" t="s">
        <v>1162</v>
      </c>
      <c r="D373" t="s">
        <v>1163</v>
      </c>
      <c r="E373" s="14">
        <v>923413368992</v>
      </c>
      <c r="F373" t="s">
        <v>67</v>
      </c>
      <c r="G373" t="s">
        <v>18</v>
      </c>
      <c r="H373" t="s">
        <v>50</v>
      </c>
      <c r="I373">
        <v>2</v>
      </c>
      <c r="J373">
        <v>4821</v>
      </c>
      <c r="K373">
        <v>9642</v>
      </c>
      <c r="L373" t="s">
        <v>78</v>
      </c>
      <c r="M373" t="s">
        <v>34</v>
      </c>
      <c r="N373" t="s">
        <v>22</v>
      </c>
    </row>
    <row r="374" spans="1:14" x14ac:dyDescent="0.25">
      <c r="A374" t="s">
        <v>1164</v>
      </c>
      <c r="B374" s="1">
        <v>45966</v>
      </c>
      <c r="C374" t="s">
        <v>1165</v>
      </c>
      <c r="D374" t="s">
        <v>1166</v>
      </c>
      <c r="E374" s="14">
        <v>923133398491</v>
      </c>
      <c r="F374" t="s">
        <v>122</v>
      </c>
      <c r="G374" t="s">
        <v>18</v>
      </c>
      <c r="H374" t="s">
        <v>59</v>
      </c>
      <c r="I374">
        <v>4</v>
      </c>
      <c r="J374">
        <v>1660</v>
      </c>
      <c r="K374">
        <v>6640</v>
      </c>
      <c r="L374" t="s">
        <v>26</v>
      </c>
      <c r="M374" t="s">
        <v>45</v>
      </c>
      <c r="N374" t="s">
        <v>22</v>
      </c>
    </row>
    <row r="375" spans="1:14" x14ac:dyDescent="0.25">
      <c r="A375" t="s">
        <v>1167</v>
      </c>
      <c r="B375" s="1">
        <v>46058</v>
      </c>
      <c r="C375" t="s">
        <v>1168</v>
      </c>
      <c r="D375" t="s">
        <v>1169</v>
      </c>
      <c r="E375" s="14">
        <v>923363176468</v>
      </c>
      <c r="F375" t="s">
        <v>106</v>
      </c>
      <c r="G375" t="s">
        <v>18</v>
      </c>
      <c r="H375" t="s">
        <v>33</v>
      </c>
      <c r="I375">
        <v>4</v>
      </c>
      <c r="J375">
        <v>7223</v>
      </c>
      <c r="K375">
        <v>28892</v>
      </c>
      <c r="L375" t="s">
        <v>63</v>
      </c>
      <c r="M375" t="s">
        <v>135</v>
      </c>
      <c r="N375" t="s">
        <v>22</v>
      </c>
    </row>
    <row r="376" spans="1:14" x14ac:dyDescent="0.25">
      <c r="A376" t="s">
        <v>1170</v>
      </c>
      <c r="B376" s="1">
        <v>45717</v>
      </c>
      <c r="C376" t="s">
        <v>1171</v>
      </c>
      <c r="D376" t="s">
        <v>1172</v>
      </c>
      <c r="E376" s="14">
        <v>923048759428</v>
      </c>
      <c r="F376" t="s">
        <v>54</v>
      </c>
      <c r="G376" t="s">
        <v>18</v>
      </c>
      <c r="H376" t="s">
        <v>33</v>
      </c>
      <c r="I376">
        <v>3</v>
      </c>
      <c r="J376">
        <v>5992</v>
      </c>
      <c r="K376">
        <v>17976</v>
      </c>
      <c r="L376" t="s">
        <v>68</v>
      </c>
      <c r="M376" t="s">
        <v>45</v>
      </c>
      <c r="N376" t="s">
        <v>28</v>
      </c>
    </row>
    <row r="377" spans="1:14" x14ac:dyDescent="0.25">
      <c r="A377" t="s">
        <v>1173</v>
      </c>
      <c r="B377" s="1">
        <v>46001</v>
      </c>
      <c r="C377" t="s">
        <v>1174</v>
      </c>
      <c r="D377" t="s">
        <v>1175</v>
      </c>
      <c r="E377" s="14">
        <v>923440471879</v>
      </c>
      <c r="F377" t="s">
        <v>32</v>
      </c>
      <c r="G377" t="s">
        <v>18</v>
      </c>
      <c r="H377" t="s">
        <v>33</v>
      </c>
      <c r="I377">
        <v>4</v>
      </c>
      <c r="J377">
        <v>6053</v>
      </c>
      <c r="K377">
        <v>24212</v>
      </c>
      <c r="L377" t="s">
        <v>20</v>
      </c>
      <c r="M377" t="s">
        <v>55</v>
      </c>
      <c r="N377" t="s">
        <v>69</v>
      </c>
    </row>
    <row r="378" spans="1:14" x14ac:dyDescent="0.25">
      <c r="A378" t="s">
        <v>1176</v>
      </c>
      <c r="B378" s="1">
        <v>45867</v>
      </c>
      <c r="C378" t="s">
        <v>1177</v>
      </c>
      <c r="D378" t="s">
        <v>1178</v>
      </c>
      <c r="E378" s="14">
        <v>923492753650</v>
      </c>
      <c r="F378" t="s">
        <v>67</v>
      </c>
      <c r="G378" t="s">
        <v>18</v>
      </c>
      <c r="H378" t="s">
        <v>39</v>
      </c>
      <c r="I378">
        <v>1</v>
      </c>
      <c r="J378">
        <v>2746</v>
      </c>
      <c r="K378">
        <v>2746</v>
      </c>
      <c r="L378" t="s">
        <v>78</v>
      </c>
      <c r="M378" t="s">
        <v>21</v>
      </c>
      <c r="N378" t="s">
        <v>28</v>
      </c>
    </row>
    <row r="379" spans="1:14" x14ac:dyDescent="0.25">
      <c r="A379" t="s">
        <v>1179</v>
      </c>
      <c r="B379" s="1">
        <v>45787</v>
      </c>
      <c r="C379" t="s">
        <v>1180</v>
      </c>
      <c r="D379" t="s">
        <v>1181</v>
      </c>
      <c r="E379" s="14">
        <v>923057564865</v>
      </c>
      <c r="F379" t="s">
        <v>17</v>
      </c>
      <c r="G379" t="s">
        <v>18</v>
      </c>
      <c r="H379" t="s">
        <v>39</v>
      </c>
      <c r="I379">
        <v>1</v>
      </c>
      <c r="J379">
        <v>2525</v>
      </c>
      <c r="K379">
        <v>2525</v>
      </c>
      <c r="L379" t="s">
        <v>26</v>
      </c>
      <c r="M379" t="s">
        <v>45</v>
      </c>
      <c r="N379" t="s">
        <v>22</v>
      </c>
    </row>
    <row r="380" spans="1:14" x14ac:dyDescent="0.25">
      <c r="A380" t="s">
        <v>1182</v>
      </c>
      <c r="B380" s="1">
        <v>45730</v>
      </c>
      <c r="C380" t="s">
        <v>1183</v>
      </c>
      <c r="D380" t="s">
        <v>1184</v>
      </c>
      <c r="E380" s="14">
        <v>923376141774</v>
      </c>
      <c r="F380" t="s">
        <v>92</v>
      </c>
      <c r="G380" t="s">
        <v>18</v>
      </c>
      <c r="H380" t="s">
        <v>39</v>
      </c>
      <c r="I380">
        <v>3</v>
      </c>
      <c r="J380">
        <v>1649</v>
      </c>
      <c r="K380">
        <v>4947</v>
      </c>
      <c r="L380" t="s">
        <v>40</v>
      </c>
      <c r="M380" t="s">
        <v>21</v>
      </c>
      <c r="N380" t="s">
        <v>35</v>
      </c>
    </row>
    <row r="381" spans="1:14" x14ac:dyDescent="0.25">
      <c r="A381" t="s">
        <v>1185</v>
      </c>
      <c r="B381" s="1">
        <v>45954</v>
      </c>
      <c r="C381" t="s">
        <v>1186</v>
      </c>
      <c r="D381" t="s">
        <v>1187</v>
      </c>
      <c r="E381" s="14">
        <v>923451187944</v>
      </c>
      <c r="F381" t="s">
        <v>92</v>
      </c>
      <c r="G381" t="s">
        <v>18</v>
      </c>
      <c r="H381" t="s">
        <v>73</v>
      </c>
      <c r="I381">
        <v>1</v>
      </c>
      <c r="J381">
        <v>8496</v>
      </c>
      <c r="K381">
        <v>8496</v>
      </c>
      <c r="L381" t="s">
        <v>63</v>
      </c>
      <c r="M381" t="s">
        <v>27</v>
      </c>
      <c r="N381" t="s">
        <v>22</v>
      </c>
    </row>
    <row r="382" spans="1:14" x14ac:dyDescent="0.25">
      <c r="A382" t="s">
        <v>1188</v>
      </c>
      <c r="B382" s="1">
        <v>45949</v>
      </c>
      <c r="C382" t="s">
        <v>1189</v>
      </c>
      <c r="D382" t="s">
        <v>1190</v>
      </c>
      <c r="E382" s="14">
        <v>923236169272</v>
      </c>
      <c r="F382" t="s">
        <v>92</v>
      </c>
      <c r="G382" t="s">
        <v>18</v>
      </c>
      <c r="H382" t="s">
        <v>39</v>
      </c>
      <c r="I382">
        <v>5</v>
      </c>
      <c r="J382">
        <v>3873</v>
      </c>
      <c r="K382">
        <v>19365</v>
      </c>
      <c r="L382" t="s">
        <v>20</v>
      </c>
      <c r="M382" t="s">
        <v>55</v>
      </c>
      <c r="N382" t="s">
        <v>69</v>
      </c>
    </row>
    <row r="383" spans="1:14" x14ac:dyDescent="0.25">
      <c r="A383" t="s">
        <v>1191</v>
      </c>
      <c r="B383" s="1">
        <v>45935</v>
      </c>
      <c r="C383" t="s">
        <v>1192</v>
      </c>
      <c r="D383" t="s">
        <v>1193</v>
      </c>
      <c r="E383" s="14">
        <v>923123794697</v>
      </c>
      <c r="F383" t="s">
        <v>106</v>
      </c>
      <c r="G383" t="s">
        <v>18</v>
      </c>
      <c r="H383" t="s">
        <v>39</v>
      </c>
      <c r="I383">
        <v>5</v>
      </c>
      <c r="J383">
        <v>7631</v>
      </c>
      <c r="K383">
        <v>38155</v>
      </c>
      <c r="L383" t="s">
        <v>68</v>
      </c>
      <c r="M383" t="s">
        <v>93</v>
      </c>
      <c r="N383" t="s">
        <v>69</v>
      </c>
    </row>
    <row r="384" spans="1:14" x14ac:dyDescent="0.25">
      <c r="A384" t="s">
        <v>1194</v>
      </c>
      <c r="B384" s="1">
        <v>45805</v>
      </c>
      <c r="C384" t="s">
        <v>1195</v>
      </c>
      <c r="D384" t="s">
        <v>1196</v>
      </c>
      <c r="E384" s="14">
        <v>923084337106</v>
      </c>
      <c r="F384" t="s">
        <v>122</v>
      </c>
      <c r="G384" t="s">
        <v>18</v>
      </c>
      <c r="H384" t="s">
        <v>19</v>
      </c>
      <c r="I384">
        <v>1</v>
      </c>
      <c r="J384">
        <v>13607</v>
      </c>
      <c r="K384">
        <v>13607</v>
      </c>
      <c r="L384" t="s">
        <v>40</v>
      </c>
      <c r="M384" t="s">
        <v>93</v>
      </c>
      <c r="N384" t="s">
        <v>28</v>
      </c>
    </row>
    <row r="385" spans="1:14" x14ac:dyDescent="0.25">
      <c r="A385" t="s">
        <v>1197</v>
      </c>
      <c r="B385" s="1">
        <v>46070</v>
      </c>
      <c r="C385" t="s">
        <v>880</v>
      </c>
      <c r="D385" t="s">
        <v>1198</v>
      </c>
      <c r="E385" s="14">
        <v>923242672438</v>
      </c>
      <c r="F385" t="s">
        <v>122</v>
      </c>
      <c r="G385" t="s">
        <v>18</v>
      </c>
      <c r="H385" t="s">
        <v>39</v>
      </c>
      <c r="I385">
        <v>1</v>
      </c>
      <c r="J385">
        <v>9412</v>
      </c>
      <c r="K385">
        <v>9412</v>
      </c>
      <c r="L385" t="s">
        <v>26</v>
      </c>
      <c r="M385" t="s">
        <v>82</v>
      </c>
      <c r="N385" t="s">
        <v>28</v>
      </c>
    </row>
    <row r="386" spans="1:14" x14ac:dyDescent="0.25">
      <c r="A386" t="s">
        <v>1199</v>
      </c>
      <c r="B386" s="1">
        <v>45965</v>
      </c>
      <c r="C386" t="s">
        <v>1200</v>
      </c>
      <c r="D386" t="s">
        <v>1201</v>
      </c>
      <c r="E386" s="14">
        <v>923337824314</v>
      </c>
      <c r="F386" t="s">
        <v>122</v>
      </c>
      <c r="G386" t="s">
        <v>18</v>
      </c>
      <c r="H386" t="s">
        <v>33</v>
      </c>
      <c r="I386">
        <v>1</v>
      </c>
      <c r="J386">
        <v>12992</v>
      </c>
      <c r="K386">
        <v>12992</v>
      </c>
      <c r="L386" t="s">
        <v>68</v>
      </c>
      <c r="M386" t="s">
        <v>21</v>
      </c>
      <c r="N386" t="s">
        <v>69</v>
      </c>
    </row>
    <row r="387" spans="1:14" x14ac:dyDescent="0.25">
      <c r="A387" t="s">
        <v>1202</v>
      </c>
      <c r="B387" s="1">
        <v>45770</v>
      </c>
      <c r="C387" t="s">
        <v>1203</v>
      </c>
      <c r="D387" t="s">
        <v>1204</v>
      </c>
      <c r="E387" s="14">
        <v>923009130769</v>
      </c>
      <c r="F387" t="s">
        <v>44</v>
      </c>
      <c r="G387" t="s">
        <v>18</v>
      </c>
      <c r="H387" t="s">
        <v>59</v>
      </c>
      <c r="I387">
        <v>3</v>
      </c>
      <c r="J387">
        <v>13618</v>
      </c>
      <c r="K387">
        <v>40854</v>
      </c>
      <c r="L387" t="s">
        <v>26</v>
      </c>
      <c r="M387" t="s">
        <v>93</v>
      </c>
      <c r="N387" t="s">
        <v>35</v>
      </c>
    </row>
    <row r="388" spans="1:14" x14ac:dyDescent="0.25">
      <c r="A388" t="s">
        <v>1205</v>
      </c>
      <c r="B388" s="1">
        <v>45791</v>
      </c>
      <c r="C388" t="s">
        <v>1206</v>
      </c>
      <c r="D388" t="s">
        <v>1207</v>
      </c>
      <c r="E388" s="14">
        <v>923080018754</v>
      </c>
      <c r="F388" t="s">
        <v>122</v>
      </c>
      <c r="G388" t="s">
        <v>18</v>
      </c>
      <c r="H388" t="s">
        <v>59</v>
      </c>
      <c r="I388">
        <v>3</v>
      </c>
      <c r="J388">
        <v>9902</v>
      </c>
      <c r="K388">
        <v>29706</v>
      </c>
      <c r="L388" t="s">
        <v>68</v>
      </c>
      <c r="M388" t="s">
        <v>34</v>
      </c>
      <c r="N388" t="s">
        <v>22</v>
      </c>
    </row>
    <row r="389" spans="1:14" x14ac:dyDescent="0.25">
      <c r="A389" t="s">
        <v>1208</v>
      </c>
      <c r="B389" s="1">
        <v>46064</v>
      </c>
      <c r="C389" t="s">
        <v>1209</v>
      </c>
      <c r="D389" t="s">
        <v>1210</v>
      </c>
      <c r="E389" s="14">
        <v>923465459977</v>
      </c>
      <c r="F389" t="s">
        <v>32</v>
      </c>
      <c r="G389" t="s">
        <v>18</v>
      </c>
      <c r="H389" t="s">
        <v>73</v>
      </c>
      <c r="I389">
        <v>5</v>
      </c>
      <c r="J389">
        <v>12775</v>
      </c>
      <c r="K389">
        <v>63875</v>
      </c>
      <c r="L389" t="s">
        <v>78</v>
      </c>
      <c r="M389" t="s">
        <v>27</v>
      </c>
      <c r="N389" t="s">
        <v>35</v>
      </c>
    </row>
    <row r="390" spans="1:14" x14ac:dyDescent="0.25">
      <c r="A390" t="s">
        <v>1211</v>
      </c>
      <c r="B390" s="1">
        <v>45987</v>
      </c>
      <c r="C390" t="s">
        <v>1212</v>
      </c>
      <c r="D390" t="s">
        <v>1213</v>
      </c>
      <c r="E390" s="14">
        <v>923465460020</v>
      </c>
      <c r="F390" t="s">
        <v>77</v>
      </c>
      <c r="G390" t="s">
        <v>18</v>
      </c>
      <c r="H390" t="s">
        <v>39</v>
      </c>
      <c r="I390">
        <v>2</v>
      </c>
      <c r="J390">
        <v>14569</v>
      </c>
      <c r="K390">
        <v>29138</v>
      </c>
      <c r="L390" t="s">
        <v>68</v>
      </c>
      <c r="M390" t="s">
        <v>45</v>
      </c>
      <c r="N390" t="s">
        <v>35</v>
      </c>
    </row>
    <row r="391" spans="1:14" x14ac:dyDescent="0.25">
      <c r="A391" t="s">
        <v>1214</v>
      </c>
      <c r="B391" s="1">
        <v>45948</v>
      </c>
      <c r="C391" t="s">
        <v>1215</v>
      </c>
      <c r="D391" t="s">
        <v>1216</v>
      </c>
      <c r="E391" s="14">
        <v>923063835696</v>
      </c>
      <c r="F391" t="s">
        <v>92</v>
      </c>
      <c r="G391" t="s">
        <v>18</v>
      </c>
      <c r="H391" t="s">
        <v>19</v>
      </c>
      <c r="I391">
        <v>2</v>
      </c>
      <c r="J391">
        <v>8757</v>
      </c>
      <c r="K391">
        <v>17514</v>
      </c>
      <c r="L391" t="s">
        <v>40</v>
      </c>
      <c r="M391" t="s">
        <v>45</v>
      </c>
      <c r="N391" t="s">
        <v>22</v>
      </c>
    </row>
    <row r="392" spans="1:14" x14ac:dyDescent="0.25">
      <c r="A392" t="s">
        <v>1217</v>
      </c>
      <c r="B392" s="1">
        <v>46016</v>
      </c>
      <c r="C392" t="s">
        <v>1218</v>
      </c>
      <c r="D392" t="s">
        <v>1219</v>
      </c>
      <c r="E392" s="14">
        <v>923169670465</v>
      </c>
      <c r="F392" t="s">
        <v>49</v>
      </c>
      <c r="G392" t="s">
        <v>18</v>
      </c>
      <c r="H392" t="s">
        <v>73</v>
      </c>
      <c r="I392">
        <v>2</v>
      </c>
      <c r="J392">
        <v>10470</v>
      </c>
      <c r="K392">
        <v>20940</v>
      </c>
      <c r="L392" t="s">
        <v>68</v>
      </c>
      <c r="M392" t="s">
        <v>55</v>
      </c>
      <c r="N392" t="s">
        <v>69</v>
      </c>
    </row>
    <row r="393" spans="1:14" x14ac:dyDescent="0.25">
      <c r="A393" t="s">
        <v>1220</v>
      </c>
      <c r="B393" s="1">
        <v>45777</v>
      </c>
      <c r="C393" t="s">
        <v>1221</v>
      </c>
      <c r="D393" t="s">
        <v>1222</v>
      </c>
      <c r="E393" s="14">
        <v>923332487892</v>
      </c>
      <c r="F393" t="s">
        <v>32</v>
      </c>
      <c r="G393" t="s">
        <v>18</v>
      </c>
      <c r="H393" t="s">
        <v>73</v>
      </c>
      <c r="I393">
        <v>2</v>
      </c>
      <c r="J393">
        <v>4291</v>
      </c>
      <c r="K393">
        <v>8582</v>
      </c>
      <c r="L393" t="s">
        <v>26</v>
      </c>
      <c r="M393" t="s">
        <v>82</v>
      </c>
      <c r="N393" t="s">
        <v>69</v>
      </c>
    </row>
    <row r="394" spans="1:14" x14ac:dyDescent="0.25">
      <c r="A394" t="s">
        <v>1223</v>
      </c>
      <c r="B394" s="1">
        <v>45869</v>
      </c>
      <c r="C394" t="s">
        <v>1224</v>
      </c>
      <c r="D394" t="s">
        <v>1225</v>
      </c>
      <c r="E394" s="14">
        <v>923207817740</v>
      </c>
      <c r="F394" t="s">
        <v>106</v>
      </c>
      <c r="G394" t="s">
        <v>18</v>
      </c>
      <c r="H394" t="s">
        <v>50</v>
      </c>
      <c r="I394">
        <v>4</v>
      </c>
      <c r="J394">
        <v>10633</v>
      </c>
      <c r="K394">
        <v>42532</v>
      </c>
      <c r="L394" t="s">
        <v>63</v>
      </c>
      <c r="M394" t="s">
        <v>45</v>
      </c>
      <c r="N394" t="s">
        <v>69</v>
      </c>
    </row>
    <row r="395" spans="1:14" x14ac:dyDescent="0.25">
      <c r="A395" t="s">
        <v>1226</v>
      </c>
      <c r="B395" s="1">
        <v>45817</v>
      </c>
      <c r="C395" t="s">
        <v>1227</v>
      </c>
      <c r="D395" t="s">
        <v>1228</v>
      </c>
      <c r="E395" s="14">
        <v>923147170246</v>
      </c>
      <c r="F395" t="s">
        <v>122</v>
      </c>
      <c r="G395" t="s">
        <v>18</v>
      </c>
      <c r="H395" t="s">
        <v>19</v>
      </c>
      <c r="I395">
        <v>5</v>
      </c>
      <c r="J395">
        <v>4241</v>
      </c>
      <c r="K395">
        <v>21205</v>
      </c>
      <c r="L395" t="s">
        <v>26</v>
      </c>
      <c r="M395" t="s">
        <v>27</v>
      </c>
      <c r="N395" t="s">
        <v>28</v>
      </c>
    </row>
    <row r="396" spans="1:14" x14ac:dyDescent="0.25">
      <c r="A396" t="s">
        <v>1229</v>
      </c>
      <c r="B396" s="1">
        <v>45847</v>
      </c>
      <c r="C396" t="s">
        <v>1230</v>
      </c>
      <c r="D396" t="s">
        <v>1231</v>
      </c>
      <c r="E396" s="14">
        <v>923379459976</v>
      </c>
      <c r="F396" t="s">
        <v>77</v>
      </c>
      <c r="G396" t="s">
        <v>18</v>
      </c>
      <c r="H396" t="s">
        <v>50</v>
      </c>
      <c r="I396">
        <v>2</v>
      </c>
      <c r="J396">
        <v>2241</v>
      </c>
      <c r="K396">
        <v>4482</v>
      </c>
      <c r="L396" t="s">
        <v>26</v>
      </c>
      <c r="M396" t="s">
        <v>27</v>
      </c>
      <c r="N396" t="s">
        <v>22</v>
      </c>
    </row>
    <row r="397" spans="1:14" x14ac:dyDescent="0.25">
      <c r="A397" t="s">
        <v>1232</v>
      </c>
      <c r="B397" s="1">
        <v>45934</v>
      </c>
      <c r="C397" t="s">
        <v>1233</v>
      </c>
      <c r="D397" t="s">
        <v>1234</v>
      </c>
      <c r="E397" s="14">
        <v>923401478933</v>
      </c>
      <c r="F397" t="s">
        <v>17</v>
      </c>
      <c r="G397" t="s">
        <v>18</v>
      </c>
      <c r="H397" t="s">
        <v>19</v>
      </c>
      <c r="I397">
        <v>5</v>
      </c>
      <c r="J397">
        <v>3494</v>
      </c>
      <c r="K397">
        <v>17470</v>
      </c>
      <c r="L397" t="s">
        <v>40</v>
      </c>
      <c r="M397" t="s">
        <v>27</v>
      </c>
      <c r="N397" t="s">
        <v>28</v>
      </c>
    </row>
    <row r="398" spans="1:14" x14ac:dyDescent="0.25">
      <c r="A398" t="s">
        <v>1235</v>
      </c>
      <c r="B398" s="1">
        <v>45884</v>
      </c>
      <c r="C398" t="s">
        <v>1236</v>
      </c>
      <c r="D398" t="s">
        <v>1237</v>
      </c>
      <c r="E398" s="14">
        <v>923359312666</v>
      </c>
      <c r="F398" t="s">
        <v>32</v>
      </c>
      <c r="G398" t="s">
        <v>18</v>
      </c>
      <c r="H398" t="s">
        <v>59</v>
      </c>
      <c r="I398">
        <v>3</v>
      </c>
      <c r="J398">
        <v>8390</v>
      </c>
      <c r="K398">
        <v>25170</v>
      </c>
      <c r="L398" t="s">
        <v>26</v>
      </c>
      <c r="M398" t="s">
        <v>93</v>
      </c>
      <c r="N398" t="s">
        <v>22</v>
      </c>
    </row>
    <row r="399" spans="1:14" x14ac:dyDescent="0.25">
      <c r="A399" t="s">
        <v>1238</v>
      </c>
      <c r="B399" s="1">
        <v>45878</v>
      </c>
      <c r="C399" t="s">
        <v>1239</v>
      </c>
      <c r="D399" t="s">
        <v>1240</v>
      </c>
      <c r="E399" s="14">
        <v>923026907856</v>
      </c>
      <c r="F399" t="s">
        <v>92</v>
      </c>
      <c r="G399" t="s">
        <v>18</v>
      </c>
      <c r="H399" t="s">
        <v>59</v>
      </c>
      <c r="I399">
        <v>3</v>
      </c>
      <c r="J399">
        <v>6615</v>
      </c>
      <c r="K399">
        <v>19845</v>
      </c>
      <c r="L399" t="s">
        <v>40</v>
      </c>
      <c r="M399" t="s">
        <v>55</v>
      </c>
      <c r="N399" t="s">
        <v>69</v>
      </c>
    </row>
    <row r="400" spans="1:14" x14ac:dyDescent="0.25">
      <c r="A400" t="s">
        <v>1241</v>
      </c>
      <c r="B400" s="1">
        <v>45730</v>
      </c>
      <c r="C400" t="s">
        <v>1242</v>
      </c>
      <c r="D400" t="s">
        <v>1243</v>
      </c>
      <c r="E400" s="14">
        <v>923480159267</v>
      </c>
      <c r="F400" t="s">
        <v>67</v>
      </c>
      <c r="G400" t="s">
        <v>18</v>
      </c>
      <c r="H400" t="s">
        <v>39</v>
      </c>
      <c r="I400">
        <v>5</v>
      </c>
      <c r="J400">
        <v>1212</v>
      </c>
      <c r="K400">
        <v>6060</v>
      </c>
      <c r="L400" t="s">
        <v>78</v>
      </c>
      <c r="M400" t="s">
        <v>93</v>
      </c>
      <c r="N400" t="s">
        <v>35</v>
      </c>
    </row>
    <row r="401" spans="1:14" x14ac:dyDescent="0.25">
      <c r="A401" t="s">
        <v>1244</v>
      </c>
      <c r="B401" s="1">
        <v>45757</v>
      </c>
      <c r="C401" t="s">
        <v>1245</v>
      </c>
      <c r="D401" t="s">
        <v>1246</v>
      </c>
      <c r="E401" s="14">
        <v>923388295480</v>
      </c>
      <c r="F401" t="s">
        <v>32</v>
      </c>
      <c r="G401" t="s">
        <v>18</v>
      </c>
      <c r="H401" t="s">
        <v>33</v>
      </c>
      <c r="I401">
        <v>1</v>
      </c>
      <c r="J401">
        <v>14878</v>
      </c>
      <c r="K401">
        <v>14878</v>
      </c>
      <c r="L401" t="s">
        <v>78</v>
      </c>
      <c r="M401" t="s">
        <v>93</v>
      </c>
      <c r="N401" t="s">
        <v>22</v>
      </c>
    </row>
    <row r="402" spans="1:14" x14ac:dyDescent="0.25">
      <c r="A402" t="s">
        <v>1247</v>
      </c>
      <c r="B402" s="1">
        <v>45727</v>
      </c>
      <c r="C402" t="s">
        <v>1248</v>
      </c>
      <c r="D402" t="s">
        <v>1249</v>
      </c>
      <c r="E402" s="14">
        <v>923487761347</v>
      </c>
      <c r="F402" t="s">
        <v>122</v>
      </c>
      <c r="G402" t="s">
        <v>18</v>
      </c>
      <c r="H402" t="s">
        <v>19</v>
      </c>
      <c r="I402">
        <v>4</v>
      </c>
      <c r="J402">
        <v>13339</v>
      </c>
      <c r="K402">
        <v>53356</v>
      </c>
      <c r="L402" t="s">
        <v>26</v>
      </c>
      <c r="M402" t="s">
        <v>27</v>
      </c>
      <c r="N402" t="s">
        <v>69</v>
      </c>
    </row>
    <row r="403" spans="1:14" x14ac:dyDescent="0.25">
      <c r="A403" t="s">
        <v>1250</v>
      </c>
      <c r="B403" s="1">
        <v>45884</v>
      </c>
      <c r="C403" t="s">
        <v>1251</v>
      </c>
      <c r="D403" t="s">
        <v>1252</v>
      </c>
      <c r="E403" s="14">
        <v>923443849910</v>
      </c>
      <c r="F403" t="s">
        <v>17</v>
      </c>
      <c r="G403" t="s">
        <v>18</v>
      </c>
      <c r="H403" t="s">
        <v>19</v>
      </c>
      <c r="I403">
        <v>2</v>
      </c>
      <c r="J403">
        <v>7509</v>
      </c>
      <c r="K403">
        <v>15018</v>
      </c>
      <c r="L403" t="s">
        <v>26</v>
      </c>
      <c r="M403" t="s">
        <v>27</v>
      </c>
      <c r="N403" t="s">
        <v>69</v>
      </c>
    </row>
    <row r="404" spans="1:14" x14ac:dyDescent="0.25">
      <c r="A404" t="s">
        <v>1253</v>
      </c>
      <c r="B404" s="1">
        <v>45721</v>
      </c>
      <c r="C404" t="s">
        <v>1254</v>
      </c>
      <c r="D404" t="s">
        <v>1255</v>
      </c>
      <c r="E404" s="14">
        <v>923280039580</v>
      </c>
      <c r="F404" t="s">
        <v>49</v>
      </c>
      <c r="G404" t="s">
        <v>18</v>
      </c>
      <c r="H404" t="s">
        <v>39</v>
      </c>
      <c r="I404">
        <v>5</v>
      </c>
      <c r="J404">
        <v>12808</v>
      </c>
      <c r="K404">
        <v>64040</v>
      </c>
      <c r="L404" t="s">
        <v>40</v>
      </c>
      <c r="M404" t="s">
        <v>21</v>
      </c>
      <c r="N404" t="s">
        <v>28</v>
      </c>
    </row>
    <row r="405" spans="1:14" x14ac:dyDescent="0.25">
      <c r="A405" t="s">
        <v>1256</v>
      </c>
      <c r="B405" s="1">
        <v>45908</v>
      </c>
      <c r="C405" t="s">
        <v>1257</v>
      </c>
      <c r="D405" t="s">
        <v>1258</v>
      </c>
      <c r="E405" s="14">
        <v>923119866169</v>
      </c>
      <c r="F405" t="s">
        <v>67</v>
      </c>
      <c r="G405" t="s">
        <v>18</v>
      </c>
      <c r="H405" t="s">
        <v>19</v>
      </c>
      <c r="I405">
        <v>1</v>
      </c>
      <c r="J405">
        <v>9975</v>
      </c>
      <c r="K405">
        <v>9975</v>
      </c>
      <c r="L405" t="s">
        <v>78</v>
      </c>
      <c r="M405" t="s">
        <v>82</v>
      </c>
      <c r="N405" t="s">
        <v>28</v>
      </c>
    </row>
    <row r="406" spans="1:14" x14ac:dyDescent="0.25">
      <c r="A406" t="s">
        <v>1259</v>
      </c>
      <c r="B406" s="1">
        <v>45878</v>
      </c>
      <c r="C406" t="s">
        <v>1260</v>
      </c>
      <c r="D406" t="s">
        <v>1261</v>
      </c>
      <c r="E406" s="14">
        <v>923498793089</v>
      </c>
      <c r="F406" t="s">
        <v>77</v>
      </c>
      <c r="G406" t="s">
        <v>18</v>
      </c>
      <c r="H406" t="s">
        <v>33</v>
      </c>
      <c r="I406">
        <v>5</v>
      </c>
      <c r="J406">
        <v>9358</v>
      </c>
      <c r="K406">
        <v>46790</v>
      </c>
      <c r="L406" t="s">
        <v>40</v>
      </c>
      <c r="M406" t="s">
        <v>82</v>
      </c>
      <c r="N406" t="s">
        <v>69</v>
      </c>
    </row>
    <row r="407" spans="1:14" x14ac:dyDescent="0.25">
      <c r="A407" t="s">
        <v>1262</v>
      </c>
      <c r="B407" s="1">
        <v>46026</v>
      </c>
      <c r="C407" t="s">
        <v>1263</v>
      </c>
      <c r="D407" t="s">
        <v>1264</v>
      </c>
      <c r="E407" s="14">
        <v>923217529092</v>
      </c>
      <c r="F407" t="s">
        <v>92</v>
      </c>
      <c r="G407" t="s">
        <v>18</v>
      </c>
      <c r="H407" t="s">
        <v>50</v>
      </c>
      <c r="I407">
        <v>2</v>
      </c>
      <c r="J407">
        <v>14734</v>
      </c>
      <c r="K407">
        <v>29468</v>
      </c>
      <c r="L407" t="s">
        <v>63</v>
      </c>
      <c r="M407" t="s">
        <v>34</v>
      </c>
      <c r="N407" t="s">
        <v>35</v>
      </c>
    </row>
    <row r="408" spans="1:14" x14ac:dyDescent="0.25">
      <c r="A408" t="s">
        <v>1265</v>
      </c>
      <c r="B408" s="1">
        <v>45718</v>
      </c>
      <c r="C408" t="s">
        <v>1266</v>
      </c>
      <c r="D408" t="s">
        <v>1267</v>
      </c>
      <c r="E408" s="14">
        <v>923296619141</v>
      </c>
      <c r="F408" t="s">
        <v>67</v>
      </c>
      <c r="G408" t="s">
        <v>18</v>
      </c>
      <c r="H408" t="s">
        <v>59</v>
      </c>
      <c r="I408">
        <v>3</v>
      </c>
      <c r="J408">
        <v>4457</v>
      </c>
      <c r="K408">
        <v>13371</v>
      </c>
      <c r="L408" t="s">
        <v>40</v>
      </c>
      <c r="M408" t="s">
        <v>27</v>
      </c>
      <c r="N408" t="s">
        <v>28</v>
      </c>
    </row>
    <row r="409" spans="1:14" x14ac:dyDescent="0.25">
      <c r="A409" t="s">
        <v>1268</v>
      </c>
      <c r="B409" s="1">
        <v>46053</v>
      </c>
      <c r="C409" t="s">
        <v>1269</v>
      </c>
      <c r="D409" t="s">
        <v>1270</v>
      </c>
      <c r="E409" s="14">
        <v>923191009023</v>
      </c>
      <c r="F409" t="s">
        <v>32</v>
      </c>
      <c r="G409" t="s">
        <v>18</v>
      </c>
      <c r="H409" t="s">
        <v>33</v>
      </c>
      <c r="I409">
        <v>3</v>
      </c>
      <c r="J409">
        <v>2926</v>
      </c>
      <c r="K409">
        <v>8778</v>
      </c>
      <c r="L409" t="s">
        <v>78</v>
      </c>
      <c r="M409" t="s">
        <v>21</v>
      </c>
      <c r="N409" t="s">
        <v>22</v>
      </c>
    </row>
    <row r="410" spans="1:14" x14ac:dyDescent="0.25">
      <c r="A410" t="s">
        <v>1271</v>
      </c>
      <c r="B410" s="1">
        <v>45975</v>
      </c>
      <c r="C410" t="s">
        <v>1272</v>
      </c>
      <c r="D410" t="s">
        <v>1273</v>
      </c>
      <c r="E410" s="14">
        <v>923413577378</v>
      </c>
      <c r="F410" t="s">
        <v>122</v>
      </c>
      <c r="G410" t="s">
        <v>18</v>
      </c>
      <c r="H410" t="s">
        <v>59</v>
      </c>
      <c r="I410">
        <v>1</v>
      </c>
      <c r="J410">
        <v>4189</v>
      </c>
      <c r="K410">
        <v>4189</v>
      </c>
      <c r="L410" t="s">
        <v>68</v>
      </c>
      <c r="M410" t="s">
        <v>34</v>
      </c>
      <c r="N410" t="s">
        <v>69</v>
      </c>
    </row>
    <row r="411" spans="1:14" x14ac:dyDescent="0.25">
      <c r="A411" t="s">
        <v>1274</v>
      </c>
      <c r="B411" s="1">
        <v>45933</v>
      </c>
      <c r="C411" t="s">
        <v>1275</v>
      </c>
      <c r="D411" t="s">
        <v>1276</v>
      </c>
      <c r="E411" s="14">
        <v>923029298314</v>
      </c>
      <c r="F411" t="s">
        <v>122</v>
      </c>
      <c r="G411" t="s">
        <v>18</v>
      </c>
      <c r="H411" t="s">
        <v>19</v>
      </c>
      <c r="I411">
        <v>4</v>
      </c>
      <c r="J411">
        <v>12555</v>
      </c>
      <c r="K411">
        <v>50220</v>
      </c>
      <c r="L411" t="s">
        <v>63</v>
      </c>
      <c r="M411" t="s">
        <v>93</v>
      </c>
      <c r="N411" t="s">
        <v>35</v>
      </c>
    </row>
    <row r="412" spans="1:14" x14ac:dyDescent="0.25">
      <c r="A412" t="s">
        <v>1277</v>
      </c>
      <c r="B412" s="1">
        <v>45719</v>
      </c>
      <c r="C412" t="s">
        <v>1278</v>
      </c>
      <c r="D412" t="s">
        <v>1279</v>
      </c>
      <c r="E412" s="14">
        <v>923029832425</v>
      </c>
      <c r="F412" t="s">
        <v>77</v>
      </c>
      <c r="G412" t="s">
        <v>18</v>
      </c>
      <c r="H412" t="s">
        <v>19</v>
      </c>
      <c r="I412">
        <v>3</v>
      </c>
      <c r="J412">
        <v>3800</v>
      </c>
      <c r="K412">
        <v>11400</v>
      </c>
      <c r="L412" t="s">
        <v>20</v>
      </c>
      <c r="M412" t="s">
        <v>34</v>
      </c>
      <c r="N412" t="s">
        <v>28</v>
      </c>
    </row>
    <row r="413" spans="1:14" x14ac:dyDescent="0.25">
      <c r="A413" t="s">
        <v>1280</v>
      </c>
      <c r="B413" s="1">
        <v>45904</v>
      </c>
      <c r="C413" t="s">
        <v>1281</v>
      </c>
      <c r="D413" t="s">
        <v>1282</v>
      </c>
      <c r="E413" s="14">
        <v>923143209760</v>
      </c>
      <c r="F413" t="s">
        <v>122</v>
      </c>
      <c r="G413" t="s">
        <v>18</v>
      </c>
      <c r="H413" t="s">
        <v>19</v>
      </c>
      <c r="I413">
        <v>1</v>
      </c>
      <c r="J413">
        <v>5488</v>
      </c>
      <c r="K413">
        <v>5488</v>
      </c>
      <c r="L413" t="s">
        <v>40</v>
      </c>
      <c r="M413" t="s">
        <v>21</v>
      </c>
      <c r="N413" t="s">
        <v>35</v>
      </c>
    </row>
    <row r="414" spans="1:14" x14ac:dyDescent="0.25">
      <c r="A414" t="s">
        <v>1283</v>
      </c>
      <c r="B414" s="1">
        <v>45710</v>
      </c>
      <c r="C414" t="s">
        <v>1284</v>
      </c>
      <c r="D414" t="s">
        <v>1285</v>
      </c>
      <c r="E414" s="14">
        <v>923375553104</v>
      </c>
      <c r="F414" t="s">
        <v>54</v>
      </c>
      <c r="G414" t="s">
        <v>18</v>
      </c>
      <c r="H414" t="s">
        <v>39</v>
      </c>
      <c r="I414">
        <v>1</v>
      </c>
      <c r="J414">
        <v>9803</v>
      </c>
      <c r="K414">
        <v>9803</v>
      </c>
      <c r="L414" t="s">
        <v>78</v>
      </c>
      <c r="M414" t="s">
        <v>34</v>
      </c>
      <c r="N414" t="s">
        <v>69</v>
      </c>
    </row>
    <row r="415" spans="1:14" x14ac:dyDescent="0.25">
      <c r="A415" t="s">
        <v>1286</v>
      </c>
      <c r="B415" s="1">
        <v>45842</v>
      </c>
      <c r="C415" t="s">
        <v>1287</v>
      </c>
      <c r="D415" t="s">
        <v>1288</v>
      </c>
      <c r="E415" s="14">
        <v>923338916321</v>
      </c>
      <c r="F415" t="s">
        <v>17</v>
      </c>
      <c r="G415" t="s">
        <v>18</v>
      </c>
      <c r="H415" t="s">
        <v>50</v>
      </c>
      <c r="I415">
        <v>5</v>
      </c>
      <c r="J415">
        <v>10744</v>
      </c>
      <c r="K415">
        <v>53720</v>
      </c>
      <c r="L415" t="s">
        <v>20</v>
      </c>
      <c r="M415" t="s">
        <v>55</v>
      </c>
      <c r="N415" t="s">
        <v>35</v>
      </c>
    </row>
    <row r="416" spans="1:14" x14ac:dyDescent="0.25">
      <c r="A416" t="s">
        <v>1289</v>
      </c>
      <c r="B416" s="1">
        <v>45974</v>
      </c>
      <c r="C416" t="s">
        <v>1290</v>
      </c>
      <c r="D416" t="s">
        <v>1291</v>
      </c>
      <c r="E416" s="14">
        <v>923481503287</v>
      </c>
      <c r="F416" t="s">
        <v>49</v>
      </c>
      <c r="G416" t="s">
        <v>18</v>
      </c>
      <c r="H416" t="s">
        <v>39</v>
      </c>
      <c r="I416">
        <v>1</v>
      </c>
      <c r="J416">
        <v>6677</v>
      </c>
      <c r="K416">
        <v>6677</v>
      </c>
      <c r="L416" t="s">
        <v>68</v>
      </c>
      <c r="M416" t="s">
        <v>45</v>
      </c>
      <c r="N416" t="s">
        <v>22</v>
      </c>
    </row>
    <row r="417" spans="1:14" x14ac:dyDescent="0.25">
      <c r="A417" t="s">
        <v>1292</v>
      </c>
      <c r="B417" s="1">
        <v>45992</v>
      </c>
      <c r="C417" t="s">
        <v>1293</v>
      </c>
      <c r="D417" t="s">
        <v>1294</v>
      </c>
      <c r="E417" s="14">
        <v>923457530182</v>
      </c>
      <c r="F417" t="s">
        <v>92</v>
      </c>
      <c r="G417" t="s">
        <v>18</v>
      </c>
      <c r="H417" t="s">
        <v>73</v>
      </c>
      <c r="I417">
        <v>1</v>
      </c>
      <c r="J417">
        <v>7113</v>
      </c>
      <c r="K417">
        <v>7113</v>
      </c>
      <c r="L417" t="s">
        <v>68</v>
      </c>
      <c r="M417" t="s">
        <v>55</v>
      </c>
      <c r="N417" t="s">
        <v>35</v>
      </c>
    </row>
    <row r="418" spans="1:14" x14ac:dyDescent="0.25">
      <c r="A418" t="s">
        <v>1295</v>
      </c>
      <c r="B418" s="1">
        <v>45705</v>
      </c>
      <c r="C418" t="s">
        <v>1296</v>
      </c>
      <c r="D418" t="s">
        <v>1297</v>
      </c>
      <c r="E418" s="14">
        <v>923229909713</v>
      </c>
      <c r="F418" t="s">
        <v>54</v>
      </c>
      <c r="G418" t="s">
        <v>18</v>
      </c>
      <c r="H418" t="s">
        <v>33</v>
      </c>
      <c r="I418">
        <v>3</v>
      </c>
      <c r="J418">
        <v>3871</v>
      </c>
      <c r="K418">
        <v>11613</v>
      </c>
      <c r="L418" t="s">
        <v>40</v>
      </c>
      <c r="M418" t="s">
        <v>21</v>
      </c>
      <c r="N418" t="s">
        <v>22</v>
      </c>
    </row>
    <row r="419" spans="1:14" x14ac:dyDescent="0.25">
      <c r="A419" t="s">
        <v>1298</v>
      </c>
      <c r="B419" s="1">
        <v>45801</v>
      </c>
      <c r="C419" t="s">
        <v>1299</v>
      </c>
      <c r="D419" t="s">
        <v>1300</v>
      </c>
      <c r="E419" s="14">
        <v>923393670536</v>
      </c>
      <c r="F419" t="s">
        <v>32</v>
      </c>
      <c r="G419" t="s">
        <v>18</v>
      </c>
      <c r="H419" t="s">
        <v>50</v>
      </c>
      <c r="I419">
        <v>1</v>
      </c>
      <c r="J419">
        <v>8989</v>
      </c>
      <c r="K419">
        <v>8989</v>
      </c>
      <c r="L419" t="s">
        <v>26</v>
      </c>
      <c r="M419" t="s">
        <v>34</v>
      </c>
      <c r="N419" t="s">
        <v>35</v>
      </c>
    </row>
    <row r="420" spans="1:14" x14ac:dyDescent="0.25">
      <c r="A420" t="s">
        <v>1301</v>
      </c>
      <c r="B420" s="1">
        <v>45789</v>
      </c>
      <c r="C420" t="s">
        <v>1302</v>
      </c>
      <c r="D420" t="s">
        <v>1303</v>
      </c>
      <c r="E420" s="14">
        <v>923380127218</v>
      </c>
      <c r="F420" t="s">
        <v>77</v>
      </c>
      <c r="G420" t="s">
        <v>18</v>
      </c>
      <c r="H420" t="s">
        <v>50</v>
      </c>
      <c r="I420">
        <v>1</v>
      </c>
      <c r="J420">
        <v>14445</v>
      </c>
      <c r="K420">
        <v>14445</v>
      </c>
      <c r="L420" t="s">
        <v>63</v>
      </c>
      <c r="M420" t="s">
        <v>82</v>
      </c>
      <c r="N420" t="s">
        <v>28</v>
      </c>
    </row>
    <row r="421" spans="1:14" x14ac:dyDescent="0.25">
      <c r="A421" t="s">
        <v>1304</v>
      </c>
      <c r="B421" s="1">
        <v>45898</v>
      </c>
      <c r="C421" t="s">
        <v>1305</v>
      </c>
      <c r="D421" t="s">
        <v>1306</v>
      </c>
      <c r="E421" s="14">
        <v>923035476295</v>
      </c>
      <c r="F421" t="s">
        <v>44</v>
      </c>
      <c r="G421" t="s">
        <v>18</v>
      </c>
      <c r="H421" t="s">
        <v>73</v>
      </c>
      <c r="I421">
        <v>1</v>
      </c>
      <c r="J421">
        <v>14889</v>
      </c>
      <c r="K421">
        <v>14889</v>
      </c>
      <c r="L421" t="s">
        <v>68</v>
      </c>
      <c r="M421" t="s">
        <v>93</v>
      </c>
      <c r="N421" t="s">
        <v>69</v>
      </c>
    </row>
    <row r="422" spans="1:14" x14ac:dyDescent="0.25">
      <c r="A422" t="s">
        <v>1307</v>
      </c>
      <c r="B422" s="1">
        <v>45778</v>
      </c>
      <c r="C422" t="s">
        <v>1308</v>
      </c>
      <c r="D422" t="s">
        <v>1309</v>
      </c>
      <c r="E422" s="14">
        <v>923334412369</v>
      </c>
      <c r="F422" t="s">
        <v>106</v>
      </c>
      <c r="G422" t="s">
        <v>18</v>
      </c>
      <c r="H422" t="s">
        <v>33</v>
      </c>
      <c r="I422">
        <v>1</v>
      </c>
      <c r="J422">
        <v>5920</v>
      </c>
      <c r="K422">
        <v>5920</v>
      </c>
      <c r="L422" t="s">
        <v>78</v>
      </c>
      <c r="M422" t="s">
        <v>45</v>
      </c>
      <c r="N422" t="s">
        <v>22</v>
      </c>
    </row>
    <row r="423" spans="1:14" x14ac:dyDescent="0.25">
      <c r="A423" t="s">
        <v>1310</v>
      </c>
      <c r="B423" s="1">
        <v>45727</v>
      </c>
      <c r="C423" t="s">
        <v>1311</v>
      </c>
      <c r="D423" t="s">
        <v>1312</v>
      </c>
      <c r="E423" s="14">
        <v>923378997220</v>
      </c>
      <c r="F423" t="s">
        <v>17</v>
      </c>
      <c r="G423" t="s">
        <v>18</v>
      </c>
      <c r="H423" t="s">
        <v>59</v>
      </c>
      <c r="I423">
        <v>5</v>
      </c>
      <c r="J423">
        <v>10864</v>
      </c>
      <c r="K423">
        <v>54320</v>
      </c>
      <c r="L423" t="s">
        <v>63</v>
      </c>
      <c r="M423" t="s">
        <v>27</v>
      </c>
      <c r="N423" t="s">
        <v>35</v>
      </c>
    </row>
    <row r="424" spans="1:14" x14ac:dyDescent="0.25">
      <c r="A424" t="s">
        <v>1313</v>
      </c>
      <c r="B424" s="1">
        <v>45942</v>
      </c>
      <c r="C424" t="s">
        <v>1314</v>
      </c>
      <c r="D424" t="s">
        <v>1315</v>
      </c>
      <c r="E424" s="14">
        <v>923397458118</v>
      </c>
      <c r="F424" t="s">
        <v>17</v>
      </c>
      <c r="G424" t="s">
        <v>18</v>
      </c>
      <c r="H424" t="s">
        <v>33</v>
      </c>
      <c r="I424">
        <v>3</v>
      </c>
      <c r="J424">
        <v>14522</v>
      </c>
      <c r="K424">
        <v>43566</v>
      </c>
      <c r="L424" t="s">
        <v>68</v>
      </c>
      <c r="M424" t="s">
        <v>82</v>
      </c>
      <c r="N424" t="s">
        <v>28</v>
      </c>
    </row>
    <row r="425" spans="1:14" x14ac:dyDescent="0.25">
      <c r="A425" t="s">
        <v>1316</v>
      </c>
      <c r="B425" s="1">
        <v>46041</v>
      </c>
      <c r="C425" t="s">
        <v>1317</v>
      </c>
      <c r="D425" t="s">
        <v>1318</v>
      </c>
      <c r="E425" s="14">
        <v>923456333577</v>
      </c>
      <c r="F425" t="s">
        <v>17</v>
      </c>
      <c r="G425" t="s">
        <v>18</v>
      </c>
      <c r="H425" t="s">
        <v>39</v>
      </c>
      <c r="I425">
        <v>5</v>
      </c>
      <c r="J425">
        <v>3979</v>
      </c>
      <c r="K425">
        <v>19895</v>
      </c>
      <c r="L425" t="s">
        <v>20</v>
      </c>
      <c r="M425" t="s">
        <v>34</v>
      </c>
      <c r="N425" t="s">
        <v>35</v>
      </c>
    </row>
    <row r="426" spans="1:14" x14ac:dyDescent="0.25">
      <c r="A426" t="s">
        <v>1319</v>
      </c>
      <c r="B426" s="1">
        <v>45818</v>
      </c>
      <c r="C426" t="s">
        <v>1320</v>
      </c>
      <c r="D426" t="s">
        <v>1321</v>
      </c>
      <c r="E426" s="14">
        <v>923042459744</v>
      </c>
      <c r="F426" t="s">
        <v>67</v>
      </c>
      <c r="G426" t="s">
        <v>18</v>
      </c>
      <c r="H426" t="s">
        <v>73</v>
      </c>
      <c r="I426">
        <v>1</v>
      </c>
      <c r="J426">
        <v>10008</v>
      </c>
      <c r="K426">
        <v>10008</v>
      </c>
      <c r="L426" t="s">
        <v>68</v>
      </c>
      <c r="M426" t="s">
        <v>21</v>
      </c>
      <c r="N426" t="s">
        <v>22</v>
      </c>
    </row>
    <row r="427" spans="1:14" x14ac:dyDescent="0.25">
      <c r="A427" t="s">
        <v>1322</v>
      </c>
      <c r="B427" s="1">
        <v>45710</v>
      </c>
      <c r="C427" t="s">
        <v>1323</v>
      </c>
      <c r="D427" t="s">
        <v>1324</v>
      </c>
      <c r="E427" s="14">
        <v>923149967021</v>
      </c>
      <c r="F427" t="s">
        <v>17</v>
      </c>
      <c r="G427" t="s">
        <v>18</v>
      </c>
      <c r="H427" t="s">
        <v>39</v>
      </c>
      <c r="I427">
        <v>4</v>
      </c>
      <c r="J427">
        <v>6501</v>
      </c>
      <c r="K427">
        <v>26004</v>
      </c>
      <c r="L427" t="s">
        <v>20</v>
      </c>
      <c r="M427" t="s">
        <v>21</v>
      </c>
      <c r="N427" t="s">
        <v>35</v>
      </c>
    </row>
    <row r="428" spans="1:14" x14ac:dyDescent="0.25">
      <c r="A428" t="s">
        <v>1325</v>
      </c>
      <c r="B428" s="1">
        <v>45858</v>
      </c>
      <c r="C428" t="s">
        <v>1326</v>
      </c>
      <c r="D428" t="s">
        <v>1327</v>
      </c>
      <c r="E428" s="14">
        <v>923421449563</v>
      </c>
      <c r="F428" t="s">
        <v>122</v>
      </c>
      <c r="G428" t="s">
        <v>18</v>
      </c>
      <c r="H428" t="s">
        <v>33</v>
      </c>
      <c r="I428">
        <v>4</v>
      </c>
      <c r="J428">
        <v>2912</v>
      </c>
      <c r="K428">
        <v>11648</v>
      </c>
      <c r="L428" t="s">
        <v>78</v>
      </c>
      <c r="M428" t="s">
        <v>45</v>
      </c>
      <c r="N428" t="s">
        <v>22</v>
      </c>
    </row>
    <row r="429" spans="1:14" x14ac:dyDescent="0.25">
      <c r="A429" t="s">
        <v>1328</v>
      </c>
      <c r="B429" s="1">
        <v>45990</v>
      </c>
      <c r="C429" t="s">
        <v>1329</v>
      </c>
      <c r="D429" t="s">
        <v>1330</v>
      </c>
      <c r="E429" s="14">
        <v>923426123066</v>
      </c>
      <c r="F429" t="s">
        <v>44</v>
      </c>
      <c r="G429" t="s">
        <v>18</v>
      </c>
      <c r="H429" t="s">
        <v>33</v>
      </c>
      <c r="I429">
        <v>1</v>
      </c>
      <c r="J429">
        <v>14589</v>
      </c>
      <c r="K429">
        <v>14589</v>
      </c>
      <c r="L429" t="s">
        <v>68</v>
      </c>
      <c r="M429" t="s">
        <v>55</v>
      </c>
      <c r="N429" t="s">
        <v>35</v>
      </c>
    </row>
    <row r="430" spans="1:14" x14ac:dyDescent="0.25">
      <c r="A430" t="s">
        <v>1331</v>
      </c>
      <c r="B430" s="1">
        <v>45787</v>
      </c>
      <c r="C430" t="s">
        <v>1332</v>
      </c>
      <c r="D430" t="s">
        <v>1333</v>
      </c>
      <c r="E430" s="14">
        <v>923445364989</v>
      </c>
      <c r="F430" t="s">
        <v>54</v>
      </c>
      <c r="G430" t="s">
        <v>18</v>
      </c>
      <c r="H430" t="s">
        <v>59</v>
      </c>
      <c r="I430">
        <v>2</v>
      </c>
      <c r="J430">
        <v>7625</v>
      </c>
      <c r="K430">
        <v>15250</v>
      </c>
      <c r="L430" t="s">
        <v>63</v>
      </c>
      <c r="M430" t="s">
        <v>55</v>
      </c>
      <c r="N430" t="s">
        <v>28</v>
      </c>
    </row>
    <row r="431" spans="1:14" x14ac:dyDescent="0.25">
      <c r="A431" t="s">
        <v>1334</v>
      </c>
      <c r="B431" s="1">
        <v>45793</v>
      </c>
      <c r="C431" t="s">
        <v>1335</v>
      </c>
      <c r="D431" t="s">
        <v>1336</v>
      </c>
      <c r="E431" s="14">
        <v>923138388943</v>
      </c>
      <c r="F431" t="s">
        <v>49</v>
      </c>
      <c r="G431" t="s">
        <v>18</v>
      </c>
      <c r="H431" t="s">
        <v>50</v>
      </c>
      <c r="I431">
        <v>5</v>
      </c>
      <c r="J431">
        <v>2353</v>
      </c>
      <c r="K431">
        <v>11765</v>
      </c>
      <c r="L431" t="s">
        <v>68</v>
      </c>
      <c r="M431" t="s">
        <v>45</v>
      </c>
      <c r="N431" t="s">
        <v>28</v>
      </c>
    </row>
    <row r="432" spans="1:14" x14ac:dyDescent="0.25">
      <c r="A432" t="s">
        <v>1337</v>
      </c>
      <c r="B432" s="1">
        <v>45836</v>
      </c>
      <c r="C432" t="s">
        <v>1338</v>
      </c>
      <c r="D432" t="s">
        <v>1339</v>
      </c>
      <c r="E432" s="14">
        <v>923258666001</v>
      </c>
      <c r="F432" t="s">
        <v>92</v>
      </c>
      <c r="G432" t="s">
        <v>18</v>
      </c>
      <c r="H432" t="s">
        <v>19</v>
      </c>
      <c r="I432">
        <v>3</v>
      </c>
      <c r="J432">
        <v>13833</v>
      </c>
      <c r="K432">
        <v>41499</v>
      </c>
      <c r="L432" t="s">
        <v>26</v>
      </c>
      <c r="M432" t="s">
        <v>21</v>
      </c>
      <c r="N432" t="s">
        <v>35</v>
      </c>
    </row>
    <row r="433" spans="1:14" x14ac:dyDescent="0.25">
      <c r="A433" t="s">
        <v>1340</v>
      </c>
      <c r="B433" s="1">
        <v>45835</v>
      </c>
      <c r="C433" t="s">
        <v>1341</v>
      </c>
      <c r="D433" t="s">
        <v>1342</v>
      </c>
      <c r="E433" s="14">
        <v>923016139643</v>
      </c>
      <c r="F433" t="s">
        <v>32</v>
      </c>
      <c r="G433" t="s">
        <v>18</v>
      </c>
      <c r="H433" t="s">
        <v>59</v>
      </c>
      <c r="I433">
        <v>1</v>
      </c>
      <c r="J433">
        <v>6770</v>
      </c>
      <c r="K433">
        <v>6770</v>
      </c>
      <c r="L433" t="s">
        <v>78</v>
      </c>
      <c r="M433" t="s">
        <v>55</v>
      </c>
      <c r="N433" t="s">
        <v>69</v>
      </c>
    </row>
    <row r="434" spans="1:14" x14ac:dyDescent="0.25">
      <c r="A434" t="s">
        <v>1343</v>
      </c>
      <c r="B434" s="1">
        <v>45833</v>
      </c>
      <c r="C434" t="s">
        <v>1344</v>
      </c>
      <c r="D434" t="s">
        <v>1345</v>
      </c>
      <c r="E434" s="14">
        <v>923046887177</v>
      </c>
      <c r="F434" t="s">
        <v>77</v>
      </c>
      <c r="G434" t="s">
        <v>18</v>
      </c>
      <c r="H434" t="s">
        <v>50</v>
      </c>
      <c r="I434">
        <v>4</v>
      </c>
      <c r="J434">
        <v>14523</v>
      </c>
      <c r="K434">
        <v>58092</v>
      </c>
      <c r="L434" t="s">
        <v>68</v>
      </c>
      <c r="M434" t="s">
        <v>34</v>
      </c>
      <c r="N434" t="s">
        <v>28</v>
      </c>
    </row>
    <row r="435" spans="1:14" x14ac:dyDescent="0.25">
      <c r="A435" t="s">
        <v>1346</v>
      </c>
      <c r="B435" s="1">
        <v>45731</v>
      </c>
      <c r="C435" t="s">
        <v>1347</v>
      </c>
      <c r="D435" t="s">
        <v>1348</v>
      </c>
      <c r="E435" s="14">
        <v>923489196035</v>
      </c>
      <c r="F435" t="s">
        <v>92</v>
      </c>
      <c r="G435" t="s">
        <v>18</v>
      </c>
      <c r="H435" t="s">
        <v>19</v>
      </c>
      <c r="I435">
        <v>2</v>
      </c>
      <c r="J435">
        <v>14032</v>
      </c>
      <c r="K435">
        <v>28064</v>
      </c>
      <c r="L435" t="s">
        <v>26</v>
      </c>
      <c r="M435" t="s">
        <v>82</v>
      </c>
      <c r="N435" t="s">
        <v>28</v>
      </c>
    </row>
    <row r="436" spans="1:14" x14ac:dyDescent="0.25">
      <c r="A436" t="s">
        <v>1349</v>
      </c>
      <c r="B436" s="1">
        <v>45824</v>
      </c>
      <c r="C436" t="s">
        <v>1350</v>
      </c>
      <c r="D436" t="s">
        <v>1351</v>
      </c>
      <c r="E436" s="14">
        <v>923053232971</v>
      </c>
      <c r="F436" t="s">
        <v>44</v>
      </c>
      <c r="G436" t="s">
        <v>18</v>
      </c>
      <c r="H436" t="s">
        <v>19</v>
      </c>
      <c r="I436">
        <v>2</v>
      </c>
      <c r="J436">
        <v>9107</v>
      </c>
      <c r="K436">
        <v>18214</v>
      </c>
      <c r="L436" t="s">
        <v>40</v>
      </c>
      <c r="M436" t="s">
        <v>55</v>
      </c>
      <c r="N436" t="s">
        <v>22</v>
      </c>
    </row>
    <row r="437" spans="1:14" x14ac:dyDescent="0.25">
      <c r="A437" t="s">
        <v>1352</v>
      </c>
      <c r="B437" s="1">
        <v>45921</v>
      </c>
      <c r="C437" t="s">
        <v>1353</v>
      </c>
      <c r="D437" t="s">
        <v>1354</v>
      </c>
      <c r="E437" s="14">
        <v>923437218734</v>
      </c>
      <c r="F437" t="s">
        <v>49</v>
      </c>
      <c r="G437" t="s">
        <v>18</v>
      </c>
      <c r="H437" t="s">
        <v>50</v>
      </c>
      <c r="I437">
        <v>4</v>
      </c>
      <c r="J437">
        <v>12482</v>
      </c>
      <c r="K437">
        <v>49928</v>
      </c>
      <c r="L437" t="s">
        <v>20</v>
      </c>
      <c r="M437" t="s">
        <v>55</v>
      </c>
      <c r="N437" t="s">
        <v>69</v>
      </c>
    </row>
    <row r="438" spans="1:14" x14ac:dyDescent="0.25">
      <c r="A438" t="s">
        <v>1355</v>
      </c>
      <c r="B438" s="1">
        <v>45782</v>
      </c>
      <c r="C438" t="s">
        <v>1356</v>
      </c>
      <c r="D438" t="s">
        <v>1357</v>
      </c>
      <c r="E438" s="14">
        <v>923223102900</v>
      </c>
      <c r="F438" t="s">
        <v>92</v>
      </c>
      <c r="G438" t="s">
        <v>18</v>
      </c>
      <c r="H438" t="s">
        <v>39</v>
      </c>
      <c r="I438">
        <v>3</v>
      </c>
      <c r="J438">
        <v>1488</v>
      </c>
      <c r="K438">
        <v>4464</v>
      </c>
      <c r="L438" t="s">
        <v>68</v>
      </c>
      <c r="M438" t="s">
        <v>55</v>
      </c>
      <c r="N438" t="s">
        <v>28</v>
      </c>
    </row>
    <row r="439" spans="1:14" x14ac:dyDescent="0.25">
      <c r="A439" t="s">
        <v>1358</v>
      </c>
      <c r="B439" s="1">
        <v>46049</v>
      </c>
      <c r="C439" t="s">
        <v>1359</v>
      </c>
      <c r="D439" t="s">
        <v>1360</v>
      </c>
      <c r="E439" s="14">
        <v>923398510843</v>
      </c>
      <c r="F439" t="s">
        <v>106</v>
      </c>
      <c r="G439" t="s">
        <v>18</v>
      </c>
      <c r="H439" t="s">
        <v>39</v>
      </c>
      <c r="I439">
        <v>5</v>
      </c>
      <c r="J439">
        <v>1089</v>
      </c>
      <c r="K439">
        <v>5445</v>
      </c>
      <c r="L439" t="s">
        <v>26</v>
      </c>
      <c r="M439" t="s">
        <v>34</v>
      </c>
      <c r="N439" t="s">
        <v>22</v>
      </c>
    </row>
    <row r="440" spans="1:14" x14ac:dyDescent="0.25">
      <c r="A440" t="s">
        <v>1361</v>
      </c>
      <c r="B440" s="1">
        <v>45751</v>
      </c>
      <c r="C440" t="s">
        <v>1362</v>
      </c>
      <c r="D440" t="s">
        <v>1363</v>
      </c>
      <c r="E440" s="14">
        <v>923426407261</v>
      </c>
      <c r="F440" t="s">
        <v>54</v>
      </c>
      <c r="G440" t="s">
        <v>18</v>
      </c>
      <c r="H440" t="s">
        <v>59</v>
      </c>
      <c r="I440">
        <v>5</v>
      </c>
      <c r="J440">
        <v>6933</v>
      </c>
      <c r="K440">
        <v>34665</v>
      </c>
      <c r="L440" t="s">
        <v>26</v>
      </c>
      <c r="M440" t="s">
        <v>34</v>
      </c>
      <c r="N440" t="s">
        <v>35</v>
      </c>
    </row>
    <row r="441" spans="1:14" x14ac:dyDescent="0.25">
      <c r="A441" t="s">
        <v>1364</v>
      </c>
      <c r="B441" s="1">
        <v>45873</v>
      </c>
      <c r="C441" t="s">
        <v>1365</v>
      </c>
      <c r="D441" t="s">
        <v>1366</v>
      </c>
      <c r="E441" s="14">
        <v>923350460548</v>
      </c>
      <c r="F441" t="s">
        <v>44</v>
      </c>
      <c r="G441" t="s">
        <v>18</v>
      </c>
      <c r="H441" t="s">
        <v>73</v>
      </c>
      <c r="I441">
        <v>5</v>
      </c>
      <c r="J441">
        <v>4037</v>
      </c>
      <c r="K441">
        <v>20185</v>
      </c>
      <c r="L441" t="s">
        <v>68</v>
      </c>
      <c r="M441" t="s">
        <v>34</v>
      </c>
      <c r="N441" t="s">
        <v>22</v>
      </c>
    </row>
    <row r="442" spans="1:14" x14ac:dyDescent="0.25">
      <c r="A442" t="s">
        <v>1367</v>
      </c>
      <c r="B442" s="1">
        <v>46024</v>
      </c>
      <c r="C442" t="s">
        <v>1368</v>
      </c>
      <c r="D442" t="s">
        <v>1369</v>
      </c>
      <c r="E442" s="14">
        <v>923055512254</v>
      </c>
      <c r="F442" t="s">
        <v>17</v>
      </c>
      <c r="G442" t="s">
        <v>18</v>
      </c>
      <c r="H442" t="s">
        <v>33</v>
      </c>
      <c r="I442">
        <v>4</v>
      </c>
      <c r="J442">
        <v>10598</v>
      </c>
      <c r="K442">
        <v>42392</v>
      </c>
      <c r="L442" t="s">
        <v>40</v>
      </c>
      <c r="M442" t="s">
        <v>34</v>
      </c>
      <c r="N442" t="s">
        <v>28</v>
      </c>
    </row>
    <row r="443" spans="1:14" x14ac:dyDescent="0.25">
      <c r="A443" t="s">
        <v>1370</v>
      </c>
      <c r="B443" s="1">
        <v>45920</v>
      </c>
      <c r="C443" t="s">
        <v>1371</v>
      </c>
      <c r="D443" t="s">
        <v>1372</v>
      </c>
      <c r="E443" s="14">
        <v>923489272263</v>
      </c>
      <c r="F443" t="s">
        <v>67</v>
      </c>
      <c r="G443" t="s">
        <v>18</v>
      </c>
      <c r="H443" t="s">
        <v>59</v>
      </c>
      <c r="I443">
        <v>5</v>
      </c>
      <c r="J443">
        <v>8351</v>
      </c>
      <c r="K443">
        <v>41755</v>
      </c>
      <c r="L443" t="s">
        <v>40</v>
      </c>
      <c r="M443" t="s">
        <v>21</v>
      </c>
      <c r="N443" t="s">
        <v>69</v>
      </c>
    </row>
    <row r="444" spans="1:14" x14ac:dyDescent="0.25">
      <c r="A444" t="s">
        <v>1373</v>
      </c>
      <c r="B444" s="1">
        <v>45729</v>
      </c>
      <c r="C444" t="s">
        <v>1374</v>
      </c>
      <c r="D444" t="s">
        <v>1375</v>
      </c>
      <c r="E444" s="14">
        <v>923020826899</v>
      </c>
      <c r="F444" t="s">
        <v>67</v>
      </c>
      <c r="G444" t="s">
        <v>18</v>
      </c>
      <c r="H444" t="s">
        <v>73</v>
      </c>
      <c r="I444">
        <v>2</v>
      </c>
      <c r="J444">
        <v>12089</v>
      </c>
      <c r="K444">
        <v>24178</v>
      </c>
      <c r="L444" t="s">
        <v>63</v>
      </c>
      <c r="M444" t="s">
        <v>21</v>
      </c>
      <c r="N444" t="s">
        <v>28</v>
      </c>
    </row>
    <row r="445" spans="1:14" x14ac:dyDescent="0.25">
      <c r="A445" t="s">
        <v>1376</v>
      </c>
      <c r="B445" s="1">
        <v>46057</v>
      </c>
      <c r="C445" t="s">
        <v>1377</v>
      </c>
      <c r="D445" t="s">
        <v>1378</v>
      </c>
      <c r="E445" s="14">
        <v>923379024786</v>
      </c>
      <c r="F445" t="s">
        <v>54</v>
      </c>
      <c r="G445" t="s">
        <v>18</v>
      </c>
      <c r="H445" t="s">
        <v>39</v>
      </c>
      <c r="I445">
        <v>5</v>
      </c>
      <c r="J445">
        <v>9249</v>
      </c>
      <c r="K445">
        <v>46245</v>
      </c>
      <c r="L445" t="s">
        <v>68</v>
      </c>
      <c r="M445" t="s">
        <v>34</v>
      </c>
      <c r="N445" t="s">
        <v>22</v>
      </c>
    </row>
    <row r="446" spans="1:14" x14ac:dyDescent="0.25">
      <c r="A446" t="s">
        <v>1379</v>
      </c>
      <c r="B446" s="1">
        <v>45748</v>
      </c>
      <c r="C446" t="s">
        <v>1380</v>
      </c>
      <c r="D446" t="s">
        <v>1381</v>
      </c>
      <c r="E446" s="14">
        <v>923146778868</v>
      </c>
      <c r="F446" t="s">
        <v>54</v>
      </c>
      <c r="G446" t="s">
        <v>18</v>
      </c>
      <c r="H446" t="s">
        <v>59</v>
      </c>
      <c r="I446">
        <v>2</v>
      </c>
      <c r="J446">
        <v>8372</v>
      </c>
      <c r="K446">
        <v>16744</v>
      </c>
      <c r="L446" t="s">
        <v>78</v>
      </c>
      <c r="M446" t="s">
        <v>45</v>
      </c>
      <c r="N446" t="s">
        <v>22</v>
      </c>
    </row>
    <row r="447" spans="1:14" x14ac:dyDescent="0.25">
      <c r="A447" t="s">
        <v>1382</v>
      </c>
      <c r="B447" s="1">
        <v>45878</v>
      </c>
      <c r="C447" t="s">
        <v>1383</v>
      </c>
      <c r="D447" t="s">
        <v>1384</v>
      </c>
      <c r="E447" s="14">
        <v>923320184069</v>
      </c>
      <c r="F447" t="s">
        <v>54</v>
      </c>
      <c r="G447" t="s">
        <v>18</v>
      </c>
      <c r="H447" t="s">
        <v>73</v>
      </c>
      <c r="I447">
        <v>1</v>
      </c>
      <c r="J447">
        <v>14461</v>
      </c>
      <c r="K447">
        <v>14461</v>
      </c>
      <c r="L447" t="s">
        <v>78</v>
      </c>
      <c r="M447" t="s">
        <v>135</v>
      </c>
      <c r="N447" t="s">
        <v>28</v>
      </c>
    </row>
    <row r="448" spans="1:14" x14ac:dyDescent="0.25">
      <c r="A448" t="s">
        <v>1385</v>
      </c>
      <c r="B448" s="1">
        <v>46061</v>
      </c>
      <c r="C448" t="s">
        <v>1386</v>
      </c>
      <c r="D448" t="s">
        <v>1387</v>
      </c>
      <c r="E448" s="14">
        <v>923414955950</v>
      </c>
      <c r="F448" t="s">
        <v>67</v>
      </c>
      <c r="G448" t="s">
        <v>18</v>
      </c>
      <c r="H448" t="s">
        <v>73</v>
      </c>
      <c r="I448">
        <v>3</v>
      </c>
      <c r="J448">
        <v>8842</v>
      </c>
      <c r="K448">
        <v>26526</v>
      </c>
      <c r="L448" t="s">
        <v>20</v>
      </c>
      <c r="M448" t="s">
        <v>45</v>
      </c>
      <c r="N448" t="s">
        <v>35</v>
      </c>
    </row>
    <row r="449" spans="1:14" x14ac:dyDescent="0.25">
      <c r="A449" t="s">
        <v>1388</v>
      </c>
      <c r="B449" s="1">
        <v>46029</v>
      </c>
      <c r="C449" t="s">
        <v>1389</v>
      </c>
      <c r="D449" t="s">
        <v>1390</v>
      </c>
      <c r="E449" s="14">
        <v>923331083923</v>
      </c>
      <c r="F449" t="s">
        <v>17</v>
      </c>
      <c r="G449" t="s">
        <v>18</v>
      </c>
      <c r="H449" t="s">
        <v>33</v>
      </c>
      <c r="I449">
        <v>3</v>
      </c>
      <c r="J449">
        <v>12215</v>
      </c>
      <c r="K449">
        <v>36645</v>
      </c>
      <c r="L449" t="s">
        <v>26</v>
      </c>
      <c r="M449" t="s">
        <v>55</v>
      </c>
      <c r="N449" t="s">
        <v>69</v>
      </c>
    </row>
    <row r="450" spans="1:14" x14ac:dyDescent="0.25">
      <c r="A450" t="s">
        <v>1391</v>
      </c>
      <c r="B450" s="1">
        <v>46020</v>
      </c>
      <c r="C450" t="s">
        <v>1392</v>
      </c>
      <c r="D450" t="s">
        <v>1393</v>
      </c>
      <c r="E450" s="14">
        <v>923387336711</v>
      </c>
      <c r="F450" t="s">
        <v>49</v>
      </c>
      <c r="G450" t="s">
        <v>18</v>
      </c>
      <c r="H450" t="s">
        <v>33</v>
      </c>
      <c r="I450">
        <v>1</v>
      </c>
      <c r="J450">
        <v>6846</v>
      </c>
      <c r="K450">
        <v>6846</v>
      </c>
      <c r="L450" t="s">
        <v>26</v>
      </c>
      <c r="M450" t="s">
        <v>34</v>
      </c>
      <c r="N450" t="s">
        <v>69</v>
      </c>
    </row>
    <row r="451" spans="1:14" x14ac:dyDescent="0.25">
      <c r="A451" t="s">
        <v>1394</v>
      </c>
      <c r="B451" s="1">
        <v>46069</v>
      </c>
      <c r="C451" t="s">
        <v>1395</v>
      </c>
      <c r="D451" t="s">
        <v>1396</v>
      </c>
      <c r="E451" s="14">
        <v>923173655929</v>
      </c>
      <c r="F451" t="s">
        <v>54</v>
      </c>
      <c r="G451" t="s">
        <v>18</v>
      </c>
      <c r="H451" t="s">
        <v>33</v>
      </c>
      <c r="I451">
        <v>5</v>
      </c>
      <c r="J451">
        <v>1162</v>
      </c>
      <c r="K451">
        <v>5810</v>
      </c>
      <c r="L451" t="s">
        <v>20</v>
      </c>
      <c r="M451" t="s">
        <v>21</v>
      </c>
      <c r="N451" t="s">
        <v>22</v>
      </c>
    </row>
    <row r="452" spans="1:14" x14ac:dyDescent="0.25">
      <c r="A452" t="s">
        <v>1397</v>
      </c>
      <c r="B452" s="1">
        <v>45834</v>
      </c>
      <c r="C452" t="s">
        <v>1398</v>
      </c>
      <c r="D452" t="s">
        <v>1399</v>
      </c>
      <c r="E452" s="14">
        <v>923257903994</v>
      </c>
      <c r="F452" t="s">
        <v>67</v>
      </c>
      <c r="G452" t="s">
        <v>18</v>
      </c>
      <c r="H452" t="s">
        <v>50</v>
      </c>
      <c r="I452">
        <v>1</v>
      </c>
      <c r="J452">
        <v>1919</v>
      </c>
      <c r="K452">
        <v>1919</v>
      </c>
      <c r="L452" t="s">
        <v>63</v>
      </c>
      <c r="M452" t="s">
        <v>135</v>
      </c>
      <c r="N452" t="s">
        <v>35</v>
      </c>
    </row>
    <row r="453" spans="1:14" x14ac:dyDescent="0.25">
      <c r="A453" t="s">
        <v>1400</v>
      </c>
      <c r="B453" s="1">
        <v>45779</v>
      </c>
      <c r="C453" t="s">
        <v>1401</v>
      </c>
      <c r="D453" t="s">
        <v>1402</v>
      </c>
      <c r="E453" s="14">
        <v>923351530654</v>
      </c>
      <c r="F453" t="s">
        <v>44</v>
      </c>
      <c r="G453" t="s">
        <v>18</v>
      </c>
      <c r="H453" t="s">
        <v>19</v>
      </c>
      <c r="I453">
        <v>4</v>
      </c>
      <c r="J453">
        <v>10217</v>
      </c>
      <c r="K453">
        <v>40868</v>
      </c>
      <c r="L453" t="s">
        <v>40</v>
      </c>
      <c r="M453" t="s">
        <v>82</v>
      </c>
      <c r="N453" t="s">
        <v>28</v>
      </c>
    </row>
    <row r="454" spans="1:14" x14ac:dyDescent="0.25">
      <c r="A454" t="s">
        <v>1403</v>
      </c>
      <c r="B454" s="1">
        <v>46060</v>
      </c>
      <c r="C454" t="s">
        <v>1404</v>
      </c>
      <c r="D454" t="s">
        <v>1405</v>
      </c>
      <c r="E454" s="14">
        <v>923412069449</v>
      </c>
      <c r="F454" t="s">
        <v>32</v>
      </c>
      <c r="G454" t="s">
        <v>18</v>
      </c>
      <c r="H454" t="s">
        <v>33</v>
      </c>
      <c r="I454">
        <v>3</v>
      </c>
      <c r="J454">
        <v>9484</v>
      </c>
      <c r="K454">
        <v>28452</v>
      </c>
      <c r="L454" t="s">
        <v>63</v>
      </c>
      <c r="M454" t="s">
        <v>45</v>
      </c>
      <c r="N454" t="s">
        <v>22</v>
      </c>
    </row>
    <row r="455" spans="1:14" x14ac:dyDescent="0.25">
      <c r="A455" t="s">
        <v>1406</v>
      </c>
      <c r="B455" s="1">
        <v>45957</v>
      </c>
      <c r="C455" t="s">
        <v>1407</v>
      </c>
      <c r="D455" t="s">
        <v>1408</v>
      </c>
      <c r="E455" s="14">
        <v>923315665781</v>
      </c>
      <c r="F455" t="s">
        <v>44</v>
      </c>
      <c r="G455" t="s">
        <v>18</v>
      </c>
      <c r="H455" t="s">
        <v>73</v>
      </c>
      <c r="I455">
        <v>2</v>
      </c>
      <c r="J455">
        <v>2620</v>
      </c>
      <c r="K455">
        <v>5240</v>
      </c>
      <c r="L455" t="s">
        <v>40</v>
      </c>
      <c r="M455" t="s">
        <v>21</v>
      </c>
      <c r="N455" t="s">
        <v>22</v>
      </c>
    </row>
    <row r="456" spans="1:14" x14ac:dyDescent="0.25">
      <c r="A456" t="s">
        <v>1409</v>
      </c>
      <c r="B456" s="1">
        <v>45872</v>
      </c>
      <c r="C456" t="s">
        <v>1410</v>
      </c>
      <c r="D456" t="s">
        <v>1411</v>
      </c>
      <c r="E456" s="14">
        <v>923220191043</v>
      </c>
      <c r="F456" t="s">
        <v>92</v>
      </c>
      <c r="G456" t="s">
        <v>18</v>
      </c>
      <c r="H456" t="s">
        <v>39</v>
      </c>
      <c r="I456">
        <v>3</v>
      </c>
      <c r="J456">
        <v>7538</v>
      </c>
      <c r="K456">
        <v>22614</v>
      </c>
      <c r="L456" t="s">
        <v>26</v>
      </c>
      <c r="M456" t="s">
        <v>135</v>
      </c>
      <c r="N456" t="s">
        <v>22</v>
      </c>
    </row>
    <row r="457" spans="1:14" x14ac:dyDescent="0.25">
      <c r="A457" t="s">
        <v>1412</v>
      </c>
      <c r="B457" s="1">
        <v>45934</v>
      </c>
      <c r="C457" t="s">
        <v>1413</v>
      </c>
      <c r="D457" t="s">
        <v>1414</v>
      </c>
      <c r="E457" s="14">
        <v>923180692972</v>
      </c>
      <c r="F457" t="s">
        <v>32</v>
      </c>
      <c r="G457" t="s">
        <v>18</v>
      </c>
      <c r="H457" t="s">
        <v>19</v>
      </c>
      <c r="I457">
        <v>2</v>
      </c>
      <c r="J457">
        <v>1058</v>
      </c>
      <c r="K457">
        <v>2116</v>
      </c>
      <c r="L457" t="s">
        <v>78</v>
      </c>
      <c r="M457" t="s">
        <v>82</v>
      </c>
      <c r="N457" t="s">
        <v>28</v>
      </c>
    </row>
    <row r="458" spans="1:14" x14ac:dyDescent="0.25">
      <c r="A458" t="s">
        <v>1415</v>
      </c>
      <c r="B458" s="1">
        <v>45791</v>
      </c>
      <c r="C458" t="s">
        <v>1416</v>
      </c>
      <c r="D458" t="s">
        <v>1417</v>
      </c>
      <c r="E458" s="14">
        <v>923393663381</v>
      </c>
      <c r="F458" t="s">
        <v>92</v>
      </c>
      <c r="G458" t="s">
        <v>18</v>
      </c>
      <c r="H458" t="s">
        <v>19</v>
      </c>
      <c r="I458">
        <v>1</v>
      </c>
      <c r="J458">
        <v>8128</v>
      </c>
      <c r="K458">
        <v>8128</v>
      </c>
      <c r="L458" t="s">
        <v>26</v>
      </c>
      <c r="M458" t="s">
        <v>45</v>
      </c>
      <c r="N458" t="s">
        <v>35</v>
      </c>
    </row>
    <row r="459" spans="1:14" x14ac:dyDescent="0.25">
      <c r="A459" t="s">
        <v>1418</v>
      </c>
      <c r="B459" s="1">
        <v>46045</v>
      </c>
      <c r="C459" t="s">
        <v>1419</v>
      </c>
      <c r="D459" t="s">
        <v>1420</v>
      </c>
      <c r="E459" s="14">
        <v>923035565106</v>
      </c>
      <c r="F459" t="s">
        <v>92</v>
      </c>
      <c r="G459" t="s">
        <v>18</v>
      </c>
      <c r="H459" t="s">
        <v>39</v>
      </c>
      <c r="I459">
        <v>3</v>
      </c>
      <c r="J459">
        <v>6418</v>
      </c>
      <c r="K459">
        <v>19254</v>
      </c>
      <c r="L459" t="s">
        <v>68</v>
      </c>
      <c r="M459" t="s">
        <v>135</v>
      </c>
      <c r="N459" t="s">
        <v>28</v>
      </c>
    </row>
    <row r="460" spans="1:14" x14ac:dyDescent="0.25">
      <c r="A460" t="s">
        <v>1421</v>
      </c>
      <c r="B460" s="1">
        <v>46022</v>
      </c>
      <c r="C460" t="s">
        <v>1422</v>
      </c>
      <c r="D460" t="s">
        <v>1423</v>
      </c>
      <c r="E460" s="14">
        <v>923451397608</v>
      </c>
      <c r="F460" t="s">
        <v>77</v>
      </c>
      <c r="G460" t="s">
        <v>18</v>
      </c>
      <c r="H460" t="s">
        <v>19</v>
      </c>
      <c r="I460">
        <v>2</v>
      </c>
      <c r="J460">
        <v>4711</v>
      </c>
      <c r="K460">
        <v>9422</v>
      </c>
      <c r="L460" t="s">
        <v>40</v>
      </c>
      <c r="M460" t="s">
        <v>93</v>
      </c>
      <c r="N460" t="s">
        <v>22</v>
      </c>
    </row>
    <row r="461" spans="1:14" x14ac:dyDescent="0.25">
      <c r="A461" t="s">
        <v>1424</v>
      </c>
      <c r="B461" s="1">
        <v>45756</v>
      </c>
      <c r="C461" t="s">
        <v>1425</v>
      </c>
      <c r="D461" t="s">
        <v>1426</v>
      </c>
      <c r="E461" s="14">
        <v>923166424029</v>
      </c>
      <c r="F461" t="s">
        <v>49</v>
      </c>
      <c r="G461" t="s">
        <v>18</v>
      </c>
      <c r="H461" t="s">
        <v>33</v>
      </c>
      <c r="I461">
        <v>2</v>
      </c>
      <c r="J461">
        <v>5414</v>
      </c>
      <c r="K461">
        <v>10828</v>
      </c>
      <c r="L461" t="s">
        <v>40</v>
      </c>
      <c r="M461" t="s">
        <v>93</v>
      </c>
      <c r="N461" t="s">
        <v>28</v>
      </c>
    </row>
    <row r="462" spans="1:14" x14ac:dyDescent="0.25">
      <c r="A462" t="s">
        <v>1427</v>
      </c>
      <c r="B462" s="1">
        <v>45791</v>
      </c>
      <c r="C462" t="s">
        <v>1428</v>
      </c>
      <c r="D462" t="s">
        <v>1429</v>
      </c>
      <c r="E462" s="14">
        <v>923315645043</v>
      </c>
      <c r="F462" t="s">
        <v>44</v>
      </c>
      <c r="G462" t="s">
        <v>18</v>
      </c>
      <c r="H462" t="s">
        <v>73</v>
      </c>
      <c r="I462">
        <v>1</v>
      </c>
      <c r="J462">
        <v>10414</v>
      </c>
      <c r="K462">
        <v>10414</v>
      </c>
      <c r="L462" t="s">
        <v>63</v>
      </c>
      <c r="M462" t="s">
        <v>27</v>
      </c>
      <c r="N462" t="s">
        <v>28</v>
      </c>
    </row>
    <row r="463" spans="1:14" x14ac:dyDescent="0.25">
      <c r="A463" t="s">
        <v>1430</v>
      </c>
      <c r="B463" s="1">
        <v>45866</v>
      </c>
      <c r="C463" t="s">
        <v>1431</v>
      </c>
      <c r="D463" t="s">
        <v>1432</v>
      </c>
      <c r="E463" s="14">
        <v>923430706848</v>
      </c>
      <c r="F463" t="s">
        <v>44</v>
      </c>
      <c r="G463" t="s">
        <v>18</v>
      </c>
      <c r="H463" t="s">
        <v>33</v>
      </c>
      <c r="I463">
        <v>2</v>
      </c>
      <c r="J463">
        <v>7746</v>
      </c>
      <c r="K463">
        <v>15492</v>
      </c>
      <c r="L463" t="s">
        <v>26</v>
      </c>
      <c r="M463" t="s">
        <v>93</v>
      </c>
      <c r="N463" t="s">
        <v>22</v>
      </c>
    </row>
    <row r="464" spans="1:14" x14ac:dyDescent="0.25">
      <c r="A464" t="s">
        <v>1433</v>
      </c>
      <c r="B464" s="1">
        <v>45998</v>
      </c>
      <c r="C464" t="s">
        <v>1434</v>
      </c>
      <c r="D464" t="s">
        <v>1435</v>
      </c>
      <c r="E464" s="14">
        <v>923391961793</v>
      </c>
      <c r="F464" t="s">
        <v>54</v>
      </c>
      <c r="G464" t="s">
        <v>18</v>
      </c>
      <c r="H464" t="s">
        <v>19</v>
      </c>
      <c r="I464">
        <v>2</v>
      </c>
      <c r="J464">
        <v>3100</v>
      </c>
      <c r="K464">
        <v>6200</v>
      </c>
      <c r="L464" t="s">
        <v>78</v>
      </c>
      <c r="M464" t="s">
        <v>135</v>
      </c>
      <c r="N464" t="s">
        <v>22</v>
      </c>
    </row>
    <row r="465" spans="1:14" x14ac:dyDescent="0.25">
      <c r="A465" t="s">
        <v>1436</v>
      </c>
      <c r="B465" s="1">
        <v>45935</v>
      </c>
      <c r="C465" t="s">
        <v>1437</v>
      </c>
      <c r="D465" t="s">
        <v>1438</v>
      </c>
      <c r="E465" s="14">
        <v>923017363609</v>
      </c>
      <c r="F465" t="s">
        <v>44</v>
      </c>
      <c r="G465" t="s">
        <v>18</v>
      </c>
      <c r="H465" t="s">
        <v>33</v>
      </c>
      <c r="I465">
        <v>2</v>
      </c>
      <c r="J465">
        <v>12324</v>
      </c>
      <c r="K465">
        <v>24648</v>
      </c>
      <c r="L465" t="s">
        <v>63</v>
      </c>
      <c r="M465" t="s">
        <v>135</v>
      </c>
      <c r="N465" t="s">
        <v>69</v>
      </c>
    </row>
    <row r="466" spans="1:14" x14ac:dyDescent="0.25">
      <c r="A466" t="s">
        <v>1439</v>
      </c>
      <c r="B466" s="1">
        <v>46014</v>
      </c>
      <c r="C466" t="s">
        <v>1440</v>
      </c>
      <c r="D466" t="s">
        <v>1441</v>
      </c>
      <c r="E466" s="14">
        <v>923272419670</v>
      </c>
      <c r="F466" t="s">
        <v>17</v>
      </c>
      <c r="G466" t="s">
        <v>18</v>
      </c>
      <c r="H466" t="s">
        <v>73</v>
      </c>
      <c r="I466">
        <v>2</v>
      </c>
      <c r="J466">
        <v>12766</v>
      </c>
      <c r="K466">
        <v>25532</v>
      </c>
      <c r="L466" t="s">
        <v>26</v>
      </c>
      <c r="M466" t="s">
        <v>45</v>
      </c>
      <c r="N466" t="s">
        <v>22</v>
      </c>
    </row>
    <row r="467" spans="1:14" x14ac:dyDescent="0.25">
      <c r="A467" t="s">
        <v>1442</v>
      </c>
      <c r="B467" s="1">
        <v>46052</v>
      </c>
      <c r="C467" t="s">
        <v>1443</v>
      </c>
      <c r="D467" t="s">
        <v>1444</v>
      </c>
      <c r="E467" s="14">
        <v>923090949901</v>
      </c>
      <c r="F467" t="s">
        <v>77</v>
      </c>
      <c r="G467" t="s">
        <v>18</v>
      </c>
      <c r="H467" t="s">
        <v>19</v>
      </c>
      <c r="I467">
        <v>5</v>
      </c>
      <c r="J467">
        <v>9515</v>
      </c>
      <c r="K467">
        <v>47575</v>
      </c>
      <c r="L467" t="s">
        <v>26</v>
      </c>
      <c r="M467" t="s">
        <v>27</v>
      </c>
      <c r="N467" t="s">
        <v>35</v>
      </c>
    </row>
    <row r="468" spans="1:14" x14ac:dyDescent="0.25">
      <c r="A468" t="s">
        <v>1445</v>
      </c>
      <c r="B468" s="1">
        <v>45867</v>
      </c>
      <c r="C468" t="s">
        <v>1446</v>
      </c>
      <c r="D468" t="s">
        <v>1447</v>
      </c>
      <c r="E468" s="14">
        <v>923343873310</v>
      </c>
      <c r="F468" t="s">
        <v>54</v>
      </c>
      <c r="G468" t="s">
        <v>18</v>
      </c>
      <c r="H468" t="s">
        <v>39</v>
      </c>
      <c r="I468">
        <v>2</v>
      </c>
      <c r="J468">
        <v>3432</v>
      </c>
      <c r="K468">
        <v>6864</v>
      </c>
      <c r="L468" t="s">
        <v>68</v>
      </c>
      <c r="M468" t="s">
        <v>55</v>
      </c>
      <c r="N468" t="s">
        <v>22</v>
      </c>
    </row>
    <row r="469" spans="1:14" x14ac:dyDescent="0.25">
      <c r="A469" t="s">
        <v>1448</v>
      </c>
      <c r="B469" s="1">
        <v>45829</v>
      </c>
      <c r="C469" t="s">
        <v>1449</v>
      </c>
      <c r="D469" t="s">
        <v>1450</v>
      </c>
      <c r="E469" s="14">
        <v>923135976115</v>
      </c>
      <c r="F469" t="s">
        <v>17</v>
      </c>
      <c r="G469" t="s">
        <v>18</v>
      </c>
      <c r="H469" t="s">
        <v>39</v>
      </c>
      <c r="I469">
        <v>3</v>
      </c>
      <c r="J469">
        <v>11535</v>
      </c>
      <c r="K469">
        <v>34605</v>
      </c>
      <c r="L469" t="s">
        <v>20</v>
      </c>
      <c r="M469" t="s">
        <v>34</v>
      </c>
      <c r="N469" t="s">
        <v>28</v>
      </c>
    </row>
    <row r="470" spans="1:14" x14ac:dyDescent="0.25">
      <c r="A470" t="s">
        <v>1451</v>
      </c>
      <c r="B470" s="1">
        <v>45980</v>
      </c>
      <c r="C470" t="s">
        <v>1452</v>
      </c>
      <c r="D470" t="s">
        <v>1453</v>
      </c>
      <c r="E470" s="14">
        <v>923157680095</v>
      </c>
      <c r="F470" t="s">
        <v>122</v>
      </c>
      <c r="G470" t="s">
        <v>18</v>
      </c>
      <c r="H470" t="s">
        <v>59</v>
      </c>
      <c r="I470">
        <v>2</v>
      </c>
      <c r="J470">
        <v>11832</v>
      </c>
      <c r="K470">
        <v>23664</v>
      </c>
      <c r="L470" t="s">
        <v>40</v>
      </c>
      <c r="M470" t="s">
        <v>135</v>
      </c>
      <c r="N470" t="s">
        <v>35</v>
      </c>
    </row>
    <row r="471" spans="1:14" x14ac:dyDescent="0.25">
      <c r="A471" t="s">
        <v>1454</v>
      </c>
      <c r="B471" s="1">
        <v>45908</v>
      </c>
      <c r="C471" t="s">
        <v>1455</v>
      </c>
      <c r="D471" t="s">
        <v>1456</v>
      </c>
      <c r="E471" s="14">
        <v>923282820674</v>
      </c>
      <c r="F471" t="s">
        <v>17</v>
      </c>
      <c r="G471" t="s">
        <v>18</v>
      </c>
      <c r="H471" t="s">
        <v>39</v>
      </c>
      <c r="I471">
        <v>1</v>
      </c>
      <c r="J471">
        <v>2705</v>
      </c>
      <c r="K471">
        <v>2705</v>
      </c>
      <c r="L471" t="s">
        <v>20</v>
      </c>
      <c r="M471" t="s">
        <v>34</v>
      </c>
      <c r="N471" t="s">
        <v>22</v>
      </c>
    </row>
    <row r="472" spans="1:14" x14ac:dyDescent="0.25">
      <c r="A472" t="s">
        <v>1457</v>
      </c>
      <c r="B472" s="1">
        <v>45923</v>
      </c>
      <c r="C472" t="s">
        <v>1458</v>
      </c>
      <c r="D472" t="s">
        <v>1459</v>
      </c>
      <c r="E472" s="14">
        <v>923009589735</v>
      </c>
      <c r="F472" t="s">
        <v>44</v>
      </c>
      <c r="G472" t="s">
        <v>18</v>
      </c>
      <c r="H472" t="s">
        <v>39</v>
      </c>
      <c r="I472">
        <v>5</v>
      </c>
      <c r="J472">
        <v>11729</v>
      </c>
      <c r="K472">
        <v>58645</v>
      </c>
      <c r="L472" t="s">
        <v>20</v>
      </c>
      <c r="M472" t="s">
        <v>34</v>
      </c>
      <c r="N472" t="s">
        <v>35</v>
      </c>
    </row>
    <row r="473" spans="1:14" x14ac:dyDescent="0.25">
      <c r="A473" t="s">
        <v>1460</v>
      </c>
      <c r="B473" s="1">
        <v>45980</v>
      </c>
      <c r="C473" t="s">
        <v>1461</v>
      </c>
      <c r="D473" t="s">
        <v>1462</v>
      </c>
      <c r="E473" s="14">
        <v>923460470640</v>
      </c>
      <c r="F473" t="s">
        <v>32</v>
      </c>
      <c r="G473" t="s">
        <v>18</v>
      </c>
      <c r="H473" t="s">
        <v>59</v>
      </c>
      <c r="I473">
        <v>5</v>
      </c>
      <c r="J473">
        <v>4238</v>
      </c>
      <c r="K473">
        <v>21190</v>
      </c>
      <c r="L473" t="s">
        <v>40</v>
      </c>
      <c r="M473" t="s">
        <v>34</v>
      </c>
      <c r="N473" t="s">
        <v>22</v>
      </c>
    </row>
    <row r="474" spans="1:14" x14ac:dyDescent="0.25">
      <c r="A474" t="s">
        <v>1463</v>
      </c>
      <c r="B474" s="1">
        <v>45773</v>
      </c>
      <c r="C474" t="s">
        <v>1464</v>
      </c>
      <c r="D474" t="s">
        <v>1465</v>
      </c>
      <c r="E474" s="14">
        <v>923379391809</v>
      </c>
      <c r="F474" t="s">
        <v>54</v>
      </c>
      <c r="G474" t="s">
        <v>18</v>
      </c>
      <c r="H474" t="s">
        <v>59</v>
      </c>
      <c r="I474">
        <v>5</v>
      </c>
      <c r="J474">
        <v>12190</v>
      </c>
      <c r="K474">
        <v>60950</v>
      </c>
      <c r="L474" t="s">
        <v>63</v>
      </c>
      <c r="M474" t="s">
        <v>93</v>
      </c>
      <c r="N474" t="s">
        <v>35</v>
      </c>
    </row>
    <row r="475" spans="1:14" x14ac:dyDescent="0.25">
      <c r="A475" t="s">
        <v>1466</v>
      </c>
      <c r="B475" s="1">
        <v>45710</v>
      </c>
      <c r="C475" t="s">
        <v>1467</v>
      </c>
      <c r="D475" t="s">
        <v>1468</v>
      </c>
      <c r="E475" s="14">
        <v>923410954770</v>
      </c>
      <c r="F475" t="s">
        <v>122</v>
      </c>
      <c r="G475" t="s">
        <v>18</v>
      </c>
      <c r="H475" t="s">
        <v>59</v>
      </c>
      <c r="I475">
        <v>1</v>
      </c>
      <c r="J475">
        <v>2732</v>
      </c>
      <c r="K475">
        <v>2732</v>
      </c>
      <c r="L475" t="s">
        <v>63</v>
      </c>
      <c r="M475" t="s">
        <v>21</v>
      </c>
      <c r="N475" t="s">
        <v>28</v>
      </c>
    </row>
    <row r="476" spans="1:14" x14ac:dyDescent="0.25">
      <c r="A476" t="s">
        <v>1469</v>
      </c>
      <c r="B476" s="1">
        <v>45755</v>
      </c>
      <c r="C476" t="s">
        <v>1470</v>
      </c>
      <c r="D476" t="s">
        <v>1471</v>
      </c>
      <c r="E476" s="14">
        <v>923402559866</v>
      </c>
      <c r="F476" t="s">
        <v>92</v>
      </c>
      <c r="G476" t="s">
        <v>18</v>
      </c>
      <c r="H476" t="s">
        <v>19</v>
      </c>
      <c r="I476">
        <v>4</v>
      </c>
      <c r="J476">
        <v>2202</v>
      </c>
      <c r="K476">
        <v>8808</v>
      </c>
      <c r="L476" t="s">
        <v>68</v>
      </c>
      <c r="M476" t="s">
        <v>27</v>
      </c>
      <c r="N476" t="s">
        <v>22</v>
      </c>
    </row>
    <row r="477" spans="1:14" x14ac:dyDescent="0.25">
      <c r="A477" t="s">
        <v>1472</v>
      </c>
      <c r="B477" s="1">
        <v>45932</v>
      </c>
      <c r="C477" t="s">
        <v>1473</v>
      </c>
      <c r="D477" t="s">
        <v>1474</v>
      </c>
      <c r="E477" s="14">
        <v>923316987586</v>
      </c>
      <c r="F477" t="s">
        <v>54</v>
      </c>
      <c r="G477" t="s">
        <v>18</v>
      </c>
      <c r="H477" t="s">
        <v>73</v>
      </c>
      <c r="I477">
        <v>4</v>
      </c>
      <c r="J477">
        <v>8033</v>
      </c>
      <c r="K477">
        <v>32132</v>
      </c>
      <c r="L477" t="s">
        <v>78</v>
      </c>
      <c r="M477" t="s">
        <v>93</v>
      </c>
      <c r="N477" t="s">
        <v>22</v>
      </c>
    </row>
    <row r="478" spans="1:14" x14ac:dyDescent="0.25">
      <c r="A478" t="s">
        <v>1475</v>
      </c>
      <c r="B478" s="1">
        <v>46031</v>
      </c>
      <c r="C478" t="s">
        <v>1476</v>
      </c>
      <c r="D478" t="s">
        <v>1477</v>
      </c>
      <c r="E478" s="14">
        <v>923197496826</v>
      </c>
      <c r="F478" t="s">
        <v>92</v>
      </c>
      <c r="G478" t="s">
        <v>18</v>
      </c>
      <c r="H478" t="s">
        <v>73</v>
      </c>
      <c r="I478">
        <v>4</v>
      </c>
      <c r="J478">
        <v>14678</v>
      </c>
      <c r="K478">
        <v>58712</v>
      </c>
      <c r="L478" t="s">
        <v>20</v>
      </c>
      <c r="M478" t="s">
        <v>45</v>
      </c>
      <c r="N478" t="s">
        <v>28</v>
      </c>
    </row>
    <row r="479" spans="1:14" x14ac:dyDescent="0.25">
      <c r="A479" t="s">
        <v>1478</v>
      </c>
      <c r="B479" s="1">
        <v>45956</v>
      </c>
      <c r="C479" t="s">
        <v>1479</v>
      </c>
      <c r="D479" t="s">
        <v>1480</v>
      </c>
      <c r="E479" s="14">
        <v>923383587210</v>
      </c>
      <c r="F479" t="s">
        <v>92</v>
      </c>
      <c r="G479" t="s">
        <v>18</v>
      </c>
      <c r="H479" t="s">
        <v>50</v>
      </c>
      <c r="I479">
        <v>4</v>
      </c>
      <c r="J479">
        <v>6963</v>
      </c>
      <c r="K479">
        <v>27852</v>
      </c>
      <c r="L479" t="s">
        <v>78</v>
      </c>
      <c r="M479" t="s">
        <v>21</v>
      </c>
      <c r="N479" t="s">
        <v>69</v>
      </c>
    </row>
    <row r="480" spans="1:14" x14ac:dyDescent="0.25">
      <c r="A480" t="s">
        <v>1481</v>
      </c>
      <c r="B480" s="1">
        <v>45813</v>
      </c>
      <c r="C480" t="s">
        <v>1482</v>
      </c>
      <c r="D480" t="s">
        <v>1483</v>
      </c>
      <c r="E480" s="14">
        <v>923241186381</v>
      </c>
      <c r="F480" t="s">
        <v>77</v>
      </c>
      <c r="G480" t="s">
        <v>18</v>
      </c>
      <c r="H480" t="s">
        <v>19</v>
      </c>
      <c r="I480">
        <v>1</v>
      </c>
      <c r="J480">
        <v>7461</v>
      </c>
      <c r="K480">
        <v>7461</v>
      </c>
      <c r="L480" t="s">
        <v>63</v>
      </c>
      <c r="M480" t="s">
        <v>27</v>
      </c>
      <c r="N480" t="s">
        <v>69</v>
      </c>
    </row>
    <row r="481" spans="1:14" x14ac:dyDescent="0.25">
      <c r="A481" t="s">
        <v>1484</v>
      </c>
      <c r="B481" s="1">
        <v>45962</v>
      </c>
      <c r="C481" t="s">
        <v>1485</v>
      </c>
      <c r="D481" t="s">
        <v>1486</v>
      </c>
      <c r="E481" s="14">
        <v>923414029660</v>
      </c>
      <c r="F481" t="s">
        <v>106</v>
      </c>
      <c r="G481" t="s">
        <v>18</v>
      </c>
      <c r="H481" t="s">
        <v>73</v>
      </c>
      <c r="I481">
        <v>3</v>
      </c>
      <c r="J481">
        <v>2211</v>
      </c>
      <c r="K481">
        <v>6633</v>
      </c>
      <c r="L481" t="s">
        <v>20</v>
      </c>
      <c r="M481" t="s">
        <v>55</v>
      </c>
      <c r="N481" t="s">
        <v>28</v>
      </c>
    </row>
    <row r="482" spans="1:14" x14ac:dyDescent="0.25">
      <c r="A482" t="s">
        <v>1487</v>
      </c>
      <c r="B482" s="1">
        <v>45852</v>
      </c>
      <c r="C482" t="s">
        <v>1488</v>
      </c>
      <c r="D482" t="s">
        <v>1489</v>
      </c>
      <c r="E482" s="14">
        <v>923070394716</v>
      </c>
      <c r="F482" t="s">
        <v>67</v>
      </c>
      <c r="G482" t="s">
        <v>18</v>
      </c>
      <c r="H482" t="s">
        <v>33</v>
      </c>
      <c r="I482">
        <v>2</v>
      </c>
      <c r="J482">
        <v>9345</v>
      </c>
      <c r="K482">
        <v>18690</v>
      </c>
      <c r="L482" t="s">
        <v>40</v>
      </c>
      <c r="M482" t="s">
        <v>82</v>
      </c>
      <c r="N482" t="s">
        <v>35</v>
      </c>
    </row>
    <row r="483" spans="1:14" x14ac:dyDescent="0.25">
      <c r="A483" t="s">
        <v>1490</v>
      </c>
      <c r="B483" s="1">
        <v>45717</v>
      </c>
      <c r="C483" t="s">
        <v>1491</v>
      </c>
      <c r="D483" t="s">
        <v>1492</v>
      </c>
      <c r="E483" s="14">
        <v>923067763511</v>
      </c>
      <c r="F483" t="s">
        <v>54</v>
      </c>
      <c r="G483" t="s">
        <v>18</v>
      </c>
      <c r="H483" t="s">
        <v>73</v>
      </c>
      <c r="I483">
        <v>1</v>
      </c>
      <c r="J483">
        <v>8792</v>
      </c>
      <c r="K483">
        <v>8792</v>
      </c>
      <c r="L483" t="s">
        <v>20</v>
      </c>
      <c r="M483" t="s">
        <v>27</v>
      </c>
      <c r="N483" t="s">
        <v>69</v>
      </c>
    </row>
    <row r="484" spans="1:14" x14ac:dyDescent="0.25">
      <c r="A484" t="s">
        <v>1493</v>
      </c>
      <c r="B484" s="1">
        <v>45866</v>
      </c>
      <c r="C484" t="s">
        <v>1494</v>
      </c>
      <c r="D484" t="s">
        <v>1495</v>
      </c>
      <c r="E484" s="14">
        <v>923267721540</v>
      </c>
      <c r="F484" t="s">
        <v>49</v>
      </c>
      <c r="G484" t="s">
        <v>18</v>
      </c>
      <c r="H484" t="s">
        <v>33</v>
      </c>
      <c r="I484">
        <v>3</v>
      </c>
      <c r="J484">
        <v>13202</v>
      </c>
      <c r="K484">
        <v>39606</v>
      </c>
      <c r="L484" t="s">
        <v>26</v>
      </c>
      <c r="M484" t="s">
        <v>55</v>
      </c>
      <c r="N484" t="s">
        <v>69</v>
      </c>
    </row>
    <row r="485" spans="1:14" x14ac:dyDescent="0.25">
      <c r="A485" t="s">
        <v>1496</v>
      </c>
      <c r="B485" s="1">
        <v>45828</v>
      </c>
      <c r="C485" t="s">
        <v>1497</v>
      </c>
      <c r="D485" t="s">
        <v>1498</v>
      </c>
      <c r="E485" s="14">
        <v>923092016762</v>
      </c>
      <c r="F485" t="s">
        <v>106</v>
      </c>
      <c r="G485" t="s">
        <v>18</v>
      </c>
      <c r="H485" t="s">
        <v>50</v>
      </c>
      <c r="I485">
        <v>2</v>
      </c>
      <c r="J485">
        <v>7375</v>
      </c>
      <c r="K485">
        <v>14750</v>
      </c>
      <c r="L485" t="s">
        <v>20</v>
      </c>
      <c r="M485" t="s">
        <v>82</v>
      </c>
      <c r="N485" t="s">
        <v>28</v>
      </c>
    </row>
    <row r="486" spans="1:14" x14ac:dyDescent="0.25">
      <c r="A486" t="s">
        <v>1499</v>
      </c>
      <c r="B486" s="1">
        <v>45829</v>
      </c>
      <c r="C486" t="s">
        <v>1500</v>
      </c>
      <c r="D486" t="s">
        <v>1501</v>
      </c>
      <c r="E486" s="14">
        <v>923299722210</v>
      </c>
      <c r="F486" t="s">
        <v>32</v>
      </c>
      <c r="G486" t="s">
        <v>18</v>
      </c>
      <c r="H486" t="s">
        <v>59</v>
      </c>
      <c r="I486">
        <v>4</v>
      </c>
      <c r="J486">
        <v>6873</v>
      </c>
      <c r="K486">
        <v>27492</v>
      </c>
      <c r="L486" t="s">
        <v>63</v>
      </c>
      <c r="M486" t="s">
        <v>27</v>
      </c>
      <c r="N486" t="s">
        <v>69</v>
      </c>
    </row>
    <row r="487" spans="1:14" x14ac:dyDescent="0.25">
      <c r="A487" t="s">
        <v>1502</v>
      </c>
      <c r="B487" s="1">
        <v>45738</v>
      </c>
      <c r="C487" t="s">
        <v>1503</v>
      </c>
      <c r="D487" t="s">
        <v>1504</v>
      </c>
      <c r="E487" s="14">
        <v>923375159537</v>
      </c>
      <c r="F487" t="s">
        <v>32</v>
      </c>
      <c r="G487" t="s">
        <v>18</v>
      </c>
      <c r="H487" t="s">
        <v>50</v>
      </c>
      <c r="I487">
        <v>1</v>
      </c>
      <c r="J487">
        <v>4514</v>
      </c>
      <c r="K487">
        <v>4514</v>
      </c>
      <c r="L487" t="s">
        <v>63</v>
      </c>
      <c r="M487" t="s">
        <v>93</v>
      </c>
      <c r="N487" t="s">
        <v>28</v>
      </c>
    </row>
    <row r="488" spans="1:14" x14ac:dyDescent="0.25">
      <c r="A488" t="s">
        <v>1505</v>
      </c>
      <c r="B488" s="1">
        <v>45765</v>
      </c>
      <c r="C488" t="s">
        <v>1506</v>
      </c>
      <c r="D488" t="s">
        <v>1507</v>
      </c>
      <c r="E488" s="14">
        <v>923427480420</v>
      </c>
      <c r="F488" t="s">
        <v>32</v>
      </c>
      <c r="G488" t="s">
        <v>18</v>
      </c>
      <c r="H488" t="s">
        <v>50</v>
      </c>
      <c r="I488">
        <v>5</v>
      </c>
      <c r="J488">
        <v>4930</v>
      </c>
      <c r="K488">
        <v>24650</v>
      </c>
      <c r="L488" t="s">
        <v>20</v>
      </c>
      <c r="M488" t="s">
        <v>45</v>
      </c>
      <c r="N488" t="s">
        <v>28</v>
      </c>
    </row>
    <row r="489" spans="1:14" x14ac:dyDescent="0.25">
      <c r="A489" t="s">
        <v>1508</v>
      </c>
      <c r="B489" s="1">
        <v>45787</v>
      </c>
      <c r="C489" t="s">
        <v>1509</v>
      </c>
      <c r="D489" t="s">
        <v>1510</v>
      </c>
      <c r="E489" s="14">
        <v>923052796123</v>
      </c>
      <c r="F489" t="s">
        <v>44</v>
      </c>
      <c r="G489" t="s">
        <v>18</v>
      </c>
      <c r="H489" t="s">
        <v>50</v>
      </c>
      <c r="I489">
        <v>3</v>
      </c>
      <c r="J489">
        <v>5774</v>
      </c>
      <c r="K489">
        <v>17322</v>
      </c>
      <c r="L489" t="s">
        <v>78</v>
      </c>
      <c r="M489" t="s">
        <v>55</v>
      </c>
      <c r="N489" t="s">
        <v>35</v>
      </c>
    </row>
    <row r="490" spans="1:14" x14ac:dyDescent="0.25">
      <c r="A490" t="s">
        <v>1511</v>
      </c>
      <c r="B490" s="1">
        <v>46060</v>
      </c>
      <c r="C490" t="s">
        <v>1512</v>
      </c>
      <c r="D490" t="s">
        <v>1513</v>
      </c>
      <c r="E490" s="14">
        <v>923067868185</v>
      </c>
      <c r="F490" t="s">
        <v>54</v>
      </c>
      <c r="G490" t="s">
        <v>18</v>
      </c>
      <c r="H490" t="s">
        <v>19</v>
      </c>
      <c r="I490">
        <v>3</v>
      </c>
      <c r="J490">
        <v>12868</v>
      </c>
      <c r="K490">
        <v>38604</v>
      </c>
      <c r="L490" t="s">
        <v>26</v>
      </c>
      <c r="M490" t="s">
        <v>93</v>
      </c>
      <c r="N490" t="s">
        <v>22</v>
      </c>
    </row>
    <row r="491" spans="1:14" x14ac:dyDescent="0.25">
      <c r="A491" t="s">
        <v>1514</v>
      </c>
      <c r="B491" s="1">
        <v>45898</v>
      </c>
      <c r="C491" t="s">
        <v>1515</v>
      </c>
      <c r="D491" t="s">
        <v>1516</v>
      </c>
      <c r="E491" s="14">
        <v>923141449294</v>
      </c>
      <c r="F491" t="s">
        <v>32</v>
      </c>
      <c r="G491" t="s">
        <v>18</v>
      </c>
      <c r="H491" t="s">
        <v>39</v>
      </c>
      <c r="I491">
        <v>5</v>
      </c>
      <c r="J491">
        <v>2543</v>
      </c>
      <c r="K491">
        <v>12715</v>
      </c>
      <c r="L491" t="s">
        <v>78</v>
      </c>
      <c r="M491" t="s">
        <v>55</v>
      </c>
      <c r="N491" t="s">
        <v>28</v>
      </c>
    </row>
    <row r="492" spans="1:14" x14ac:dyDescent="0.25">
      <c r="A492" t="s">
        <v>1517</v>
      </c>
      <c r="B492" s="1">
        <v>45941</v>
      </c>
      <c r="C492" t="s">
        <v>1518</v>
      </c>
      <c r="D492" t="s">
        <v>1519</v>
      </c>
      <c r="E492" s="14">
        <v>923438584704</v>
      </c>
      <c r="F492" t="s">
        <v>17</v>
      </c>
      <c r="G492" t="s">
        <v>18</v>
      </c>
      <c r="H492" t="s">
        <v>39</v>
      </c>
      <c r="I492">
        <v>1</v>
      </c>
      <c r="J492">
        <v>13268</v>
      </c>
      <c r="K492">
        <v>13268</v>
      </c>
      <c r="L492" t="s">
        <v>63</v>
      </c>
      <c r="M492" t="s">
        <v>135</v>
      </c>
      <c r="N492" t="s">
        <v>35</v>
      </c>
    </row>
    <row r="493" spans="1:14" x14ac:dyDescent="0.25">
      <c r="A493" t="s">
        <v>1520</v>
      </c>
      <c r="B493" s="1">
        <v>46034</v>
      </c>
      <c r="C493" t="s">
        <v>1521</v>
      </c>
      <c r="D493" t="s">
        <v>1522</v>
      </c>
      <c r="E493" s="14">
        <v>923397574667</v>
      </c>
      <c r="F493" t="s">
        <v>67</v>
      </c>
      <c r="G493" t="s">
        <v>18</v>
      </c>
      <c r="H493" t="s">
        <v>73</v>
      </c>
      <c r="I493">
        <v>4</v>
      </c>
      <c r="J493">
        <v>11277</v>
      </c>
      <c r="K493">
        <v>45108</v>
      </c>
      <c r="L493" t="s">
        <v>68</v>
      </c>
      <c r="M493" t="s">
        <v>82</v>
      </c>
      <c r="N493" t="s">
        <v>69</v>
      </c>
    </row>
    <row r="494" spans="1:14" x14ac:dyDescent="0.25">
      <c r="A494" t="s">
        <v>1523</v>
      </c>
      <c r="B494" s="1">
        <v>45942</v>
      </c>
      <c r="C494" t="s">
        <v>1524</v>
      </c>
      <c r="D494" t="s">
        <v>1525</v>
      </c>
      <c r="E494" s="14">
        <v>923274084356</v>
      </c>
      <c r="F494" t="s">
        <v>67</v>
      </c>
      <c r="G494" t="s">
        <v>18</v>
      </c>
      <c r="H494" t="s">
        <v>33</v>
      </c>
      <c r="I494">
        <v>2</v>
      </c>
      <c r="J494">
        <v>2677</v>
      </c>
      <c r="K494">
        <v>5354</v>
      </c>
      <c r="L494" t="s">
        <v>40</v>
      </c>
      <c r="M494" t="s">
        <v>135</v>
      </c>
      <c r="N494" t="s">
        <v>22</v>
      </c>
    </row>
    <row r="495" spans="1:14" x14ac:dyDescent="0.25">
      <c r="A495" t="s">
        <v>1526</v>
      </c>
      <c r="B495" s="1">
        <v>45759</v>
      </c>
      <c r="C495" t="s">
        <v>1527</v>
      </c>
      <c r="D495" t="s">
        <v>1528</v>
      </c>
      <c r="E495" s="14">
        <v>923481778623</v>
      </c>
      <c r="F495" t="s">
        <v>122</v>
      </c>
      <c r="G495" t="s">
        <v>18</v>
      </c>
      <c r="H495" t="s">
        <v>39</v>
      </c>
      <c r="I495">
        <v>4</v>
      </c>
      <c r="J495">
        <v>2167</v>
      </c>
      <c r="K495">
        <v>8668</v>
      </c>
      <c r="L495" t="s">
        <v>78</v>
      </c>
      <c r="M495" t="s">
        <v>27</v>
      </c>
      <c r="N495" t="s">
        <v>35</v>
      </c>
    </row>
    <row r="496" spans="1:14" x14ac:dyDescent="0.25">
      <c r="A496" t="s">
        <v>1529</v>
      </c>
      <c r="B496" s="1">
        <v>46040</v>
      </c>
      <c r="C496" t="s">
        <v>1530</v>
      </c>
      <c r="D496" t="s">
        <v>1531</v>
      </c>
      <c r="E496" s="14">
        <v>923290342181</v>
      </c>
      <c r="F496" t="s">
        <v>44</v>
      </c>
      <c r="G496" t="s">
        <v>18</v>
      </c>
      <c r="H496" t="s">
        <v>19</v>
      </c>
      <c r="I496">
        <v>5</v>
      </c>
      <c r="J496">
        <v>10691</v>
      </c>
      <c r="K496">
        <v>53455</v>
      </c>
      <c r="L496" t="s">
        <v>68</v>
      </c>
      <c r="M496" t="s">
        <v>27</v>
      </c>
      <c r="N496" t="s">
        <v>35</v>
      </c>
    </row>
    <row r="497" spans="1:14" x14ac:dyDescent="0.25">
      <c r="A497" t="s">
        <v>1532</v>
      </c>
      <c r="B497" s="1">
        <v>45714</v>
      </c>
      <c r="C497" t="s">
        <v>1533</v>
      </c>
      <c r="D497" t="s">
        <v>1534</v>
      </c>
      <c r="E497" s="14">
        <v>923057026423</v>
      </c>
      <c r="F497" t="s">
        <v>44</v>
      </c>
      <c r="G497" t="s">
        <v>18</v>
      </c>
      <c r="H497" t="s">
        <v>39</v>
      </c>
      <c r="I497">
        <v>2</v>
      </c>
      <c r="J497">
        <v>8778</v>
      </c>
      <c r="K497">
        <v>17556</v>
      </c>
      <c r="L497" t="s">
        <v>20</v>
      </c>
      <c r="M497" t="s">
        <v>135</v>
      </c>
      <c r="N497" t="s">
        <v>22</v>
      </c>
    </row>
    <row r="498" spans="1:14" x14ac:dyDescent="0.25">
      <c r="A498" t="s">
        <v>1535</v>
      </c>
      <c r="B498" s="1">
        <v>45996</v>
      </c>
      <c r="C498" t="s">
        <v>1536</v>
      </c>
      <c r="D498" t="s">
        <v>1537</v>
      </c>
      <c r="E498" s="14">
        <v>923107984745</v>
      </c>
      <c r="F498" t="s">
        <v>106</v>
      </c>
      <c r="G498" t="s">
        <v>18</v>
      </c>
      <c r="H498" t="s">
        <v>39</v>
      </c>
      <c r="I498">
        <v>3</v>
      </c>
      <c r="J498">
        <v>4855</v>
      </c>
      <c r="K498">
        <v>14565</v>
      </c>
      <c r="L498" t="s">
        <v>78</v>
      </c>
      <c r="M498" t="s">
        <v>93</v>
      </c>
      <c r="N498" t="s">
        <v>69</v>
      </c>
    </row>
    <row r="499" spans="1:14" x14ac:dyDescent="0.25">
      <c r="A499" t="s">
        <v>1538</v>
      </c>
      <c r="B499" s="1">
        <v>46058</v>
      </c>
      <c r="C499" t="s">
        <v>1539</v>
      </c>
      <c r="D499" t="s">
        <v>1540</v>
      </c>
      <c r="E499" s="14">
        <v>923310859751</v>
      </c>
      <c r="F499" t="s">
        <v>77</v>
      </c>
      <c r="G499" t="s">
        <v>18</v>
      </c>
      <c r="H499" t="s">
        <v>50</v>
      </c>
      <c r="I499">
        <v>5</v>
      </c>
      <c r="J499">
        <v>6021</v>
      </c>
      <c r="K499">
        <v>30105</v>
      </c>
      <c r="L499" t="s">
        <v>68</v>
      </c>
      <c r="M499" t="s">
        <v>82</v>
      </c>
      <c r="N499" t="s">
        <v>69</v>
      </c>
    </row>
    <row r="500" spans="1:14" x14ac:dyDescent="0.25">
      <c r="A500" t="s">
        <v>1541</v>
      </c>
      <c r="B500" s="1">
        <v>45759</v>
      </c>
      <c r="C500" t="s">
        <v>1542</v>
      </c>
      <c r="D500" t="s">
        <v>1543</v>
      </c>
      <c r="E500" s="14">
        <v>923259440108</v>
      </c>
      <c r="F500" t="s">
        <v>17</v>
      </c>
      <c r="G500" t="s">
        <v>18</v>
      </c>
      <c r="H500" t="s">
        <v>59</v>
      </c>
      <c r="I500">
        <v>5</v>
      </c>
      <c r="J500">
        <v>2557</v>
      </c>
      <c r="K500">
        <v>12785</v>
      </c>
      <c r="L500" t="s">
        <v>40</v>
      </c>
      <c r="M500" t="s">
        <v>45</v>
      </c>
      <c r="N500" t="s">
        <v>28</v>
      </c>
    </row>
    <row r="501" spans="1:14" x14ac:dyDescent="0.25">
      <c r="A501" t="s">
        <v>1544</v>
      </c>
      <c r="B501" s="1">
        <v>45852</v>
      </c>
      <c r="C501" t="s">
        <v>1545</v>
      </c>
      <c r="D501" t="s">
        <v>1546</v>
      </c>
      <c r="E501" s="14">
        <v>923465022722</v>
      </c>
      <c r="F501" t="s">
        <v>17</v>
      </c>
      <c r="G501" t="s">
        <v>18</v>
      </c>
      <c r="H501" t="s">
        <v>33</v>
      </c>
      <c r="I501">
        <v>3</v>
      </c>
      <c r="J501">
        <v>4926</v>
      </c>
      <c r="K501">
        <v>14778</v>
      </c>
      <c r="L501" t="s">
        <v>20</v>
      </c>
      <c r="M501" t="s">
        <v>21</v>
      </c>
      <c r="N501" t="s">
        <v>69</v>
      </c>
    </row>
    <row r="502" spans="1:14" x14ac:dyDescent="0.25">
      <c r="A502" t="s">
        <v>1547</v>
      </c>
      <c r="B502" s="1">
        <v>45785</v>
      </c>
      <c r="C502" t="s">
        <v>1548</v>
      </c>
      <c r="D502" t="s">
        <v>1549</v>
      </c>
      <c r="E502" s="14">
        <v>923081389075</v>
      </c>
      <c r="F502" t="s">
        <v>17</v>
      </c>
      <c r="G502" t="s">
        <v>18</v>
      </c>
      <c r="H502" t="s">
        <v>19</v>
      </c>
      <c r="I502">
        <v>5</v>
      </c>
      <c r="J502">
        <v>10868</v>
      </c>
      <c r="K502">
        <v>54340</v>
      </c>
      <c r="L502" t="s">
        <v>26</v>
      </c>
      <c r="M502" t="s">
        <v>55</v>
      </c>
      <c r="N502" t="s">
        <v>22</v>
      </c>
    </row>
    <row r="503" spans="1:14" x14ac:dyDescent="0.25">
      <c r="A503" t="s">
        <v>1550</v>
      </c>
      <c r="B503" s="1">
        <v>45944</v>
      </c>
      <c r="C503" t="s">
        <v>1551</v>
      </c>
      <c r="D503" t="s">
        <v>1552</v>
      </c>
      <c r="E503" s="14">
        <v>923228435289</v>
      </c>
      <c r="F503" t="s">
        <v>49</v>
      </c>
      <c r="G503" t="s">
        <v>18</v>
      </c>
      <c r="H503" t="s">
        <v>50</v>
      </c>
      <c r="I503">
        <v>5</v>
      </c>
      <c r="J503">
        <v>4913</v>
      </c>
      <c r="K503">
        <v>24565</v>
      </c>
      <c r="L503" t="s">
        <v>78</v>
      </c>
      <c r="M503" t="s">
        <v>93</v>
      </c>
      <c r="N503" t="s">
        <v>69</v>
      </c>
    </row>
    <row r="504" spans="1:14" x14ac:dyDescent="0.25">
      <c r="A504" t="s">
        <v>1553</v>
      </c>
      <c r="B504" s="1">
        <v>45882</v>
      </c>
      <c r="C504" t="s">
        <v>1554</v>
      </c>
      <c r="D504" t="s">
        <v>1555</v>
      </c>
      <c r="E504" s="14">
        <v>923357105629</v>
      </c>
      <c r="F504" t="s">
        <v>54</v>
      </c>
      <c r="G504" t="s">
        <v>18</v>
      </c>
      <c r="H504" t="s">
        <v>19</v>
      </c>
      <c r="I504">
        <v>2</v>
      </c>
      <c r="J504">
        <v>9335</v>
      </c>
      <c r="K504">
        <v>18670</v>
      </c>
      <c r="L504" t="s">
        <v>68</v>
      </c>
      <c r="M504" t="s">
        <v>45</v>
      </c>
      <c r="N504" t="s">
        <v>22</v>
      </c>
    </row>
    <row r="505" spans="1:14" x14ac:dyDescent="0.25">
      <c r="A505" t="s">
        <v>1556</v>
      </c>
      <c r="B505" s="1">
        <v>45895</v>
      </c>
      <c r="C505" t="s">
        <v>1557</v>
      </c>
      <c r="D505" t="s">
        <v>1558</v>
      </c>
      <c r="E505" s="14">
        <v>923213053339</v>
      </c>
      <c r="F505" t="s">
        <v>77</v>
      </c>
      <c r="G505" t="s">
        <v>18</v>
      </c>
      <c r="H505" t="s">
        <v>50</v>
      </c>
      <c r="I505">
        <v>2</v>
      </c>
      <c r="J505">
        <v>6248</v>
      </c>
      <c r="K505">
        <v>12496</v>
      </c>
      <c r="L505" t="s">
        <v>63</v>
      </c>
      <c r="M505" t="s">
        <v>21</v>
      </c>
      <c r="N505" t="s">
        <v>22</v>
      </c>
    </row>
    <row r="506" spans="1:14" x14ac:dyDescent="0.25">
      <c r="A506" t="s">
        <v>1559</v>
      </c>
      <c r="B506" s="1">
        <v>45739</v>
      </c>
      <c r="C506" t="s">
        <v>1560</v>
      </c>
      <c r="D506" t="s">
        <v>1561</v>
      </c>
      <c r="E506" s="14">
        <v>923409929465</v>
      </c>
      <c r="F506" t="s">
        <v>17</v>
      </c>
      <c r="G506" t="s">
        <v>18</v>
      </c>
      <c r="H506" t="s">
        <v>50</v>
      </c>
      <c r="I506">
        <v>3</v>
      </c>
      <c r="J506">
        <v>14998</v>
      </c>
      <c r="K506">
        <v>44994</v>
      </c>
      <c r="L506" t="s">
        <v>20</v>
      </c>
      <c r="M506" t="s">
        <v>55</v>
      </c>
      <c r="N506" t="s">
        <v>22</v>
      </c>
    </row>
    <row r="507" spans="1:14" x14ac:dyDescent="0.25">
      <c r="A507" t="s">
        <v>1562</v>
      </c>
      <c r="B507" s="1">
        <v>45942</v>
      </c>
      <c r="C507" t="s">
        <v>1563</v>
      </c>
      <c r="D507" t="s">
        <v>1564</v>
      </c>
      <c r="E507" s="14">
        <v>923442744415</v>
      </c>
      <c r="F507" t="s">
        <v>77</v>
      </c>
      <c r="G507" t="s">
        <v>18</v>
      </c>
      <c r="H507" t="s">
        <v>50</v>
      </c>
      <c r="I507">
        <v>3</v>
      </c>
      <c r="J507">
        <v>1068</v>
      </c>
      <c r="K507">
        <v>3204</v>
      </c>
      <c r="L507" t="s">
        <v>26</v>
      </c>
      <c r="M507" t="s">
        <v>93</v>
      </c>
      <c r="N507" t="s">
        <v>69</v>
      </c>
    </row>
    <row r="508" spans="1:14" x14ac:dyDescent="0.25">
      <c r="A508" t="s">
        <v>1565</v>
      </c>
      <c r="B508" s="1">
        <v>45949</v>
      </c>
      <c r="C508" t="s">
        <v>1566</v>
      </c>
      <c r="D508" t="s">
        <v>1567</v>
      </c>
      <c r="E508" s="14">
        <v>923006814428</v>
      </c>
      <c r="F508" t="s">
        <v>54</v>
      </c>
      <c r="G508" t="s">
        <v>18</v>
      </c>
      <c r="H508" t="s">
        <v>39</v>
      </c>
      <c r="I508">
        <v>5</v>
      </c>
      <c r="J508">
        <v>11255</v>
      </c>
      <c r="K508">
        <v>56275</v>
      </c>
      <c r="L508" t="s">
        <v>26</v>
      </c>
      <c r="M508" t="s">
        <v>82</v>
      </c>
      <c r="N508" t="s">
        <v>28</v>
      </c>
    </row>
    <row r="509" spans="1:14" x14ac:dyDescent="0.25">
      <c r="A509" t="s">
        <v>1568</v>
      </c>
      <c r="B509" s="1">
        <v>45949</v>
      </c>
      <c r="C509" t="s">
        <v>1569</v>
      </c>
      <c r="D509" t="s">
        <v>1570</v>
      </c>
      <c r="E509" s="14">
        <v>923488979978</v>
      </c>
      <c r="F509" t="s">
        <v>92</v>
      </c>
      <c r="G509" t="s">
        <v>18</v>
      </c>
      <c r="H509" t="s">
        <v>73</v>
      </c>
      <c r="I509">
        <v>2</v>
      </c>
      <c r="J509">
        <v>6992</v>
      </c>
      <c r="K509">
        <v>13984</v>
      </c>
      <c r="L509" t="s">
        <v>40</v>
      </c>
      <c r="M509" t="s">
        <v>45</v>
      </c>
      <c r="N509" t="s">
        <v>28</v>
      </c>
    </row>
    <row r="510" spans="1:14" x14ac:dyDescent="0.25">
      <c r="A510" t="s">
        <v>1571</v>
      </c>
      <c r="B510" s="1">
        <v>45974</v>
      </c>
      <c r="C510" t="s">
        <v>1572</v>
      </c>
      <c r="D510" t="s">
        <v>1573</v>
      </c>
      <c r="E510" s="14">
        <v>923443770674</v>
      </c>
      <c r="F510" t="s">
        <v>122</v>
      </c>
      <c r="G510" t="s">
        <v>18</v>
      </c>
      <c r="H510" t="s">
        <v>59</v>
      </c>
      <c r="I510">
        <v>2</v>
      </c>
      <c r="J510">
        <v>9574</v>
      </c>
      <c r="K510">
        <v>19148</v>
      </c>
      <c r="L510" t="s">
        <v>40</v>
      </c>
      <c r="M510" t="s">
        <v>45</v>
      </c>
      <c r="N510" t="s">
        <v>35</v>
      </c>
    </row>
    <row r="511" spans="1:14" x14ac:dyDescent="0.25">
      <c r="A511" t="s">
        <v>1574</v>
      </c>
      <c r="B511" s="1">
        <v>45716</v>
      </c>
      <c r="C511" t="s">
        <v>1575</v>
      </c>
      <c r="D511" t="s">
        <v>1576</v>
      </c>
      <c r="E511" s="14">
        <v>923134501893</v>
      </c>
      <c r="F511" t="s">
        <v>77</v>
      </c>
      <c r="G511" t="s">
        <v>18</v>
      </c>
      <c r="H511" t="s">
        <v>19</v>
      </c>
      <c r="I511">
        <v>5</v>
      </c>
      <c r="J511">
        <v>6165</v>
      </c>
      <c r="K511">
        <v>30825</v>
      </c>
      <c r="L511" t="s">
        <v>63</v>
      </c>
      <c r="M511" t="s">
        <v>82</v>
      </c>
      <c r="N511" t="s">
        <v>28</v>
      </c>
    </row>
    <row r="512" spans="1:14" x14ac:dyDescent="0.25">
      <c r="A512" t="s">
        <v>1577</v>
      </c>
      <c r="B512" s="1">
        <v>46043</v>
      </c>
      <c r="C512" t="s">
        <v>1578</v>
      </c>
      <c r="D512" t="s">
        <v>1579</v>
      </c>
      <c r="E512" s="14">
        <v>923449966057</v>
      </c>
      <c r="F512" t="s">
        <v>44</v>
      </c>
      <c r="G512" t="s">
        <v>18</v>
      </c>
      <c r="H512" t="s">
        <v>73</v>
      </c>
      <c r="I512">
        <v>3</v>
      </c>
      <c r="J512">
        <v>8986</v>
      </c>
      <c r="K512">
        <v>26958</v>
      </c>
      <c r="L512" t="s">
        <v>78</v>
      </c>
      <c r="M512" t="s">
        <v>21</v>
      </c>
      <c r="N512" t="s">
        <v>69</v>
      </c>
    </row>
    <row r="513" spans="1:14" x14ac:dyDescent="0.25">
      <c r="A513" t="s">
        <v>1580</v>
      </c>
      <c r="B513" s="1">
        <v>45983</v>
      </c>
      <c r="C513" t="s">
        <v>1581</v>
      </c>
      <c r="D513" t="s">
        <v>1582</v>
      </c>
      <c r="E513" s="14">
        <v>923179598167</v>
      </c>
      <c r="F513" t="s">
        <v>92</v>
      </c>
      <c r="G513" t="s">
        <v>18</v>
      </c>
      <c r="H513" t="s">
        <v>50</v>
      </c>
      <c r="I513">
        <v>2</v>
      </c>
      <c r="J513">
        <v>12424</v>
      </c>
      <c r="K513">
        <v>24848</v>
      </c>
      <c r="L513" t="s">
        <v>68</v>
      </c>
      <c r="M513" t="s">
        <v>135</v>
      </c>
      <c r="N513" t="s">
        <v>28</v>
      </c>
    </row>
    <row r="514" spans="1:14" x14ac:dyDescent="0.25">
      <c r="A514" t="s">
        <v>1583</v>
      </c>
      <c r="B514" s="1">
        <v>45724</v>
      </c>
      <c r="C514" t="s">
        <v>1584</v>
      </c>
      <c r="D514" t="s">
        <v>1585</v>
      </c>
      <c r="E514" s="14">
        <v>923485968005</v>
      </c>
      <c r="F514" t="s">
        <v>122</v>
      </c>
      <c r="G514" t="s">
        <v>18</v>
      </c>
      <c r="H514" t="s">
        <v>73</v>
      </c>
      <c r="I514">
        <v>4</v>
      </c>
      <c r="J514">
        <v>1145</v>
      </c>
      <c r="K514">
        <v>4580</v>
      </c>
      <c r="L514" t="s">
        <v>26</v>
      </c>
      <c r="M514" t="s">
        <v>55</v>
      </c>
      <c r="N514" t="s">
        <v>35</v>
      </c>
    </row>
    <row r="515" spans="1:14" x14ac:dyDescent="0.25">
      <c r="A515" t="s">
        <v>1586</v>
      </c>
      <c r="B515" s="1">
        <v>45929</v>
      </c>
      <c r="C515" t="s">
        <v>1587</v>
      </c>
      <c r="D515" t="s">
        <v>1588</v>
      </c>
      <c r="E515" s="14">
        <v>923488051856</v>
      </c>
      <c r="F515" t="s">
        <v>54</v>
      </c>
      <c r="G515" t="s">
        <v>18</v>
      </c>
      <c r="H515" t="s">
        <v>73</v>
      </c>
      <c r="I515">
        <v>1</v>
      </c>
      <c r="J515">
        <v>7103</v>
      </c>
      <c r="K515">
        <v>7103</v>
      </c>
      <c r="L515" t="s">
        <v>63</v>
      </c>
      <c r="M515" t="s">
        <v>34</v>
      </c>
      <c r="N515" t="s">
        <v>69</v>
      </c>
    </row>
    <row r="516" spans="1:14" x14ac:dyDescent="0.25">
      <c r="A516" t="s">
        <v>1589</v>
      </c>
      <c r="B516" s="1">
        <v>46020</v>
      </c>
      <c r="C516" t="s">
        <v>1590</v>
      </c>
      <c r="D516" t="s">
        <v>1591</v>
      </c>
      <c r="E516" s="14">
        <v>923142552173</v>
      </c>
      <c r="F516" t="s">
        <v>77</v>
      </c>
      <c r="G516" t="s">
        <v>18</v>
      </c>
      <c r="H516" t="s">
        <v>73</v>
      </c>
      <c r="I516">
        <v>2</v>
      </c>
      <c r="J516">
        <v>3419</v>
      </c>
      <c r="K516">
        <v>6838</v>
      </c>
      <c r="L516" t="s">
        <v>78</v>
      </c>
      <c r="M516" t="s">
        <v>45</v>
      </c>
      <c r="N516" t="s">
        <v>69</v>
      </c>
    </row>
    <row r="517" spans="1:14" x14ac:dyDescent="0.25">
      <c r="A517" t="s">
        <v>1592</v>
      </c>
      <c r="B517" s="1">
        <v>45731</v>
      </c>
      <c r="C517" t="s">
        <v>1593</v>
      </c>
      <c r="D517" t="s">
        <v>1594</v>
      </c>
      <c r="E517" s="14">
        <v>923348613297</v>
      </c>
      <c r="F517" t="s">
        <v>122</v>
      </c>
      <c r="G517" t="s">
        <v>18</v>
      </c>
      <c r="H517" t="s">
        <v>33</v>
      </c>
      <c r="I517">
        <v>5</v>
      </c>
      <c r="J517">
        <v>10088</v>
      </c>
      <c r="K517">
        <v>50440</v>
      </c>
      <c r="L517" t="s">
        <v>68</v>
      </c>
      <c r="M517" t="s">
        <v>27</v>
      </c>
      <c r="N517" t="s">
        <v>22</v>
      </c>
    </row>
    <row r="518" spans="1:14" x14ac:dyDescent="0.25">
      <c r="A518" t="s">
        <v>1595</v>
      </c>
      <c r="B518" s="1">
        <v>45974</v>
      </c>
      <c r="C518" t="s">
        <v>1596</v>
      </c>
      <c r="D518" t="s">
        <v>1597</v>
      </c>
      <c r="E518" s="14">
        <v>923172464603</v>
      </c>
      <c r="F518" t="s">
        <v>106</v>
      </c>
      <c r="G518" t="s">
        <v>18</v>
      </c>
      <c r="H518" t="s">
        <v>19</v>
      </c>
      <c r="I518">
        <v>5</v>
      </c>
      <c r="J518">
        <v>7876</v>
      </c>
      <c r="K518">
        <v>39380</v>
      </c>
      <c r="L518" t="s">
        <v>63</v>
      </c>
      <c r="M518" t="s">
        <v>34</v>
      </c>
      <c r="N518" t="s">
        <v>69</v>
      </c>
    </row>
    <row r="519" spans="1:14" x14ac:dyDescent="0.25">
      <c r="A519" t="s">
        <v>1598</v>
      </c>
      <c r="B519" s="1">
        <v>46009</v>
      </c>
      <c r="C519" t="s">
        <v>1599</v>
      </c>
      <c r="D519" t="s">
        <v>1600</v>
      </c>
      <c r="E519" s="14">
        <v>923452871876</v>
      </c>
      <c r="F519" t="s">
        <v>44</v>
      </c>
      <c r="G519" t="s">
        <v>18</v>
      </c>
      <c r="H519" t="s">
        <v>19</v>
      </c>
      <c r="I519">
        <v>2</v>
      </c>
      <c r="J519">
        <v>3252</v>
      </c>
      <c r="K519">
        <v>6504</v>
      </c>
      <c r="L519" t="s">
        <v>63</v>
      </c>
      <c r="M519" t="s">
        <v>21</v>
      </c>
      <c r="N519" t="s">
        <v>22</v>
      </c>
    </row>
    <row r="520" spans="1:14" x14ac:dyDescent="0.25">
      <c r="A520" t="s">
        <v>1601</v>
      </c>
      <c r="B520" s="1">
        <v>45855</v>
      </c>
      <c r="C520" t="s">
        <v>1024</v>
      </c>
      <c r="D520" t="s">
        <v>1602</v>
      </c>
      <c r="E520" s="14">
        <v>923309662384</v>
      </c>
      <c r="F520" t="s">
        <v>92</v>
      </c>
      <c r="G520" t="s">
        <v>18</v>
      </c>
      <c r="H520" t="s">
        <v>59</v>
      </c>
      <c r="I520">
        <v>3</v>
      </c>
      <c r="J520">
        <v>11531</v>
      </c>
      <c r="K520">
        <v>34593</v>
      </c>
      <c r="L520" t="s">
        <v>78</v>
      </c>
      <c r="M520" t="s">
        <v>135</v>
      </c>
      <c r="N520" t="s">
        <v>69</v>
      </c>
    </row>
    <row r="521" spans="1:14" x14ac:dyDescent="0.25">
      <c r="A521" t="s">
        <v>1603</v>
      </c>
      <c r="B521" s="1">
        <v>45795</v>
      </c>
      <c r="C521" t="s">
        <v>1604</v>
      </c>
      <c r="D521" t="s">
        <v>1605</v>
      </c>
      <c r="E521" s="14">
        <v>923208040226</v>
      </c>
      <c r="F521" t="s">
        <v>77</v>
      </c>
      <c r="G521" t="s">
        <v>18</v>
      </c>
      <c r="H521" t="s">
        <v>73</v>
      </c>
      <c r="I521">
        <v>1</v>
      </c>
      <c r="J521">
        <v>2556</v>
      </c>
      <c r="K521">
        <v>2556</v>
      </c>
      <c r="L521" t="s">
        <v>68</v>
      </c>
      <c r="M521" t="s">
        <v>55</v>
      </c>
      <c r="N521" t="s">
        <v>28</v>
      </c>
    </row>
    <row r="522" spans="1:14" x14ac:dyDescent="0.25">
      <c r="A522" t="s">
        <v>1606</v>
      </c>
      <c r="B522" s="1">
        <v>46027</v>
      </c>
      <c r="C522" t="s">
        <v>1607</v>
      </c>
      <c r="D522" t="s">
        <v>1608</v>
      </c>
      <c r="E522" s="14">
        <v>923396534334</v>
      </c>
      <c r="F522" t="s">
        <v>49</v>
      </c>
      <c r="G522" t="s">
        <v>18</v>
      </c>
      <c r="H522" t="s">
        <v>59</v>
      </c>
      <c r="I522">
        <v>1</v>
      </c>
      <c r="J522">
        <v>12601</v>
      </c>
      <c r="K522">
        <v>12601</v>
      </c>
      <c r="L522" t="s">
        <v>78</v>
      </c>
      <c r="M522" t="s">
        <v>27</v>
      </c>
      <c r="N522" t="s">
        <v>22</v>
      </c>
    </row>
    <row r="523" spans="1:14" x14ac:dyDescent="0.25">
      <c r="A523" t="s">
        <v>1609</v>
      </c>
      <c r="B523" s="1">
        <v>46068</v>
      </c>
      <c r="C523" t="s">
        <v>1610</v>
      </c>
      <c r="D523" t="s">
        <v>1611</v>
      </c>
      <c r="E523" s="14">
        <v>923372940163</v>
      </c>
      <c r="F523" t="s">
        <v>49</v>
      </c>
      <c r="G523" t="s">
        <v>18</v>
      </c>
      <c r="H523" t="s">
        <v>59</v>
      </c>
      <c r="I523">
        <v>2</v>
      </c>
      <c r="J523">
        <v>14658</v>
      </c>
      <c r="K523">
        <v>29316</v>
      </c>
      <c r="L523" t="s">
        <v>26</v>
      </c>
      <c r="M523" t="s">
        <v>34</v>
      </c>
      <c r="N523" t="s">
        <v>35</v>
      </c>
    </row>
    <row r="524" spans="1:14" x14ac:dyDescent="0.25">
      <c r="A524" t="s">
        <v>1612</v>
      </c>
      <c r="B524" s="1">
        <v>45975</v>
      </c>
      <c r="C524" t="s">
        <v>1613</v>
      </c>
      <c r="D524" t="s">
        <v>1614</v>
      </c>
      <c r="E524" s="14">
        <v>923486352737</v>
      </c>
      <c r="F524" t="s">
        <v>17</v>
      </c>
      <c r="G524" t="s">
        <v>18</v>
      </c>
      <c r="H524" t="s">
        <v>59</v>
      </c>
      <c r="I524">
        <v>5</v>
      </c>
      <c r="J524">
        <v>6656</v>
      </c>
      <c r="K524">
        <v>33280</v>
      </c>
      <c r="L524" t="s">
        <v>63</v>
      </c>
      <c r="M524" t="s">
        <v>55</v>
      </c>
      <c r="N524" t="s">
        <v>28</v>
      </c>
    </row>
    <row r="525" spans="1:14" x14ac:dyDescent="0.25">
      <c r="A525" t="s">
        <v>1615</v>
      </c>
      <c r="B525" s="1">
        <v>45734</v>
      </c>
      <c r="C525" t="s">
        <v>1616</v>
      </c>
      <c r="D525" t="s">
        <v>1617</v>
      </c>
      <c r="E525" s="14">
        <v>923125520792</v>
      </c>
      <c r="F525" t="s">
        <v>54</v>
      </c>
      <c r="G525" t="s">
        <v>18</v>
      </c>
      <c r="H525" t="s">
        <v>73</v>
      </c>
      <c r="I525">
        <v>1</v>
      </c>
      <c r="J525">
        <v>10989</v>
      </c>
      <c r="K525">
        <v>10989</v>
      </c>
      <c r="L525" t="s">
        <v>78</v>
      </c>
      <c r="M525" t="s">
        <v>34</v>
      </c>
      <c r="N525" t="s">
        <v>28</v>
      </c>
    </row>
    <row r="526" spans="1:14" x14ac:dyDescent="0.25">
      <c r="A526" t="s">
        <v>1618</v>
      </c>
      <c r="B526" s="1">
        <v>46060</v>
      </c>
      <c r="C526" t="s">
        <v>1619</v>
      </c>
      <c r="D526" t="s">
        <v>1620</v>
      </c>
      <c r="E526" s="14">
        <v>923116005436</v>
      </c>
      <c r="F526" t="s">
        <v>67</v>
      </c>
      <c r="G526" t="s">
        <v>18</v>
      </c>
      <c r="H526" t="s">
        <v>19</v>
      </c>
      <c r="I526">
        <v>4</v>
      </c>
      <c r="J526">
        <v>3394</v>
      </c>
      <c r="K526">
        <v>13576</v>
      </c>
      <c r="L526" t="s">
        <v>20</v>
      </c>
      <c r="M526" t="s">
        <v>82</v>
      </c>
      <c r="N526" t="s">
        <v>28</v>
      </c>
    </row>
    <row r="527" spans="1:14" x14ac:dyDescent="0.25">
      <c r="A527" t="s">
        <v>1621</v>
      </c>
      <c r="B527" s="1">
        <v>45917</v>
      </c>
      <c r="C527" t="s">
        <v>1622</v>
      </c>
      <c r="D527" t="s">
        <v>1623</v>
      </c>
      <c r="E527" s="14">
        <v>923400049143</v>
      </c>
      <c r="F527" t="s">
        <v>49</v>
      </c>
      <c r="G527" t="s">
        <v>18</v>
      </c>
      <c r="H527" t="s">
        <v>59</v>
      </c>
      <c r="I527">
        <v>2</v>
      </c>
      <c r="J527">
        <v>12075</v>
      </c>
      <c r="K527">
        <v>24150</v>
      </c>
      <c r="L527" t="s">
        <v>68</v>
      </c>
      <c r="M527" t="s">
        <v>34</v>
      </c>
      <c r="N527" t="s">
        <v>22</v>
      </c>
    </row>
    <row r="528" spans="1:14" x14ac:dyDescent="0.25">
      <c r="A528" t="s">
        <v>1624</v>
      </c>
      <c r="B528" s="1">
        <v>45932</v>
      </c>
      <c r="C528" t="s">
        <v>1625</v>
      </c>
      <c r="D528" t="s">
        <v>1626</v>
      </c>
      <c r="E528" s="14">
        <v>923260905009</v>
      </c>
      <c r="F528" t="s">
        <v>54</v>
      </c>
      <c r="G528" t="s">
        <v>18</v>
      </c>
      <c r="H528" t="s">
        <v>19</v>
      </c>
      <c r="I528">
        <v>3</v>
      </c>
      <c r="J528">
        <v>9838</v>
      </c>
      <c r="K528">
        <v>29514</v>
      </c>
      <c r="L528" t="s">
        <v>78</v>
      </c>
      <c r="M528" t="s">
        <v>45</v>
      </c>
      <c r="N528" t="s">
        <v>28</v>
      </c>
    </row>
    <row r="529" spans="1:14" x14ac:dyDescent="0.25">
      <c r="A529" t="s">
        <v>1627</v>
      </c>
      <c r="B529" s="1">
        <v>45911</v>
      </c>
      <c r="C529" t="s">
        <v>1628</v>
      </c>
      <c r="D529" t="s">
        <v>1629</v>
      </c>
      <c r="E529" s="14">
        <v>923254825602</v>
      </c>
      <c r="F529" t="s">
        <v>67</v>
      </c>
      <c r="G529" t="s">
        <v>18</v>
      </c>
      <c r="H529" t="s">
        <v>33</v>
      </c>
      <c r="I529">
        <v>2</v>
      </c>
      <c r="J529">
        <v>1176</v>
      </c>
      <c r="K529">
        <v>2352</v>
      </c>
      <c r="L529" t="s">
        <v>78</v>
      </c>
      <c r="M529" t="s">
        <v>45</v>
      </c>
      <c r="N529" t="s">
        <v>35</v>
      </c>
    </row>
    <row r="530" spans="1:14" x14ac:dyDescent="0.25">
      <c r="A530" t="s">
        <v>1630</v>
      </c>
      <c r="B530" s="1">
        <v>45715</v>
      </c>
      <c r="C530" t="s">
        <v>1631</v>
      </c>
      <c r="D530" t="s">
        <v>1632</v>
      </c>
      <c r="E530" s="14">
        <v>923390696313</v>
      </c>
      <c r="F530" t="s">
        <v>49</v>
      </c>
      <c r="G530" t="s">
        <v>18</v>
      </c>
      <c r="H530" t="s">
        <v>19</v>
      </c>
      <c r="I530">
        <v>4</v>
      </c>
      <c r="J530">
        <v>9439</v>
      </c>
      <c r="K530">
        <v>37756</v>
      </c>
      <c r="L530" t="s">
        <v>68</v>
      </c>
      <c r="M530" t="s">
        <v>45</v>
      </c>
      <c r="N530" t="s">
        <v>22</v>
      </c>
    </row>
    <row r="531" spans="1:14" x14ac:dyDescent="0.25">
      <c r="A531" t="s">
        <v>1633</v>
      </c>
      <c r="B531" s="1">
        <v>45852</v>
      </c>
      <c r="C531" t="s">
        <v>1634</v>
      </c>
      <c r="D531" t="s">
        <v>1635</v>
      </c>
      <c r="E531" s="14">
        <v>923186202831</v>
      </c>
      <c r="F531" t="s">
        <v>92</v>
      </c>
      <c r="G531" t="s">
        <v>18</v>
      </c>
      <c r="H531" t="s">
        <v>33</v>
      </c>
      <c r="I531">
        <v>5</v>
      </c>
      <c r="J531">
        <v>10965</v>
      </c>
      <c r="K531">
        <v>54825</v>
      </c>
      <c r="L531" t="s">
        <v>26</v>
      </c>
      <c r="M531" t="s">
        <v>34</v>
      </c>
      <c r="N531" t="s">
        <v>22</v>
      </c>
    </row>
    <row r="532" spans="1:14" x14ac:dyDescent="0.25">
      <c r="A532" t="s">
        <v>1636</v>
      </c>
      <c r="B532" s="1">
        <v>45716</v>
      </c>
      <c r="C532" t="s">
        <v>1637</v>
      </c>
      <c r="D532" t="s">
        <v>1638</v>
      </c>
      <c r="E532" s="14">
        <v>923232014335</v>
      </c>
      <c r="F532" t="s">
        <v>77</v>
      </c>
      <c r="G532" t="s">
        <v>18</v>
      </c>
      <c r="H532" t="s">
        <v>50</v>
      </c>
      <c r="I532">
        <v>1</v>
      </c>
      <c r="J532">
        <v>11654</v>
      </c>
      <c r="K532">
        <v>11654</v>
      </c>
      <c r="L532" t="s">
        <v>78</v>
      </c>
      <c r="M532" t="s">
        <v>45</v>
      </c>
      <c r="N532" t="s">
        <v>22</v>
      </c>
    </row>
    <row r="533" spans="1:14" x14ac:dyDescent="0.25">
      <c r="A533" t="s">
        <v>1639</v>
      </c>
      <c r="B533" s="1">
        <v>45908</v>
      </c>
      <c r="C533" t="s">
        <v>1640</v>
      </c>
      <c r="D533" t="s">
        <v>1641</v>
      </c>
      <c r="E533" s="14">
        <v>923223817712</v>
      </c>
      <c r="F533" t="s">
        <v>17</v>
      </c>
      <c r="G533" t="s">
        <v>18</v>
      </c>
      <c r="H533" t="s">
        <v>39</v>
      </c>
      <c r="I533">
        <v>5</v>
      </c>
      <c r="J533">
        <v>7937</v>
      </c>
      <c r="K533">
        <v>39685</v>
      </c>
      <c r="L533" t="s">
        <v>68</v>
      </c>
      <c r="M533" t="s">
        <v>34</v>
      </c>
      <c r="N533" t="s">
        <v>69</v>
      </c>
    </row>
    <row r="534" spans="1:14" x14ac:dyDescent="0.25">
      <c r="A534" t="s">
        <v>1642</v>
      </c>
      <c r="B534" s="1">
        <v>45982</v>
      </c>
      <c r="C534" t="s">
        <v>1643</v>
      </c>
      <c r="D534" t="s">
        <v>1644</v>
      </c>
      <c r="E534" s="14">
        <v>923410539937</v>
      </c>
      <c r="F534" t="s">
        <v>32</v>
      </c>
      <c r="G534" t="s">
        <v>18</v>
      </c>
      <c r="H534" t="s">
        <v>59</v>
      </c>
      <c r="I534">
        <v>5</v>
      </c>
      <c r="J534">
        <v>4508</v>
      </c>
      <c r="K534">
        <v>22540</v>
      </c>
      <c r="L534" t="s">
        <v>26</v>
      </c>
      <c r="M534" t="s">
        <v>21</v>
      </c>
      <c r="N534" t="s">
        <v>69</v>
      </c>
    </row>
    <row r="535" spans="1:14" x14ac:dyDescent="0.25">
      <c r="A535" t="s">
        <v>1645</v>
      </c>
      <c r="B535" s="1">
        <v>45974</v>
      </c>
      <c r="C535" t="s">
        <v>1646</v>
      </c>
      <c r="D535" t="s">
        <v>1647</v>
      </c>
      <c r="E535" s="14">
        <v>923041531560</v>
      </c>
      <c r="F535" t="s">
        <v>92</v>
      </c>
      <c r="G535" t="s">
        <v>18</v>
      </c>
      <c r="H535" t="s">
        <v>39</v>
      </c>
      <c r="I535">
        <v>2</v>
      </c>
      <c r="J535">
        <v>7044</v>
      </c>
      <c r="K535">
        <v>14088</v>
      </c>
      <c r="L535" t="s">
        <v>68</v>
      </c>
      <c r="M535" t="s">
        <v>55</v>
      </c>
      <c r="N535" t="s">
        <v>22</v>
      </c>
    </row>
    <row r="536" spans="1:14" x14ac:dyDescent="0.25">
      <c r="A536" t="s">
        <v>1648</v>
      </c>
      <c r="B536" s="1">
        <v>45830</v>
      </c>
      <c r="C536" t="s">
        <v>1649</v>
      </c>
      <c r="D536" t="s">
        <v>1650</v>
      </c>
      <c r="E536" s="14">
        <v>923059928768</v>
      </c>
      <c r="F536" t="s">
        <v>54</v>
      </c>
      <c r="G536" t="s">
        <v>18</v>
      </c>
      <c r="H536" t="s">
        <v>33</v>
      </c>
      <c r="I536">
        <v>1</v>
      </c>
      <c r="J536">
        <v>3148</v>
      </c>
      <c r="K536">
        <v>3148</v>
      </c>
      <c r="L536" t="s">
        <v>40</v>
      </c>
      <c r="M536" t="s">
        <v>93</v>
      </c>
      <c r="N536" t="s">
        <v>69</v>
      </c>
    </row>
    <row r="537" spans="1:14" x14ac:dyDescent="0.25">
      <c r="A537" t="s">
        <v>1651</v>
      </c>
      <c r="B537" s="1">
        <v>45976</v>
      </c>
      <c r="C537" t="s">
        <v>1652</v>
      </c>
      <c r="D537" t="s">
        <v>1653</v>
      </c>
      <c r="E537" s="14">
        <v>923204039997</v>
      </c>
      <c r="F537" t="s">
        <v>122</v>
      </c>
      <c r="G537" t="s">
        <v>18</v>
      </c>
      <c r="H537" t="s">
        <v>59</v>
      </c>
      <c r="I537">
        <v>1</v>
      </c>
      <c r="J537">
        <v>4846</v>
      </c>
      <c r="K537">
        <v>4846</v>
      </c>
      <c r="L537" t="s">
        <v>68</v>
      </c>
      <c r="M537" t="s">
        <v>135</v>
      </c>
      <c r="N537" t="s">
        <v>28</v>
      </c>
    </row>
    <row r="538" spans="1:14" x14ac:dyDescent="0.25">
      <c r="A538" t="s">
        <v>1654</v>
      </c>
      <c r="B538" s="1">
        <v>46036</v>
      </c>
      <c r="C538" t="s">
        <v>1655</v>
      </c>
      <c r="D538" t="s">
        <v>1656</v>
      </c>
      <c r="E538" s="14">
        <v>923487341156</v>
      </c>
      <c r="F538" t="s">
        <v>49</v>
      </c>
      <c r="G538" t="s">
        <v>18</v>
      </c>
      <c r="H538" t="s">
        <v>19</v>
      </c>
      <c r="I538">
        <v>2</v>
      </c>
      <c r="J538">
        <v>6572</v>
      </c>
      <c r="K538">
        <v>13144</v>
      </c>
      <c r="L538" t="s">
        <v>68</v>
      </c>
      <c r="M538" t="s">
        <v>34</v>
      </c>
      <c r="N538" t="s">
        <v>35</v>
      </c>
    </row>
    <row r="539" spans="1:14" x14ac:dyDescent="0.25">
      <c r="A539" t="s">
        <v>1657</v>
      </c>
      <c r="B539" s="1">
        <v>45872</v>
      </c>
      <c r="C539" t="s">
        <v>1658</v>
      </c>
      <c r="D539" t="s">
        <v>1659</v>
      </c>
      <c r="E539" s="14">
        <v>923442008891</v>
      </c>
      <c r="F539" t="s">
        <v>32</v>
      </c>
      <c r="G539" t="s">
        <v>18</v>
      </c>
      <c r="H539" t="s">
        <v>73</v>
      </c>
      <c r="I539">
        <v>3</v>
      </c>
      <c r="J539">
        <v>5435</v>
      </c>
      <c r="K539">
        <v>16305</v>
      </c>
      <c r="L539" t="s">
        <v>26</v>
      </c>
      <c r="M539" t="s">
        <v>27</v>
      </c>
      <c r="N539" t="s">
        <v>22</v>
      </c>
    </row>
    <row r="540" spans="1:14" x14ac:dyDescent="0.25">
      <c r="A540" t="s">
        <v>1660</v>
      </c>
      <c r="B540" s="1">
        <v>45963</v>
      </c>
      <c r="C540" t="s">
        <v>1661</v>
      </c>
      <c r="D540" t="s">
        <v>1662</v>
      </c>
      <c r="E540" s="14">
        <v>923417131561</v>
      </c>
      <c r="F540" t="s">
        <v>67</v>
      </c>
      <c r="G540" t="s">
        <v>18</v>
      </c>
      <c r="H540" t="s">
        <v>19</v>
      </c>
      <c r="I540">
        <v>2</v>
      </c>
      <c r="J540">
        <v>10736</v>
      </c>
      <c r="K540">
        <v>21472</v>
      </c>
      <c r="L540" t="s">
        <v>26</v>
      </c>
      <c r="M540" t="s">
        <v>135</v>
      </c>
      <c r="N540" t="s">
        <v>69</v>
      </c>
    </row>
    <row r="541" spans="1:14" x14ac:dyDescent="0.25">
      <c r="A541" t="s">
        <v>1663</v>
      </c>
      <c r="B541" s="1">
        <v>45937</v>
      </c>
      <c r="C541" t="s">
        <v>1664</v>
      </c>
      <c r="D541" t="s">
        <v>1665</v>
      </c>
      <c r="E541" s="14">
        <v>923411870930</v>
      </c>
      <c r="F541" t="s">
        <v>67</v>
      </c>
      <c r="G541" t="s">
        <v>18</v>
      </c>
      <c r="H541" t="s">
        <v>19</v>
      </c>
      <c r="I541">
        <v>2</v>
      </c>
      <c r="J541">
        <v>1206</v>
      </c>
      <c r="K541">
        <v>2412</v>
      </c>
      <c r="L541" t="s">
        <v>26</v>
      </c>
      <c r="M541" t="s">
        <v>82</v>
      </c>
      <c r="N541" t="s">
        <v>22</v>
      </c>
    </row>
    <row r="542" spans="1:14" x14ac:dyDescent="0.25">
      <c r="A542" t="s">
        <v>1666</v>
      </c>
      <c r="B542" s="1">
        <v>45841</v>
      </c>
      <c r="C542" t="s">
        <v>1667</v>
      </c>
      <c r="D542" t="s">
        <v>1668</v>
      </c>
      <c r="E542" s="14">
        <v>923458880466</v>
      </c>
      <c r="F542" t="s">
        <v>54</v>
      </c>
      <c r="G542" t="s">
        <v>18</v>
      </c>
      <c r="H542" t="s">
        <v>50</v>
      </c>
      <c r="I542">
        <v>5</v>
      </c>
      <c r="J542">
        <v>7140</v>
      </c>
      <c r="K542">
        <v>35700</v>
      </c>
      <c r="L542" t="s">
        <v>78</v>
      </c>
      <c r="M542" t="s">
        <v>55</v>
      </c>
      <c r="N542" t="s">
        <v>28</v>
      </c>
    </row>
    <row r="543" spans="1:14" x14ac:dyDescent="0.25">
      <c r="A543" t="s">
        <v>1669</v>
      </c>
      <c r="B543" s="1">
        <v>46001</v>
      </c>
      <c r="C543" t="s">
        <v>1670</v>
      </c>
      <c r="D543" t="s">
        <v>1671</v>
      </c>
      <c r="E543" s="14">
        <v>923067894659</v>
      </c>
      <c r="F543" t="s">
        <v>92</v>
      </c>
      <c r="G543" t="s">
        <v>18</v>
      </c>
      <c r="H543" t="s">
        <v>39</v>
      </c>
      <c r="I543">
        <v>5</v>
      </c>
      <c r="J543">
        <v>11522</v>
      </c>
      <c r="K543">
        <v>57610</v>
      </c>
      <c r="L543" t="s">
        <v>26</v>
      </c>
      <c r="M543" t="s">
        <v>135</v>
      </c>
      <c r="N543" t="s">
        <v>28</v>
      </c>
    </row>
    <row r="544" spans="1:14" x14ac:dyDescent="0.25">
      <c r="A544" t="s">
        <v>1672</v>
      </c>
      <c r="B544" s="1">
        <v>45900</v>
      </c>
      <c r="C544" t="s">
        <v>1673</v>
      </c>
      <c r="D544" t="s">
        <v>1674</v>
      </c>
      <c r="E544" s="14">
        <v>923357715361</v>
      </c>
      <c r="F544" t="s">
        <v>17</v>
      </c>
      <c r="G544" t="s">
        <v>18</v>
      </c>
      <c r="H544" t="s">
        <v>59</v>
      </c>
      <c r="I544">
        <v>5</v>
      </c>
      <c r="J544">
        <v>10760</v>
      </c>
      <c r="K544">
        <v>53800</v>
      </c>
      <c r="L544" t="s">
        <v>78</v>
      </c>
      <c r="M544" t="s">
        <v>82</v>
      </c>
      <c r="N544" t="s">
        <v>22</v>
      </c>
    </row>
    <row r="545" spans="1:14" x14ac:dyDescent="0.25">
      <c r="A545" t="s">
        <v>1675</v>
      </c>
      <c r="B545" s="1">
        <v>46033</v>
      </c>
      <c r="C545" t="s">
        <v>1676</v>
      </c>
      <c r="D545" t="s">
        <v>1677</v>
      </c>
      <c r="E545" s="14">
        <v>923361458711</v>
      </c>
      <c r="F545" t="s">
        <v>32</v>
      </c>
      <c r="G545" t="s">
        <v>18</v>
      </c>
      <c r="H545" t="s">
        <v>19</v>
      </c>
      <c r="I545">
        <v>2</v>
      </c>
      <c r="J545">
        <v>10449</v>
      </c>
      <c r="K545">
        <v>20898</v>
      </c>
      <c r="L545" t="s">
        <v>68</v>
      </c>
      <c r="M545" t="s">
        <v>27</v>
      </c>
      <c r="N545" t="s">
        <v>69</v>
      </c>
    </row>
    <row r="546" spans="1:14" x14ac:dyDescent="0.25">
      <c r="A546" t="s">
        <v>1678</v>
      </c>
      <c r="B546" s="1">
        <v>45857</v>
      </c>
      <c r="C546" t="s">
        <v>1679</v>
      </c>
      <c r="D546" t="s">
        <v>1680</v>
      </c>
      <c r="E546" s="14">
        <v>923261725916</v>
      </c>
      <c r="F546" t="s">
        <v>106</v>
      </c>
      <c r="G546" t="s">
        <v>18</v>
      </c>
      <c r="H546" t="s">
        <v>59</v>
      </c>
      <c r="I546">
        <v>3</v>
      </c>
      <c r="J546">
        <v>5851</v>
      </c>
      <c r="K546">
        <v>17553</v>
      </c>
      <c r="L546" t="s">
        <v>63</v>
      </c>
      <c r="M546" t="s">
        <v>45</v>
      </c>
      <c r="N546" t="s">
        <v>28</v>
      </c>
    </row>
    <row r="547" spans="1:14" x14ac:dyDescent="0.25">
      <c r="A547" t="s">
        <v>1681</v>
      </c>
      <c r="B547" s="1">
        <v>45857</v>
      </c>
      <c r="C547" t="s">
        <v>1682</v>
      </c>
      <c r="D547" t="s">
        <v>1683</v>
      </c>
      <c r="E547" s="14">
        <v>923082962937</v>
      </c>
      <c r="F547" t="s">
        <v>67</v>
      </c>
      <c r="G547" t="s">
        <v>18</v>
      </c>
      <c r="H547" t="s">
        <v>73</v>
      </c>
      <c r="I547">
        <v>2</v>
      </c>
      <c r="J547">
        <v>5381</v>
      </c>
      <c r="K547">
        <v>10762</v>
      </c>
      <c r="L547" t="s">
        <v>78</v>
      </c>
      <c r="M547" t="s">
        <v>135</v>
      </c>
      <c r="N547" t="s">
        <v>22</v>
      </c>
    </row>
    <row r="548" spans="1:14" x14ac:dyDescent="0.25">
      <c r="A548" t="s">
        <v>1684</v>
      </c>
      <c r="B548" s="1">
        <v>45731</v>
      </c>
      <c r="C548" t="s">
        <v>1685</v>
      </c>
      <c r="D548" t="s">
        <v>1686</v>
      </c>
      <c r="E548" s="14">
        <v>923055569655</v>
      </c>
      <c r="F548" t="s">
        <v>106</v>
      </c>
      <c r="G548" t="s">
        <v>18</v>
      </c>
      <c r="H548" t="s">
        <v>50</v>
      </c>
      <c r="I548">
        <v>1</v>
      </c>
      <c r="J548">
        <v>4080</v>
      </c>
      <c r="K548">
        <v>4080</v>
      </c>
      <c r="L548" t="s">
        <v>40</v>
      </c>
      <c r="M548" t="s">
        <v>45</v>
      </c>
      <c r="N548" t="s">
        <v>22</v>
      </c>
    </row>
    <row r="549" spans="1:14" x14ac:dyDescent="0.25">
      <c r="A549" t="s">
        <v>1687</v>
      </c>
      <c r="B549" s="1">
        <v>45948</v>
      </c>
      <c r="C549" t="s">
        <v>1688</v>
      </c>
      <c r="D549" t="s">
        <v>1689</v>
      </c>
      <c r="E549" s="14">
        <v>923393450500</v>
      </c>
      <c r="F549" t="s">
        <v>32</v>
      </c>
      <c r="G549" t="s">
        <v>18</v>
      </c>
      <c r="H549" t="s">
        <v>39</v>
      </c>
      <c r="I549">
        <v>3</v>
      </c>
      <c r="J549">
        <v>11433</v>
      </c>
      <c r="K549">
        <v>34299</v>
      </c>
      <c r="L549" t="s">
        <v>26</v>
      </c>
      <c r="M549" t="s">
        <v>135</v>
      </c>
      <c r="N549" t="s">
        <v>28</v>
      </c>
    </row>
    <row r="550" spans="1:14" x14ac:dyDescent="0.25">
      <c r="A550" t="s">
        <v>1690</v>
      </c>
      <c r="B550" s="1">
        <v>45732</v>
      </c>
      <c r="C550" t="s">
        <v>1691</v>
      </c>
      <c r="D550" t="s">
        <v>1692</v>
      </c>
      <c r="E550" s="14">
        <v>923230705513</v>
      </c>
      <c r="F550" t="s">
        <v>122</v>
      </c>
      <c r="G550" t="s">
        <v>18</v>
      </c>
      <c r="H550" t="s">
        <v>33</v>
      </c>
      <c r="I550">
        <v>2</v>
      </c>
      <c r="J550">
        <v>8089</v>
      </c>
      <c r="K550">
        <v>16178</v>
      </c>
      <c r="L550" t="s">
        <v>40</v>
      </c>
      <c r="M550" t="s">
        <v>34</v>
      </c>
      <c r="N550" t="s">
        <v>28</v>
      </c>
    </row>
    <row r="551" spans="1:14" x14ac:dyDescent="0.25">
      <c r="A551" t="s">
        <v>1693</v>
      </c>
      <c r="B551" s="1">
        <v>46054</v>
      </c>
      <c r="C551" t="s">
        <v>1694</v>
      </c>
      <c r="D551" t="s">
        <v>1695</v>
      </c>
      <c r="E551" s="14">
        <v>923498988548</v>
      </c>
      <c r="F551" t="s">
        <v>106</v>
      </c>
      <c r="G551" t="s">
        <v>18</v>
      </c>
      <c r="H551" t="s">
        <v>39</v>
      </c>
      <c r="I551">
        <v>4</v>
      </c>
      <c r="J551">
        <v>3257</v>
      </c>
      <c r="K551">
        <v>13028</v>
      </c>
      <c r="L551" t="s">
        <v>78</v>
      </c>
      <c r="M551" t="s">
        <v>27</v>
      </c>
      <c r="N551" t="s">
        <v>69</v>
      </c>
    </row>
    <row r="552" spans="1:14" x14ac:dyDescent="0.25">
      <c r="A552" t="s">
        <v>1696</v>
      </c>
      <c r="B552" s="1">
        <v>45794</v>
      </c>
      <c r="C552" t="s">
        <v>1697</v>
      </c>
      <c r="D552" t="s">
        <v>1698</v>
      </c>
      <c r="E552" s="14">
        <v>923343745123</v>
      </c>
      <c r="F552" t="s">
        <v>67</v>
      </c>
      <c r="G552" t="s">
        <v>18</v>
      </c>
      <c r="H552" t="s">
        <v>50</v>
      </c>
      <c r="I552">
        <v>4</v>
      </c>
      <c r="J552">
        <v>4854</v>
      </c>
      <c r="K552">
        <v>19416</v>
      </c>
      <c r="L552" t="s">
        <v>63</v>
      </c>
      <c r="M552" t="s">
        <v>34</v>
      </c>
      <c r="N552" t="s">
        <v>28</v>
      </c>
    </row>
    <row r="553" spans="1:14" x14ac:dyDescent="0.25">
      <c r="A553" t="s">
        <v>1699</v>
      </c>
      <c r="B553" s="1">
        <v>46052</v>
      </c>
      <c r="C553" t="s">
        <v>1700</v>
      </c>
      <c r="D553" t="s">
        <v>1701</v>
      </c>
      <c r="E553" s="14">
        <v>923369394208</v>
      </c>
      <c r="F553" t="s">
        <v>77</v>
      </c>
      <c r="G553" t="s">
        <v>18</v>
      </c>
      <c r="H553" t="s">
        <v>50</v>
      </c>
      <c r="I553">
        <v>2</v>
      </c>
      <c r="J553">
        <v>1290</v>
      </c>
      <c r="K553">
        <v>2580</v>
      </c>
      <c r="L553" t="s">
        <v>68</v>
      </c>
      <c r="M553" t="s">
        <v>27</v>
      </c>
      <c r="N553" t="s">
        <v>28</v>
      </c>
    </row>
    <row r="554" spans="1:14" x14ac:dyDescent="0.25">
      <c r="A554" t="s">
        <v>1702</v>
      </c>
      <c r="B554" s="1">
        <v>45971</v>
      </c>
      <c r="C554" t="s">
        <v>1703</v>
      </c>
      <c r="D554" t="s">
        <v>1704</v>
      </c>
      <c r="E554" s="14">
        <v>923367929393</v>
      </c>
      <c r="F554" t="s">
        <v>54</v>
      </c>
      <c r="G554" t="s">
        <v>18</v>
      </c>
      <c r="H554" t="s">
        <v>59</v>
      </c>
      <c r="I554">
        <v>5</v>
      </c>
      <c r="J554">
        <v>10884</v>
      </c>
      <c r="K554">
        <v>54420</v>
      </c>
      <c r="L554" t="s">
        <v>78</v>
      </c>
      <c r="M554" t="s">
        <v>55</v>
      </c>
      <c r="N554" t="s">
        <v>22</v>
      </c>
    </row>
    <row r="555" spans="1:14" x14ac:dyDescent="0.25">
      <c r="A555" t="s">
        <v>1705</v>
      </c>
      <c r="B555" s="1">
        <v>45766</v>
      </c>
      <c r="C555" t="s">
        <v>1706</v>
      </c>
      <c r="D555" t="s">
        <v>1707</v>
      </c>
      <c r="E555" s="14">
        <v>923041058088</v>
      </c>
      <c r="F555" t="s">
        <v>106</v>
      </c>
      <c r="G555" t="s">
        <v>18</v>
      </c>
      <c r="H555" t="s">
        <v>39</v>
      </c>
      <c r="I555">
        <v>4</v>
      </c>
      <c r="J555">
        <v>10082</v>
      </c>
      <c r="K555">
        <v>40328</v>
      </c>
      <c r="L555" t="s">
        <v>78</v>
      </c>
      <c r="M555" t="s">
        <v>55</v>
      </c>
      <c r="N555" t="s">
        <v>28</v>
      </c>
    </row>
    <row r="556" spans="1:14" x14ac:dyDescent="0.25">
      <c r="A556" t="s">
        <v>1708</v>
      </c>
      <c r="B556" s="1">
        <v>45884</v>
      </c>
      <c r="C556" t="s">
        <v>1709</v>
      </c>
      <c r="D556" t="s">
        <v>1710</v>
      </c>
      <c r="E556" s="14">
        <v>923137728668</v>
      </c>
      <c r="F556" t="s">
        <v>32</v>
      </c>
      <c r="G556" t="s">
        <v>18</v>
      </c>
      <c r="H556" t="s">
        <v>33</v>
      </c>
      <c r="I556">
        <v>1</v>
      </c>
      <c r="J556">
        <v>9427</v>
      </c>
      <c r="K556">
        <v>9427</v>
      </c>
      <c r="L556" t="s">
        <v>26</v>
      </c>
      <c r="M556" t="s">
        <v>55</v>
      </c>
      <c r="N556" t="s">
        <v>35</v>
      </c>
    </row>
    <row r="557" spans="1:14" x14ac:dyDescent="0.25">
      <c r="A557" t="s">
        <v>1711</v>
      </c>
      <c r="B557" s="1">
        <v>45719</v>
      </c>
      <c r="C557" t="s">
        <v>1557</v>
      </c>
      <c r="D557" t="s">
        <v>1712</v>
      </c>
      <c r="E557" s="14">
        <v>923020593149</v>
      </c>
      <c r="F557" t="s">
        <v>54</v>
      </c>
      <c r="G557" t="s">
        <v>18</v>
      </c>
      <c r="H557" t="s">
        <v>39</v>
      </c>
      <c r="I557">
        <v>3</v>
      </c>
      <c r="J557">
        <v>1111</v>
      </c>
      <c r="K557">
        <v>3333</v>
      </c>
      <c r="L557" t="s">
        <v>63</v>
      </c>
      <c r="M557" t="s">
        <v>82</v>
      </c>
      <c r="N557" t="s">
        <v>35</v>
      </c>
    </row>
    <row r="558" spans="1:14" x14ac:dyDescent="0.25">
      <c r="A558" t="s">
        <v>1713</v>
      </c>
      <c r="B558" s="1">
        <v>45858</v>
      </c>
      <c r="C558" t="s">
        <v>1714</v>
      </c>
      <c r="D558" t="s">
        <v>1715</v>
      </c>
      <c r="E558" s="14">
        <v>923178432483</v>
      </c>
      <c r="F558" t="s">
        <v>44</v>
      </c>
      <c r="G558" t="s">
        <v>18</v>
      </c>
      <c r="H558" t="s">
        <v>59</v>
      </c>
      <c r="I558">
        <v>5</v>
      </c>
      <c r="J558">
        <v>5115</v>
      </c>
      <c r="K558">
        <v>25575</v>
      </c>
      <c r="L558" t="s">
        <v>20</v>
      </c>
      <c r="M558" t="s">
        <v>34</v>
      </c>
      <c r="N558" t="s">
        <v>69</v>
      </c>
    </row>
    <row r="559" spans="1:14" x14ac:dyDescent="0.25">
      <c r="A559" t="s">
        <v>1716</v>
      </c>
      <c r="B559" s="1">
        <v>45729</v>
      </c>
      <c r="C559" t="s">
        <v>1717</v>
      </c>
      <c r="D559" t="s">
        <v>1718</v>
      </c>
      <c r="E559" s="14">
        <v>923445742241</v>
      </c>
      <c r="F559" t="s">
        <v>17</v>
      </c>
      <c r="G559" t="s">
        <v>18</v>
      </c>
      <c r="H559" t="s">
        <v>39</v>
      </c>
      <c r="I559">
        <v>5</v>
      </c>
      <c r="J559">
        <v>1559</v>
      </c>
      <c r="K559">
        <v>7795</v>
      </c>
      <c r="L559" t="s">
        <v>68</v>
      </c>
      <c r="M559" t="s">
        <v>34</v>
      </c>
      <c r="N559" t="s">
        <v>28</v>
      </c>
    </row>
    <row r="560" spans="1:14" x14ac:dyDescent="0.25">
      <c r="A560" t="s">
        <v>1719</v>
      </c>
      <c r="B560" s="1">
        <v>45878</v>
      </c>
      <c r="C560" t="s">
        <v>1720</v>
      </c>
      <c r="D560" t="s">
        <v>1721</v>
      </c>
      <c r="E560" s="14">
        <v>923094490905</v>
      </c>
      <c r="F560" t="s">
        <v>92</v>
      </c>
      <c r="G560" t="s">
        <v>18</v>
      </c>
      <c r="H560" t="s">
        <v>59</v>
      </c>
      <c r="I560">
        <v>2</v>
      </c>
      <c r="J560">
        <v>2111</v>
      </c>
      <c r="K560">
        <v>4222</v>
      </c>
      <c r="L560" t="s">
        <v>20</v>
      </c>
      <c r="M560" t="s">
        <v>45</v>
      </c>
      <c r="N560" t="s">
        <v>22</v>
      </c>
    </row>
    <row r="561" spans="1:14" x14ac:dyDescent="0.25">
      <c r="A561" t="s">
        <v>1722</v>
      </c>
      <c r="B561" s="1">
        <v>45895</v>
      </c>
      <c r="C561" t="s">
        <v>1723</v>
      </c>
      <c r="D561" t="s">
        <v>1724</v>
      </c>
      <c r="E561" s="14">
        <v>923020873913</v>
      </c>
      <c r="F561" t="s">
        <v>67</v>
      </c>
      <c r="G561" t="s">
        <v>18</v>
      </c>
      <c r="H561" t="s">
        <v>73</v>
      </c>
      <c r="I561">
        <v>2</v>
      </c>
      <c r="J561">
        <v>8006</v>
      </c>
      <c r="K561">
        <v>16012</v>
      </c>
      <c r="L561" t="s">
        <v>40</v>
      </c>
      <c r="M561" t="s">
        <v>82</v>
      </c>
      <c r="N561" t="s">
        <v>28</v>
      </c>
    </row>
    <row r="562" spans="1:14" x14ac:dyDescent="0.25">
      <c r="A562" t="s">
        <v>1725</v>
      </c>
      <c r="B562" s="1">
        <v>45862</v>
      </c>
      <c r="C562" t="s">
        <v>1726</v>
      </c>
      <c r="D562" t="s">
        <v>1727</v>
      </c>
      <c r="E562" s="14">
        <v>923160874888</v>
      </c>
      <c r="F562" t="s">
        <v>54</v>
      </c>
      <c r="G562" t="s">
        <v>18</v>
      </c>
      <c r="H562" t="s">
        <v>73</v>
      </c>
      <c r="I562">
        <v>5</v>
      </c>
      <c r="J562">
        <v>12889</v>
      </c>
      <c r="K562">
        <v>64445</v>
      </c>
      <c r="L562" t="s">
        <v>40</v>
      </c>
      <c r="M562" t="s">
        <v>93</v>
      </c>
      <c r="N562" t="s">
        <v>28</v>
      </c>
    </row>
    <row r="563" spans="1:14" x14ac:dyDescent="0.25">
      <c r="A563" t="s">
        <v>1728</v>
      </c>
      <c r="B563" s="1">
        <v>45882</v>
      </c>
      <c r="C563" t="s">
        <v>1729</v>
      </c>
      <c r="D563" t="s">
        <v>1730</v>
      </c>
      <c r="E563" s="14">
        <v>923483403875</v>
      </c>
      <c r="F563" t="s">
        <v>17</v>
      </c>
      <c r="G563" t="s">
        <v>18</v>
      </c>
      <c r="H563" t="s">
        <v>19</v>
      </c>
      <c r="I563">
        <v>3</v>
      </c>
      <c r="J563">
        <v>3983</v>
      </c>
      <c r="K563">
        <v>11949</v>
      </c>
      <c r="L563" t="s">
        <v>20</v>
      </c>
      <c r="M563" t="s">
        <v>27</v>
      </c>
      <c r="N563" t="s">
        <v>28</v>
      </c>
    </row>
    <row r="564" spans="1:14" x14ac:dyDescent="0.25">
      <c r="A564" t="s">
        <v>1731</v>
      </c>
      <c r="B564" s="1">
        <v>45793</v>
      </c>
      <c r="C564" t="s">
        <v>1732</v>
      </c>
      <c r="D564" t="s">
        <v>1733</v>
      </c>
      <c r="E564" s="14">
        <v>923004119843</v>
      </c>
      <c r="F564" t="s">
        <v>32</v>
      </c>
      <c r="G564" t="s">
        <v>18</v>
      </c>
      <c r="H564" t="s">
        <v>59</v>
      </c>
      <c r="I564">
        <v>1</v>
      </c>
      <c r="J564">
        <v>3284</v>
      </c>
      <c r="K564">
        <v>3284</v>
      </c>
      <c r="L564" t="s">
        <v>78</v>
      </c>
      <c r="M564" t="s">
        <v>82</v>
      </c>
      <c r="N564" t="s">
        <v>28</v>
      </c>
    </row>
    <row r="565" spans="1:14" x14ac:dyDescent="0.25">
      <c r="A565" t="s">
        <v>1734</v>
      </c>
      <c r="B565" s="1">
        <v>45735</v>
      </c>
      <c r="C565" t="s">
        <v>1735</v>
      </c>
      <c r="D565" t="s">
        <v>1736</v>
      </c>
      <c r="E565" s="14">
        <v>923240245594</v>
      </c>
      <c r="F565" t="s">
        <v>92</v>
      </c>
      <c r="G565" t="s">
        <v>18</v>
      </c>
      <c r="H565" t="s">
        <v>33</v>
      </c>
      <c r="I565">
        <v>3</v>
      </c>
      <c r="J565">
        <v>6239</v>
      </c>
      <c r="K565">
        <v>18717</v>
      </c>
      <c r="L565" t="s">
        <v>63</v>
      </c>
      <c r="M565" t="s">
        <v>27</v>
      </c>
      <c r="N565" t="s">
        <v>35</v>
      </c>
    </row>
    <row r="566" spans="1:14" x14ac:dyDescent="0.25">
      <c r="A566" t="s">
        <v>1737</v>
      </c>
      <c r="B566" s="1">
        <v>45983</v>
      </c>
      <c r="C566" t="s">
        <v>1738</v>
      </c>
      <c r="D566" t="s">
        <v>1739</v>
      </c>
      <c r="E566" s="14">
        <v>923023894089</v>
      </c>
      <c r="F566" t="s">
        <v>122</v>
      </c>
      <c r="G566" t="s">
        <v>18</v>
      </c>
      <c r="H566" t="s">
        <v>73</v>
      </c>
      <c r="I566">
        <v>4</v>
      </c>
      <c r="J566">
        <v>11936</v>
      </c>
      <c r="K566">
        <v>47744</v>
      </c>
      <c r="L566" t="s">
        <v>68</v>
      </c>
      <c r="M566" t="s">
        <v>21</v>
      </c>
      <c r="N566" t="s">
        <v>22</v>
      </c>
    </row>
    <row r="567" spans="1:14" x14ac:dyDescent="0.25">
      <c r="A567" t="s">
        <v>1740</v>
      </c>
      <c r="B567" s="1">
        <v>45945</v>
      </c>
      <c r="C567" t="s">
        <v>1741</v>
      </c>
      <c r="D567" t="s">
        <v>1742</v>
      </c>
      <c r="E567" s="14">
        <v>923491674399</v>
      </c>
      <c r="F567" t="s">
        <v>49</v>
      </c>
      <c r="G567" t="s">
        <v>18</v>
      </c>
      <c r="H567" t="s">
        <v>33</v>
      </c>
      <c r="I567">
        <v>2</v>
      </c>
      <c r="J567">
        <v>7281</v>
      </c>
      <c r="K567">
        <v>14562</v>
      </c>
      <c r="L567" t="s">
        <v>78</v>
      </c>
      <c r="M567" t="s">
        <v>45</v>
      </c>
      <c r="N567" t="s">
        <v>28</v>
      </c>
    </row>
    <row r="568" spans="1:14" x14ac:dyDescent="0.25">
      <c r="A568" t="s">
        <v>1743</v>
      </c>
      <c r="B568" s="1">
        <v>45755</v>
      </c>
      <c r="C568" t="s">
        <v>1744</v>
      </c>
      <c r="D568" t="s">
        <v>1745</v>
      </c>
      <c r="E568" s="14">
        <v>923210408596</v>
      </c>
      <c r="F568" t="s">
        <v>49</v>
      </c>
      <c r="G568" t="s">
        <v>18</v>
      </c>
      <c r="H568" t="s">
        <v>33</v>
      </c>
      <c r="I568">
        <v>4</v>
      </c>
      <c r="J568">
        <v>5051</v>
      </c>
      <c r="K568">
        <v>20204</v>
      </c>
      <c r="L568" t="s">
        <v>78</v>
      </c>
      <c r="M568" t="s">
        <v>135</v>
      </c>
      <c r="N568" t="s">
        <v>69</v>
      </c>
    </row>
    <row r="569" spans="1:14" x14ac:dyDescent="0.25">
      <c r="A569" t="s">
        <v>1746</v>
      </c>
      <c r="B569" s="1">
        <v>45870</v>
      </c>
      <c r="C569" t="s">
        <v>1747</v>
      </c>
      <c r="D569" t="s">
        <v>1748</v>
      </c>
      <c r="E569" s="14">
        <v>923448330763</v>
      </c>
      <c r="F569" t="s">
        <v>122</v>
      </c>
      <c r="G569" t="s">
        <v>18</v>
      </c>
      <c r="H569" t="s">
        <v>50</v>
      </c>
      <c r="I569">
        <v>4</v>
      </c>
      <c r="J569">
        <v>5712</v>
      </c>
      <c r="K569">
        <v>22848</v>
      </c>
      <c r="L569" t="s">
        <v>20</v>
      </c>
      <c r="M569" t="s">
        <v>34</v>
      </c>
      <c r="N569" t="s">
        <v>35</v>
      </c>
    </row>
    <row r="570" spans="1:14" x14ac:dyDescent="0.25">
      <c r="A570" t="s">
        <v>1749</v>
      </c>
      <c r="B570" s="1">
        <v>45991</v>
      </c>
      <c r="C570" t="s">
        <v>1750</v>
      </c>
      <c r="D570" t="s">
        <v>1751</v>
      </c>
      <c r="E570" s="14">
        <v>923404919763</v>
      </c>
      <c r="F570" t="s">
        <v>122</v>
      </c>
      <c r="G570" t="s">
        <v>18</v>
      </c>
      <c r="H570" t="s">
        <v>59</v>
      </c>
      <c r="I570">
        <v>2</v>
      </c>
      <c r="J570">
        <v>2478</v>
      </c>
      <c r="K570">
        <v>4956</v>
      </c>
      <c r="L570" t="s">
        <v>63</v>
      </c>
      <c r="M570" t="s">
        <v>93</v>
      </c>
      <c r="N570" t="s">
        <v>22</v>
      </c>
    </row>
    <row r="571" spans="1:14" x14ac:dyDescent="0.25">
      <c r="A571" t="s">
        <v>1752</v>
      </c>
      <c r="B571" s="1">
        <v>45800</v>
      </c>
      <c r="C571" t="s">
        <v>1753</v>
      </c>
      <c r="D571" t="s">
        <v>1754</v>
      </c>
      <c r="E571" s="14">
        <v>923402354398</v>
      </c>
      <c r="F571" t="s">
        <v>122</v>
      </c>
      <c r="G571" t="s">
        <v>18</v>
      </c>
      <c r="H571" t="s">
        <v>73</v>
      </c>
      <c r="I571">
        <v>4</v>
      </c>
      <c r="J571">
        <v>9227</v>
      </c>
      <c r="K571">
        <v>36908</v>
      </c>
      <c r="L571" t="s">
        <v>78</v>
      </c>
      <c r="M571" t="s">
        <v>27</v>
      </c>
      <c r="N571" t="s">
        <v>22</v>
      </c>
    </row>
    <row r="572" spans="1:14" x14ac:dyDescent="0.25">
      <c r="A572" t="s">
        <v>1755</v>
      </c>
      <c r="B572" s="1">
        <v>45859</v>
      </c>
      <c r="C572" t="s">
        <v>1756</v>
      </c>
      <c r="D572" t="s">
        <v>1757</v>
      </c>
      <c r="E572" s="14">
        <v>923155755787</v>
      </c>
      <c r="F572" t="s">
        <v>67</v>
      </c>
      <c r="G572" t="s">
        <v>18</v>
      </c>
      <c r="H572" t="s">
        <v>19</v>
      </c>
      <c r="I572">
        <v>5</v>
      </c>
      <c r="J572">
        <v>1663</v>
      </c>
      <c r="K572">
        <v>8315</v>
      </c>
      <c r="L572" t="s">
        <v>26</v>
      </c>
      <c r="M572" t="s">
        <v>93</v>
      </c>
      <c r="N572" t="s">
        <v>35</v>
      </c>
    </row>
    <row r="573" spans="1:14" x14ac:dyDescent="0.25">
      <c r="A573" t="s">
        <v>1758</v>
      </c>
      <c r="B573" s="1">
        <v>45810</v>
      </c>
      <c r="C573" t="s">
        <v>1759</v>
      </c>
      <c r="D573" t="s">
        <v>1760</v>
      </c>
      <c r="E573" s="14">
        <v>923100625125</v>
      </c>
      <c r="F573" t="s">
        <v>17</v>
      </c>
      <c r="G573" t="s">
        <v>18</v>
      </c>
      <c r="H573" t="s">
        <v>33</v>
      </c>
      <c r="I573">
        <v>1</v>
      </c>
      <c r="J573">
        <v>3820</v>
      </c>
      <c r="K573">
        <v>3820</v>
      </c>
      <c r="L573" t="s">
        <v>68</v>
      </c>
      <c r="M573" t="s">
        <v>93</v>
      </c>
      <c r="N573" t="s">
        <v>22</v>
      </c>
    </row>
    <row r="574" spans="1:14" x14ac:dyDescent="0.25">
      <c r="A574" t="s">
        <v>1761</v>
      </c>
      <c r="B574" s="1">
        <v>46065</v>
      </c>
      <c r="C574" t="s">
        <v>1762</v>
      </c>
      <c r="D574" t="s">
        <v>1763</v>
      </c>
      <c r="E574" s="14">
        <v>923413233954</v>
      </c>
      <c r="F574" t="s">
        <v>92</v>
      </c>
      <c r="G574" t="s">
        <v>18</v>
      </c>
      <c r="H574" t="s">
        <v>73</v>
      </c>
      <c r="I574">
        <v>5</v>
      </c>
      <c r="J574">
        <v>7312</v>
      </c>
      <c r="K574">
        <v>36560</v>
      </c>
      <c r="L574" t="s">
        <v>40</v>
      </c>
      <c r="M574" t="s">
        <v>55</v>
      </c>
      <c r="N574" t="s">
        <v>69</v>
      </c>
    </row>
    <row r="575" spans="1:14" x14ac:dyDescent="0.25">
      <c r="A575" t="s">
        <v>1764</v>
      </c>
      <c r="B575" s="1">
        <v>45936</v>
      </c>
      <c r="C575" t="s">
        <v>1765</v>
      </c>
      <c r="D575" t="s">
        <v>1766</v>
      </c>
      <c r="E575" s="14">
        <v>923141322620</v>
      </c>
      <c r="F575" t="s">
        <v>106</v>
      </c>
      <c r="G575" t="s">
        <v>18</v>
      </c>
      <c r="H575" t="s">
        <v>50</v>
      </c>
      <c r="I575">
        <v>1</v>
      </c>
      <c r="J575">
        <v>6679</v>
      </c>
      <c r="K575">
        <v>6679</v>
      </c>
      <c r="L575" t="s">
        <v>78</v>
      </c>
      <c r="M575" t="s">
        <v>45</v>
      </c>
      <c r="N575" t="s">
        <v>28</v>
      </c>
    </row>
    <row r="576" spans="1:14" x14ac:dyDescent="0.25">
      <c r="A576" t="s">
        <v>1767</v>
      </c>
      <c r="B576" s="1">
        <v>45738</v>
      </c>
      <c r="C576" t="s">
        <v>1768</v>
      </c>
      <c r="D576" t="s">
        <v>1769</v>
      </c>
      <c r="E576" s="14">
        <v>923409930147</v>
      </c>
      <c r="F576" t="s">
        <v>67</v>
      </c>
      <c r="G576" t="s">
        <v>18</v>
      </c>
      <c r="H576" t="s">
        <v>39</v>
      </c>
      <c r="I576">
        <v>3</v>
      </c>
      <c r="J576">
        <v>10083</v>
      </c>
      <c r="K576">
        <v>30249</v>
      </c>
      <c r="L576" t="s">
        <v>40</v>
      </c>
      <c r="M576" t="s">
        <v>82</v>
      </c>
      <c r="N576" t="s">
        <v>35</v>
      </c>
    </row>
    <row r="577" spans="1:14" x14ac:dyDescent="0.25">
      <c r="A577" t="s">
        <v>1770</v>
      </c>
      <c r="B577" s="1">
        <v>45831</v>
      </c>
      <c r="C577" t="s">
        <v>1771</v>
      </c>
      <c r="D577" t="s">
        <v>1772</v>
      </c>
      <c r="E577" s="14">
        <v>923105718830</v>
      </c>
      <c r="F577" t="s">
        <v>54</v>
      </c>
      <c r="G577" t="s">
        <v>18</v>
      </c>
      <c r="H577" t="s">
        <v>73</v>
      </c>
      <c r="I577">
        <v>1</v>
      </c>
      <c r="J577">
        <v>14354</v>
      </c>
      <c r="K577">
        <v>14354</v>
      </c>
      <c r="L577" t="s">
        <v>26</v>
      </c>
      <c r="M577" t="s">
        <v>45</v>
      </c>
      <c r="N577" t="s">
        <v>28</v>
      </c>
    </row>
    <row r="578" spans="1:14" x14ac:dyDescent="0.25">
      <c r="A578" t="s">
        <v>1773</v>
      </c>
      <c r="B578" s="1">
        <v>45763</v>
      </c>
      <c r="C578" t="s">
        <v>1774</v>
      </c>
      <c r="D578" t="s">
        <v>1775</v>
      </c>
      <c r="E578" s="14">
        <v>923168265836</v>
      </c>
      <c r="F578" t="s">
        <v>92</v>
      </c>
      <c r="G578" t="s">
        <v>18</v>
      </c>
      <c r="H578" t="s">
        <v>33</v>
      </c>
      <c r="I578">
        <v>1</v>
      </c>
      <c r="J578">
        <v>3224</v>
      </c>
      <c r="K578">
        <v>3224</v>
      </c>
      <c r="L578" t="s">
        <v>63</v>
      </c>
      <c r="M578" t="s">
        <v>93</v>
      </c>
      <c r="N578" t="s">
        <v>35</v>
      </c>
    </row>
    <row r="579" spans="1:14" x14ac:dyDescent="0.25">
      <c r="A579" t="s">
        <v>1776</v>
      </c>
      <c r="B579" s="1">
        <v>45726</v>
      </c>
      <c r="C579" t="s">
        <v>1777</v>
      </c>
      <c r="D579" t="s">
        <v>1778</v>
      </c>
      <c r="E579" s="14">
        <v>923007035142</v>
      </c>
      <c r="F579" t="s">
        <v>32</v>
      </c>
      <c r="G579" t="s">
        <v>18</v>
      </c>
      <c r="H579" t="s">
        <v>59</v>
      </c>
      <c r="I579">
        <v>2</v>
      </c>
      <c r="J579">
        <v>14371</v>
      </c>
      <c r="K579">
        <v>28742</v>
      </c>
      <c r="L579" t="s">
        <v>20</v>
      </c>
      <c r="M579" t="s">
        <v>93</v>
      </c>
      <c r="N579" t="s">
        <v>28</v>
      </c>
    </row>
    <row r="580" spans="1:14" x14ac:dyDescent="0.25">
      <c r="A580" t="s">
        <v>1779</v>
      </c>
      <c r="B580" s="1">
        <v>45863</v>
      </c>
      <c r="C580" t="s">
        <v>1780</v>
      </c>
      <c r="D580" t="s">
        <v>1781</v>
      </c>
      <c r="E580" s="14">
        <v>923049071228</v>
      </c>
      <c r="F580" t="s">
        <v>49</v>
      </c>
      <c r="G580" t="s">
        <v>18</v>
      </c>
      <c r="H580" t="s">
        <v>19</v>
      </c>
      <c r="I580">
        <v>5</v>
      </c>
      <c r="J580">
        <v>8020</v>
      </c>
      <c r="K580">
        <v>40100</v>
      </c>
      <c r="L580" t="s">
        <v>68</v>
      </c>
      <c r="M580" t="s">
        <v>55</v>
      </c>
      <c r="N580" t="s">
        <v>69</v>
      </c>
    </row>
    <row r="581" spans="1:14" x14ac:dyDescent="0.25">
      <c r="A581" t="s">
        <v>1782</v>
      </c>
      <c r="B581" s="1">
        <v>45938</v>
      </c>
      <c r="C581" t="s">
        <v>1783</v>
      </c>
      <c r="D581" t="s">
        <v>1784</v>
      </c>
      <c r="E581" s="14">
        <v>923011214871</v>
      </c>
      <c r="F581" t="s">
        <v>17</v>
      </c>
      <c r="G581" t="s">
        <v>18</v>
      </c>
      <c r="H581" t="s">
        <v>19</v>
      </c>
      <c r="I581">
        <v>3</v>
      </c>
      <c r="J581">
        <v>8229</v>
      </c>
      <c r="K581">
        <v>24687</v>
      </c>
      <c r="L581" t="s">
        <v>40</v>
      </c>
      <c r="M581" t="s">
        <v>93</v>
      </c>
      <c r="N581" t="s">
        <v>35</v>
      </c>
    </row>
    <row r="582" spans="1:14" x14ac:dyDescent="0.25">
      <c r="A582" t="s">
        <v>1785</v>
      </c>
      <c r="B582" s="1">
        <v>45871</v>
      </c>
      <c r="C582" t="s">
        <v>1786</v>
      </c>
      <c r="D582" t="s">
        <v>1787</v>
      </c>
      <c r="E582" s="14">
        <v>923243129771</v>
      </c>
      <c r="F582" t="s">
        <v>106</v>
      </c>
      <c r="G582" t="s">
        <v>18</v>
      </c>
      <c r="H582" t="s">
        <v>59</v>
      </c>
      <c r="I582">
        <v>2</v>
      </c>
      <c r="J582">
        <v>14341</v>
      </c>
      <c r="K582">
        <v>28682</v>
      </c>
      <c r="L582" t="s">
        <v>20</v>
      </c>
      <c r="M582" t="s">
        <v>34</v>
      </c>
      <c r="N582" t="s">
        <v>69</v>
      </c>
    </row>
    <row r="583" spans="1:14" x14ac:dyDescent="0.25">
      <c r="A583" t="s">
        <v>1788</v>
      </c>
      <c r="B583" s="1">
        <v>45826</v>
      </c>
      <c r="C583" t="s">
        <v>1789</v>
      </c>
      <c r="D583" t="s">
        <v>1790</v>
      </c>
      <c r="E583" s="14">
        <v>923325641790</v>
      </c>
      <c r="F583" t="s">
        <v>106</v>
      </c>
      <c r="G583" t="s">
        <v>18</v>
      </c>
      <c r="H583" t="s">
        <v>33</v>
      </c>
      <c r="I583">
        <v>1</v>
      </c>
      <c r="J583">
        <v>3386</v>
      </c>
      <c r="K583">
        <v>3386</v>
      </c>
      <c r="L583" t="s">
        <v>40</v>
      </c>
      <c r="M583" t="s">
        <v>55</v>
      </c>
      <c r="N583" t="s">
        <v>35</v>
      </c>
    </row>
    <row r="584" spans="1:14" x14ac:dyDescent="0.25">
      <c r="A584" t="s">
        <v>1791</v>
      </c>
      <c r="B584" s="1">
        <v>45867</v>
      </c>
      <c r="C584" t="s">
        <v>1792</v>
      </c>
      <c r="D584" t="s">
        <v>1793</v>
      </c>
      <c r="E584" s="14">
        <v>923330165671</v>
      </c>
      <c r="F584" t="s">
        <v>122</v>
      </c>
      <c r="G584" t="s">
        <v>18</v>
      </c>
      <c r="H584" t="s">
        <v>33</v>
      </c>
      <c r="I584">
        <v>4</v>
      </c>
      <c r="J584">
        <v>13520</v>
      </c>
      <c r="K584">
        <v>54080</v>
      </c>
      <c r="L584" t="s">
        <v>68</v>
      </c>
      <c r="M584" t="s">
        <v>21</v>
      </c>
      <c r="N584" t="s">
        <v>28</v>
      </c>
    </row>
    <row r="585" spans="1:14" x14ac:dyDescent="0.25">
      <c r="A585" t="s">
        <v>1794</v>
      </c>
      <c r="B585" s="1">
        <v>45978</v>
      </c>
      <c r="C585" t="s">
        <v>1795</v>
      </c>
      <c r="D585" t="s">
        <v>1796</v>
      </c>
      <c r="E585" s="14">
        <v>923429403685</v>
      </c>
      <c r="F585" t="s">
        <v>49</v>
      </c>
      <c r="G585" t="s">
        <v>18</v>
      </c>
      <c r="H585" t="s">
        <v>73</v>
      </c>
      <c r="I585">
        <v>2</v>
      </c>
      <c r="J585">
        <v>13361</v>
      </c>
      <c r="K585">
        <v>26722</v>
      </c>
      <c r="L585" t="s">
        <v>40</v>
      </c>
      <c r="M585" t="s">
        <v>82</v>
      </c>
      <c r="N585" t="s">
        <v>69</v>
      </c>
    </row>
    <row r="586" spans="1:14" x14ac:dyDescent="0.25">
      <c r="A586" t="s">
        <v>1797</v>
      </c>
      <c r="B586" s="1">
        <v>45794</v>
      </c>
      <c r="C586" t="s">
        <v>1798</v>
      </c>
      <c r="D586" t="s">
        <v>1799</v>
      </c>
      <c r="E586" s="14">
        <v>923423121062</v>
      </c>
      <c r="F586" t="s">
        <v>54</v>
      </c>
      <c r="G586" t="s">
        <v>18</v>
      </c>
      <c r="H586" t="s">
        <v>19</v>
      </c>
      <c r="I586">
        <v>1</v>
      </c>
      <c r="J586">
        <v>2075</v>
      </c>
      <c r="K586">
        <v>2075</v>
      </c>
      <c r="L586" t="s">
        <v>26</v>
      </c>
      <c r="M586" t="s">
        <v>55</v>
      </c>
      <c r="N586" t="s">
        <v>35</v>
      </c>
    </row>
    <row r="587" spans="1:14" x14ac:dyDescent="0.25">
      <c r="A587" t="s">
        <v>1800</v>
      </c>
      <c r="B587" s="1">
        <v>45852</v>
      </c>
      <c r="C587" t="s">
        <v>1801</v>
      </c>
      <c r="D587" t="s">
        <v>1802</v>
      </c>
      <c r="E587" s="14">
        <v>923248973389</v>
      </c>
      <c r="F587" t="s">
        <v>106</v>
      </c>
      <c r="G587" t="s">
        <v>18</v>
      </c>
      <c r="H587" t="s">
        <v>33</v>
      </c>
      <c r="I587">
        <v>5</v>
      </c>
      <c r="J587">
        <v>6191</v>
      </c>
      <c r="K587">
        <v>30955</v>
      </c>
      <c r="L587" t="s">
        <v>68</v>
      </c>
      <c r="M587" t="s">
        <v>55</v>
      </c>
      <c r="N587" t="s">
        <v>69</v>
      </c>
    </row>
    <row r="588" spans="1:14" x14ac:dyDescent="0.25">
      <c r="A588" t="s">
        <v>1803</v>
      </c>
      <c r="B588" s="1">
        <v>45780</v>
      </c>
      <c r="C588" t="s">
        <v>1804</v>
      </c>
      <c r="D588" t="s">
        <v>1805</v>
      </c>
      <c r="E588" s="14">
        <v>923197617313</v>
      </c>
      <c r="F588" t="s">
        <v>106</v>
      </c>
      <c r="G588" t="s">
        <v>18</v>
      </c>
      <c r="H588" t="s">
        <v>73</v>
      </c>
      <c r="I588">
        <v>3</v>
      </c>
      <c r="J588">
        <v>1402</v>
      </c>
      <c r="K588">
        <v>4206</v>
      </c>
      <c r="L588" t="s">
        <v>63</v>
      </c>
      <c r="M588" t="s">
        <v>34</v>
      </c>
      <c r="N588" t="s">
        <v>22</v>
      </c>
    </row>
    <row r="589" spans="1:14" x14ac:dyDescent="0.25">
      <c r="A589" t="s">
        <v>1806</v>
      </c>
      <c r="B589" s="1">
        <v>46011</v>
      </c>
      <c r="C589" t="s">
        <v>1807</v>
      </c>
      <c r="D589" t="s">
        <v>1808</v>
      </c>
      <c r="E589" s="14">
        <v>923401455661</v>
      </c>
      <c r="F589" t="s">
        <v>44</v>
      </c>
      <c r="G589" t="s">
        <v>18</v>
      </c>
      <c r="H589" t="s">
        <v>50</v>
      </c>
      <c r="I589">
        <v>1</v>
      </c>
      <c r="J589">
        <v>11853</v>
      </c>
      <c r="K589">
        <v>11853</v>
      </c>
      <c r="L589" t="s">
        <v>78</v>
      </c>
      <c r="M589" t="s">
        <v>27</v>
      </c>
      <c r="N589" t="s">
        <v>28</v>
      </c>
    </row>
    <row r="590" spans="1:14" x14ac:dyDescent="0.25">
      <c r="A590" t="s">
        <v>1809</v>
      </c>
      <c r="B590" s="1">
        <v>45803</v>
      </c>
      <c r="C590" t="s">
        <v>1810</v>
      </c>
      <c r="D590" t="s">
        <v>1811</v>
      </c>
      <c r="E590" s="14">
        <v>923248679726</v>
      </c>
      <c r="F590" t="s">
        <v>49</v>
      </c>
      <c r="G590" t="s">
        <v>18</v>
      </c>
      <c r="H590" t="s">
        <v>39</v>
      </c>
      <c r="I590">
        <v>3</v>
      </c>
      <c r="J590">
        <v>9847</v>
      </c>
      <c r="K590">
        <v>29541</v>
      </c>
      <c r="L590" t="s">
        <v>63</v>
      </c>
      <c r="M590" t="s">
        <v>34</v>
      </c>
      <c r="N590" t="s">
        <v>28</v>
      </c>
    </row>
    <row r="591" spans="1:14" x14ac:dyDescent="0.25">
      <c r="A591" t="s">
        <v>1812</v>
      </c>
      <c r="B591" s="1">
        <v>45768</v>
      </c>
      <c r="C591" t="s">
        <v>1813</v>
      </c>
      <c r="D591" t="s">
        <v>1814</v>
      </c>
      <c r="E591" s="14">
        <v>923144677244</v>
      </c>
      <c r="F591" t="s">
        <v>17</v>
      </c>
      <c r="G591" t="s">
        <v>18</v>
      </c>
      <c r="H591" t="s">
        <v>50</v>
      </c>
      <c r="I591">
        <v>2</v>
      </c>
      <c r="J591">
        <v>4509</v>
      </c>
      <c r="K591">
        <v>9018</v>
      </c>
      <c r="L591" t="s">
        <v>78</v>
      </c>
      <c r="M591" t="s">
        <v>55</v>
      </c>
      <c r="N591" t="s">
        <v>35</v>
      </c>
    </row>
    <row r="592" spans="1:14" x14ac:dyDescent="0.25">
      <c r="A592" t="s">
        <v>1815</v>
      </c>
      <c r="B592" s="1">
        <v>46049</v>
      </c>
      <c r="C592" t="s">
        <v>1816</v>
      </c>
      <c r="D592" t="s">
        <v>1817</v>
      </c>
      <c r="E592" s="14">
        <v>923172504849</v>
      </c>
      <c r="F592" t="s">
        <v>32</v>
      </c>
      <c r="G592" t="s">
        <v>18</v>
      </c>
      <c r="H592" t="s">
        <v>39</v>
      </c>
      <c r="I592">
        <v>5</v>
      </c>
      <c r="J592">
        <v>4123</v>
      </c>
      <c r="K592">
        <v>20615</v>
      </c>
      <c r="L592" t="s">
        <v>40</v>
      </c>
      <c r="M592" t="s">
        <v>93</v>
      </c>
      <c r="N592" t="s">
        <v>22</v>
      </c>
    </row>
    <row r="593" spans="1:14" x14ac:dyDescent="0.25">
      <c r="A593" t="s">
        <v>1818</v>
      </c>
      <c r="B593" s="1">
        <v>46034</v>
      </c>
      <c r="C593" t="s">
        <v>1819</v>
      </c>
      <c r="D593" t="s">
        <v>1820</v>
      </c>
      <c r="E593" s="14">
        <v>923256026558</v>
      </c>
      <c r="F593" t="s">
        <v>67</v>
      </c>
      <c r="G593" t="s">
        <v>18</v>
      </c>
      <c r="H593" t="s">
        <v>59</v>
      </c>
      <c r="I593">
        <v>1</v>
      </c>
      <c r="J593">
        <v>7013</v>
      </c>
      <c r="K593">
        <v>7013</v>
      </c>
      <c r="L593" t="s">
        <v>20</v>
      </c>
      <c r="M593" t="s">
        <v>34</v>
      </c>
      <c r="N593" t="s">
        <v>35</v>
      </c>
    </row>
    <row r="594" spans="1:14" x14ac:dyDescent="0.25">
      <c r="A594" t="s">
        <v>1821</v>
      </c>
      <c r="B594" s="1">
        <v>45905</v>
      </c>
      <c r="C594" t="s">
        <v>1822</v>
      </c>
      <c r="D594" t="s">
        <v>1823</v>
      </c>
      <c r="E594" s="14">
        <v>923451174719</v>
      </c>
      <c r="F594" t="s">
        <v>77</v>
      </c>
      <c r="G594" t="s">
        <v>18</v>
      </c>
      <c r="H594" t="s">
        <v>50</v>
      </c>
      <c r="I594">
        <v>2</v>
      </c>
      <c r="J594">
        <v>13129</v>
      </c>
      <c r="K594">
        <v>26258</v>
      </c>
      <c r="L594" t="s">
        <v>68</v>
      </c>
      <c r="M594" t="s">
        <v>82</v>
      </c>
      <c r="N594" t="s">
        <v>69</v>
      </c>
    </row>
    <row r="595" spans="1:14" x14ac:dyDescent="0.25">
      <c r="A595" t="s">
        <v>1824</v>
      </c>
      <c r="B595" s="1">
        <v>45988</v>
      </c>
      <c r="C595" t="s">
        <v>1825</v>
      </c>
      <c r="D595" t="s">
        <v>1826</v>
      </c>
      <c r="E595" s="14">
        <v>923426288944</v>
      </c>
      <c r="F595" t="s">
        <v>77</v>
      </c>
      <c r="G595" t="s">
        <v>18</v>
      </c>
      <c r="H595" t="s">
        <v>19</v>
      </c>
      <c r="I595">
        <v>3</v>
      </c>
      <c r="J595">
        <v>7176</v>
      </c>
      <c r="K595">
        <v>21528</v>
      </c>
      <c r="L595" t="s">
        <v>78</v>
      </c>
      <c r="M595" t="s">
        <v>34</v>
      </c>
      <c r="N595" t="s">
        <v>28</v>
      </c>
    </row>
    <row r="596" spans="1:14" x14ac:dyDescent="0.25">
      <c r="A596" t="s">
        <v>1827</v>
      </c>
      <c r="B596" s="1">
        <v>45706</v>
      </c>
      <c r="C596" t="s">
        <v>1828</v>
      </c>
      <c r="D596" t="s">
        <v>1829</v>
      </c>
      <c r="E596" s="14">
        <v>923248590780</v>
      </c>
      <c r="F596" t="s">
        <v>67</v>
      </c>
      <c r="G596" t="s">
        <v>18</v>
      </c>
      <c r="H596" t="s">
        <v>50</v>
      </c>
      <c r="I596">
        <v>2</v>
      </c>
      <c r="J596">
        <v>4883</v>
      </c>
      <c r="K596">
        <v>9766</v>
      </c>
      <c r="L596" t="s">
        <v>68</v>
      </c>
      <c r="M596" t="s">
        <v>34</v>
      </c>
      <c r="N596" t="s">
        <v>69</v>
      </c>
    </row>
    <row r="597" spans="1:14" x14ac:dyDescent="0.25">
      <c r="A597" t="s">
        <v>1830</v>
      </c>
      <c r="B597" s="1">
        <v>46045</v>
      </c>
      <c r="C597" t="s">
        <v>1831</v>
      </c>
      <c r="D597" t="s">
        <v>1832</v>
      </c>
      <c r="E597" s="14">
        <v>923358286147</v>
      </c>
      <c r="F597" t="s">
        <v>67</v>
      </c>
      <c r="G597" t="s">
        <v>18</v>
      </c>
      <c r="H597" t="s">
        <v>39</v>
      </c>
      <c r="I597">
        <v>4</v>
      </c>
      <c r="J597">
        <v>5142</v>
      </c>
      <c r="K597">
        <v>20568</v>
      </c>
      <c r="L597" t="s">
        <v>20</v>
      </c>
      <c r="M597" t="s">
        <v>82</v>
      </c>
      <c r="N597" t="s">
        <v>35</v>
      </c>
    </row>
    <row r="598" spans="1:14" x14ac:dyDescent="0.25">
      <c r="A598" t="s">
        <v>1833</v>
      </c>
      <c r="B598" s="1">
        <v>45799</v>
      </c>
      <c r="C598" t="s">
        <v>1834</v>
      </c>
      <c r="D598" t="s">
        <v>1835</v>
      </c>
      <c r="E598" s="14">
        <v>923424614281</v>
      </c>
      <c r="F598" t="s">
        <v>67</v>
      </c>
      <c r="G598" t="s">
        <v>18</v>
      </c>
      <c r="H598" t="s">
        <v>59</v>
      </c>
      <c r="I598">
        <v>1</v>
      </c>
      <c r="J598">
        <v>6542</v>
      </c>
      <c r="K598">
        <v>6542</v>
      </c>
      <c r="L598" t="s">
        <v>68</v>
      </c>
      <c r="M598" t="s">
        <v>45</v>
      </c>
      <c r="N598" t="s">
        <v>35</v>
      </c>
    </row>
    <row r="599" spans="1:14" x14ac:dyDescent="0.25">
      <c r="A599" t="s">
        <v>1836</v>
      </c>
      <c r="B599" s="1">
        <v>45927</v>
      </c>
      <c r="C599" t="s">
        <v>1837</v>
      </c>
      <c r="D599" t="s">
        <v>1838</v>
      </c>
      <c r="E599" s="14">
        <v>923068284881</v>
      </c>
      <c r="F599" t="s">
        <v>122</v>
      </c>
      <c r="G599" t="s">
        <v>18</v>
      </c>
      <c r="H599" t="s">
        <v>33</v>
      </c>
      <c r="I599">
        <v>1</v>
      </c>
      <c r="J599">
        <v>14173</v>
      </c>
      <c r="K599">
        <v>14173</v>
      </c>
      <c r="L599" t="s">
        <v>40</v>
      </c>
      <c r="M599" t="s">
        <v>82</v>
      </c>
      <c r="N599" t="s">
        <v>35</v>
      </c>
    </row>
    <row r="600" spans="1:14" x14ac:dyDescent="0.25">
      <c r="A600" t="s">
        <v>1839</v>
      </c>
      <c r="B600" s="1">
        <v>45823</v>
      </c>
      <c r="C600" t="s">
        <v>1840</v>
      </c>
      <c r="D600" t="s">
        <v>1841</v>
      </c>
      <c r="E600" s="14">
        <v>923278545878</v>
      </c>
      <c r="F600" t="s">
        <v>44</v>
      </c>
      <c r="G600" t="s">
        <v>18</v>
      </c>
      <c r="H600" t="s">
        <v>50</v>
      </c>
      <c r="I600">
        <v>4</v>
      </c>
      <c r="J600">
        <v>13950</v>
      </c>
      <c r="K600">
        <v>55800</v>
      </c>
      <c r="L600" t="s">
        <v>63</v>
      </c>
      <c r="M600" t="s">
        <v>93</v>
      </c>
      <c r="N600" t="s">
        <v>28</v>
      </c>
    </row>
    <row r="601" spans="1:14" x14ac:dyDescent="0.25">
      <c r="A601" t="s">
        <v>1842</v>
      </c>
      <c r="B601" s="1">
        <v>45797</v>
      </c>
      <c r="C601" t="s">
        <v>1843</v>
      </c>
      <c r="D601" t="s">
        <v>1844</v>
      </c>
      <c r="E601" s="14">
        <v>923128798817</v>
      </c>
      <c r="F601" t="s">
        <v>67</v>
      </c>
      <c r="G601" t="s">
        <v>18</v>
      </c>
      <c r="H601" t="s">
        <v>50</v>
      </c>
      <c r="I601">
        <v>5</v>
      </c>
      <c r="J601">
        <v>7171</v>
      </c>
      <c r="K601">
        <v>35855</v>
      </c>
      <c r="L601" t="s">
        <v>63</v>
      </c>
      <c r="M601" t="s">
        <v>55</v>
      </c>
      <c r="N601" t="s">
        <v>22</v>
      </c>
    </row>
    <row r="602" spans="1:14" x14ac:dyDescent="0.25">
      <c r="A602" t="s">
        <v>1845</v>
      </c>
      <c r="B602" s="1">
        <v>45930</v>
      </c>
      <c r="C602" t="s">
        <v>1846</v>
      </c>
      <c r="D602" t="s">
        <v>1847</v>
      </c>
      <c r="E602" s="14">
        <v>923397377324</v>
      </c>
      <c r="F602" t="s">
        <v>54</v>
      </c>
      <c r="G602" t="s">
        <v>18</v>
      </c>
      <c r="H602" t="s">
        <v>19</v>
      </c>
      <c r="I602">
        <v>2</v>
      </c>
      <c r="J602">
        <v>10357</v>
      </c>
      <c r="K602">
        <v>20714</v>
      </c>
      <c r="L602" t="s">
        <v>68</v>
      </c>
      <c r="M602" t="s">
        <v>45</v>
      </c>
      <c r="N602" t="s">
        <v>35</v>
      </c>
    </row>
    <row r="603" spans="1:14" x14ac:dyDescent="0.25">
      <c r="A603" t="s">
        <v>1848</v>
      </c>
      <c r="B603" s="1">
        <v>45931</v>
      </c>
      <c r="C603" t="s">
        <v>1849</v>
      </c>
      <c r="D603" t="s">
        <v>1850</v>
      </c>
      <c r="E603" s="14">
        <v>923386122244</v>
      </c>
      <c r="F603" t="s">
        <v>67</v>
      </c>
      <c r="G603" t="s">
        <v>18</v>
      </c>
      <c r="H603" t="s">
        <v>19</v>
      </c>
      <c r="I603">
        <v>1</v>
      </c>
      <c r="J603">
        <v>5429</v>
      </c>
      <c r="K603">
        <v>5429</v>
      </c>
      <c r="L603" t="s">
        <v>68</v>
      </c>
      <c r="M603" t="s">
        <v>34</v>
      </c>
      <c r="N603" t="s">
        <v>35</v>
      </c>
    </row>
    <row r="604" spans="1:14" x14ac:dyDescent="0.25">
      <c r="A604" t="s">
        <v>1851</v>
      </c>
      <c r="B604" s="1">
        <v>45735</v>
      </c>
      <c r="C604" t="s">
        <v>1852</v>
      </c>
      <c r="D604" t="s">
        <v>1853</v>
      </c>
      <c r="E604" s="14">
        <v>923036657818</v>
      </c>
      <c r="F604" t="s">
        <v>122</v>
      </c>
      <c r="G604" t="s">
        <v>18</v>
      </c>
      <c r="H604" t="s">
        <v>50</v>
      </c>
      <c r="I604">
        <v>3</v>
      </c>
      <c r="J604">
        <v>8155</v>
      </c>
      <c r="K604">
        <v>24465</v>
      </c>
      <c r="L604" t="s">
        <v>26</v>
      </c>
      <c r="M604" t="s">
        <v>21</v>
      </c>
      <c r="N604" t="s">
        <v>28</v>
      </c>
    </row>
    <row r="605" spans="1:14" x14ac:dyDescent="0.25">
      <c r="A605" t="s">
        <v>1854</v>
      </c>
      <c r="B605" s="1">
        <v>46069</v>
      </c>
      <c r="C605" t="s">
        <v>1855</v>
      </c>
      <c r="D605" t="s">
        <v>1856</v>
      </c>
      <c r="E605" s="14">
        <v>923367732474</v>
      </c>
      <c r="F605" t="s">
        <v>92</v>
      </c>
      <c r="G605" t="s">
        <v>18</v>
      </c>
      <c r="H605" t="s">
        <v>19</v>
      </c>
      <c r="I605">
        <v>1</v>
      </c>
      <c r="J605">
        <v>12595</v>
      </c>
      <c r="K605">
        <v>12595</v>
      </c>
      <c r="L605" t="s">
        <v>68</v>
      </c>
      <c r="M605" t="s">
        <v>34</v>
      </c>
      <c r="N605" t="s">
        <v>28</v>
      </c>
    </row>
    <row r="606" spans="1:14" x14ac:dyDescent="0.25">
      <c r="A606" t="s">
        <v>1857</v>
      </c>
      <c r="B606" s="1">
        <v>45812</v>
      </c>
      <c r="C606" t="s">
        <v>1858</v>
      </c>
      <c r="D606" t="s">
        <v>1859</v>
      </c>
      <c r="E606" s="14">
        <v>923189541006</v>
      </c>
      <c r="F606" t="s">
        <v>49</v>
      </c>
      <c r="G606" t="s">
        <v>18</v>
      </c>
      <c r="H606" t="s">
        <v>33</v>
      </c>
      <c r="I606">
        <v>1</v>
      </c>
      <c r="J606">
        <v>9355</v>
      </c>
      <c r="K606">
        <v>9355</v>
      </c>
      <c r="L606" t="s">
        <v>20</v>
      </c>
      <c r="M606" t="s">
        <v>82</v>
      </c>
      <c r="N606" t="s">
        <v>22</v>
      </c>
    </row>
    <row r="607" spans="1:14" x14ac:dyDescent="0.25">
      <c r="A607" t="s">
        <v>1860</v>
      </c>
      <c r="B607" s="1">
        <v>45901</v>
      </c>
      <c r="C607" t="s">
        <v>1861</v>
      </c>
      <c r="D607" t="s">
        <v>1862</v>
      </c>
      <c r="E607" s="14">
        <v>923493349070</v>
      </c>
      <c r="F607" t="s">
        <v>122</v>
      </c>
      <c r="G607" t="s">
        <v>18</v>
      </c>
      <c r="H607" t="s">
        <v>59</v>
      </c>
      <c r="I607">
        <v>1</v>
      </c>
      <c r="J607">
        <v>2336</v>
      </c>
      <c r="K607">
        <v>2336</v>
      </c>
      <c r="L607" t="s">
        <v>78</v>
      </c>
      <c r="M607" t="s">
        <v>21</v>
      </c>
      <c r="N607" t="s">
        <v>22</v>
      </c>
    </row>
    <row r="608" spans="1:14" x14ac:dyDescent="0.25">
      <c r="A608" t="s">
        <v>1863</v>
      </c>
      <c r="B608" s="1">
        <v>45723</v>
      </c>
      <c r="C608" t="s">
        <v>1864</v>
      </c>
      <c r="D608" t="s">
        <v>1865</v>
      </c>
      <c r="E608" s="14">
        <v>923378638654</v>
      </c>
      <c r="F608" t="s">
        <v>44</v>
      </c>
      <c r="G608" t="s">
        <v>18</v>
      </c>
      <c r="H608" t="s">
        <v>19</v>
      </c>
      <c r="I608">
        <v>4</v>
      </c>
      <c r="J608">
        <v>1339</v>
      </c>
      <c r="K608">
        <v>5356</v>
      </c>
      <c r="L608" t="s">
        <v>20</v>
      </c>
      <c r="M608" t="s">
        <v>27</v>
      </c>
      <c r="N608" t="s">
        <v>22</v>
      </c>
    </row>
    <row r="609" spans="1:14" x14ac:dyDescent="0.25">
      <c r="A609" t="s">
        <v>1866</v>
      </c>
      <c r="B609" s="1">
        <v>46061</v>
      </c>
      <c r="C609" t="s">
        <v>1867</v>
      </c>
      <c r="D609" t="s">
        <v>1868</v>
      </c>
      <c r="E609" s="14">
        <v>923147559242</v>
      </c>
      <c r="F609" t="s">
        <v>54</v>
      </c>
      <c r="G609" t="s">
        <v>18</v>
      </c>
      <c r="H609" t="s">
        <v>59</v>
      </c>
      <c r="I609">
        <v>5</v>
      </c>
      <c r="J609">
        <v>4958</v>
      </c>
      <c r="K609">
        <v>24790</v>
      </c>
      <c r="L609" t="s">
        <v>26</v>
      </c>
      <c r="M609" t="s">
        <v>27</v>
      </c>
      <c r="N609" t="s">
        <v>28</v>
      </c>
    </row>
    <row r="610" spans="1:14" x14ac:dyDescent="0.25">
      <c r="A610" t="s">
        <v>1869</v>
      </c>
      <c r="B610" s="1">
        <v>45826</v>
      </c>
      <c r="C610" t="s">
        <v>1870</v>
      </c>
      <c r="D610" t="s">
        <v>1871</v>
      </c>
      <c r="E610" s="14">
        <v>923134224486</v>
      </c>
      <c r="F610" t="s">
        <v>44</v>
      </c>
      <c r="G610" t="s">
        <v>18</v>
      </c>
      <c r="H610" t="s">
        <v>39</v>
      </c>
      <c r="I610">
        <v>2</v>
      </c>
      <c r="J610">
        <v>4526</v>
      </c>
      <c r="K610">
        <v>9052</v>
      </c>
      <c r="L610" t="s">
        <v>20</v>
      </c>
      <c r="M610" t="s">
        <v>34</v>
      </c>
      <c r="N610" t="s">
        <v>28</v>
      </c>
    </row>
    <row r="611" spans="1:14" x14ac:dyDescent="0.25">
      <c r="A611" t="s">
        <v>1872</v>
      </c>
      <c r="B611" s="1">
        <v>45739</v>
      </c>
      <c r="C611" t="s">
        <v>1873</v>
      </c>
      <c r="D611" t="s">
        <v>1874</v>
      </c>
      <c r="E611" s="14">
        <v>923223822550</v>
      </c>
      <c r="F611" t="s">
        <v>106</v>
      </c>
      <c r="G611" t="s">
        <v>18</v>
      </c>
      <c r="H611" t="s">
        <v>39</v>
      </c>
      <c r="I611">
        <v>3</v>
      </c>
      <c r="J611">
        <v>5201</v>
      </c>
      <c r="K611">
        <v>15603</v>
      </c>
      <c r="L611" t="s">
        <v>63</v>
      </c>
      <c r="M611" t="s">
        <v>82</v>
      </c>
      <c r="N611" t="s">
        <v>69</v>
      </c>
    </row>
    <row r="612" spans="1:14" x14ac:dyDescent="0.25">
      <c r="A612" t="s">
        <v>1875</v>
      </c>
      <c r="B612" s="1">
        <v>46007</v>
      </c>
      <c r="C612" t="s">
        <v>1876</v>
      </c>
      <c r="D612" t="s">
        <v>1877</v>
      </c>
      <c r="E612" s="14">
        <v>923464063066</v>
      </c>
      <c r="F612" t="s">
        <v>106</v>
      </c>
      <c r="G612" t="s">
        <v>18</v>
      </c>
      <c r="H612" t="s">
        <v>73</v>
      </c>
      <c r="I612">
        <v>2</v>
      </c>
      <c r="J612">
        <v>2848</v>
      </c>
      <c r="K612">
        <v>5696</v>
      </c>
      <c r="L612" t="s">
        <v>68</v>
      </c>
      <c r="M612" t="s">
        <v>93</v>
      </c>
      <c r="N612" t="s">
        <v>69</v>
      </c>
    </row>
    <row r="613" spans="1:14" x14ac:dyDescent="0.25">
      <c r="A613" t="s">
        <v>1878</v>
      </c>
      <c r="B613" s="1">
        <v>45732</v>
      </c>
      <c r="C613" t="s">
        <v>1879</v>
      </c>
      <c r="D613" t="s">
        <v>1880</v>
      </c>
      <c r="E613" s="14">
        <v>923282757260</v>
      </c>
      <c r="F613" t="s">
        <v>67</v>
      </c>
      <c r="G613" t="s">
        <v>18</v>
      </c>
      <c r="H613" t="s">
        <v>73</v>
      </c>
      <c r="I613">
        <v>5</v>
      </c>
      <c r="J613">
        <v>10816</v>
      </c>
      <c r="K613">
        <v>54080</v>
      </c>
      <c r="L613" t="s">
        <v>68</v>
      </c>
      <c r="M613" t="s">
        <v>55</v>
      </c>
      <c r="N613" t="s">
        <v>69</v>
      </c>
    </row>
    <row r="614" spans="1:14" x14ac:dyDescent="0.25">
      <c r="A614" t="s">
        <v>1881</v>
      </c>
      <c r="B614" s="1">
        <v>45976</v>
      </c>
      <c r="C614" t="s">
        <v>1882</v>
      </c>
      <c r="D614" t="s">
        <v>1883</v>
      </c>
      <c r="E614" s="14">
        <v>923400257529</v>
      </c>
      <c r="F614" t="s">
        <v>106</v>
      </c>
      <c r="G614" t="s">
        <v>18</v>
      </c>
      <c r="H614" t="s">
        <v>59</v>
      </c>
      <c r="I614">
        <v>1</v>
      </c>
      <c r="J614">
        <v>10599</v>
      </c>
      <c r="K614">
        <v>10599</v>
      </c>
      <c r="L614" t="s">
        <v>68</v>
      </c>
      <c r="M614" t="s">
        <v>34</v>
      </c>
      <c r="N614" t="s">
        <v>22</v>
      </c>
    </row>
    <row r="615" spans="1:14" x14ac:dyDescent="0.25">
      <c r="A615" t="s">
        <v>1884</v>
      </c>
      <c r="B615" s="1">
        <v>45756</v>
      </c>
      <c r="C615" t="s">
        <v>1885</v>
      </c>
      <c r="D615" t="s">
        <v>1886</v>
      </c>
      <c r="E615" s="14">
        <v>923314248153</v>
      </c>
      <c r="F615" t="s">
        <v>122</v>
      </c>
      <c r="G615" t="s">
        <v>18</v>
      </c>
      <c r="H615" t="s">
        <v>39</v>
      </c>
      <c r="I615">
        <v>3</v>
      </c>
      <c r="J615">
        <v>5795</v>
      </c>
      <c r="K615">
        <v>17385</v>
      </c>
      <c r="L615" t="s">
        <v>68</v>
      </c>
      <c r="M615" t="s">
        <v>34</v>
      </c>
      <c r="N615" t="s">
        <v>22</v>
      </c>
    </row>
    <row r="616" spans="1:14" x14ac:dyDescent="0.25">
      <c r="A616" t="s">
        <v>1887</v>
      </c>
      <c r="B616" s="1">
        <v>46018</v>
      </c>
      <c r="C616" t="s">
        <v>1888</v>
      </c>
      <c r="D616" t="s">
        <v>1889</v>
      </c>
      <c r="E616" s="14">
        <v>923274762516</v>
      </c>
      <c r="F616" t="s">
        <v>106</v>
      </c>
      <c r="G616" t="s">
        <v>18</v>
      </c>
      <c r="H616" t="s">
        <v>39</v>
      </c>
      <c r="I616">
        <v>5</v>
      </c>
      <c r="J616">
        <v>10092</v>
      </c>
      <c r="K616">
        <v>50460</v>
      </c>
      <c r="L616" t="s">
        <v>40</v>
      </c>
      <c r="M616" t="s">
        <v>21</v>
      </c>
      <c r="N616" t="s">
        <v>28</v>
      </c>
    </row>
    <row r="617" spans="1:14" x14ac:dyDescent="0.25">
      <c r="A617" t="s">
        <v>1890</v>
      </c>
      <c r="B617" s="1">
        <v>45781</v>
      </c>
      <c r="C617" t="s">
        <v>1891</v>
      </c>
      <c r="D617" t="s">
        <v>1892</v>
      </c>
      <c r="E617" s="14">
        <v>923398249853</v>
      </c>
      <c r="F617" t="s">
        <v>106</v>
      </c>
      <c r="G617" t="s">
        <v>18</v>
      </c>
      <c r="H617" t="s">
        <v>50</v>
      </c>
      <c r="I617">
        <v>4</v>
      </c>
      <c r="J617">
        <v>12774</v>
      </c>
      <c r="K617">
        <v>51096</v>
      </c>
      <c r="L617" t="s">
        <v>68</v>
      </c>
      <c r="M617" t="s">
        <v>55</v>
      </c>
      <c r="N617" t="s">
        <v>69</v>
      </c>
    </row>
    <row r="618" spans="1:14" x14ac:dyDescent="0.25">
      <c r="A618" t="s">
        <v>1893</v>
      </c>
      <c r="B618" s="1">
        <v>45852</v>
      </c>
      <c r="C618" t="s">
        <v>1894</v>
      </c>
      <c r="D618" t="s">
        <v>1895</v>
      </c>
      <c r="E618" s="14">
        <v>923278402871</v>
      </c>
      <c r="F618" t="s">
        <v>106</v>
      </c>
      <c r="G618" t="s">
        <v>18</v>
      </c>
      <c r="H618" t="s">
        <v>50</v>
      </c>
      <c r="I618">
        <v>5</v>
      </c>
      <c r="J618">
        <v>4271</v>
      </c>
      <c r="K618">
        <v>21355</v>
      </c>
      <c r="L618" t="s">
        <v>40</v>
      </c>
      <c r="M618" t="s">
        <v>34</v>
      </c>
      <c r="N618" t="s">
        <v>28</v>
      </c>
    </row>
    <row r="619" spans="1:14" x14ac:dyDescent="0.25">
      <c r="A619" t="s">
        <v>1896</v>
      </c>
      <c r="B619" s="1">
        <v>45941</v>
      </c>
      <c r="C619" t="s">
        <v>1897</v>
      </c>
      <c r="D619" t="s">
        <v>1898</v>
      </c>
      <c r="E619" s="14">
        <v>923050365645</v>
      </c>
      <c r="F619" t="s">
        <v>92</v>
      </c>
      <c r="G619" t="s">
        <v>18</v>
      </c>
      <c r="H619" t="s">
        <v>39</v>
      </c>
      <c r="I619">
        <v>5</v>
      </c>
      <c r="J619">
        <v>14881</v>
      </c>
      <c r="K619">
        <v>74405</v>
      </c>
      <c r="L619" t="s">
        <v>20</v>
      </c>
      <c r="M619" t="s">
        <v>93</v>
      </c>
      <c r="N619" t="s">
        <v>35</v>
      </c>
    </row>
    <row r="620" spans="1:14" x14ac:dyDescent="0.25">
      <c r="A620" t="s">
        <v>1899</v>
      </c>
      <c r="B620" s="1">
        <v>46032</v>
      </c>
      <c r="C620" t="s">
        <v>1900</v>
      </c>
      <c r="D620" t="s">
        <v>1901</v>
      </c>
      <c r="E620" s="14">
        <v>923364160831</v>
      </c>
      <c r="F620" t="s">
        <v>17</v>
      </c>
      <c r="G620" t="s">
        <v>18</v>
      </c>
      <c r="H620" t="s">
        <v>39</v>
      </c>
      <c r="I620">
        <v>1</v>
      </c>
      <c r="J620">
        <v>6354</v>
      </c>
      <c r="K620">
        <v>6354</v>
      </c>
      <c r="L620" t="s">
        <v>63</v>
      </c>
      <c r="M620" t="s">
        <v>93</v>
      </c>
      <c r="N620" t="s">
        <v>35</v>
      </c>
    </row>
    <row r="621" spans="1:14" x14ac:dyDescent="0.25">
      <c r="A621" t="s">
        <v>1902</v>
      </c>
      <c r="B621" s="1">
        <v>45867</v>
      </c>
      <c r="C621" t="s">
        <v>1903</v>
      </c>
      <c r="D621" t="s">
        <v>1904</v>
      </c>
      <c r="E621" s="14">
        <v>923191563600</v>
      </c>
      <c r="F621" t="s">
        <v>122</v>
      </c>
      <c r="G621" t="s">
        <v>18</v>
      </c>
      <c r="H621" t="s">
        <v>39</v>
      </c>
      <c r="I621">
        <v>4</v>
      </c>
      <c r="J621">
        <v>7441</v>
      </c>
      <c r="K621">
        <v>29764</v>
      </c>
      <c r="L621" t="s">
        <v>63</v>
      </c>
      <c r="M621" t="s">
        <v>82</v>
      </c>
      <c r="N621" t="s">
        <v>35</v>
      </c>
    </row>
    <row r="622" spans="1:14" x14ac:dyDescent="0.25">
      <c r="A622" t="s">
        <v>1905</v>
      </c>
      <c r="B622" s="1">
        <v>45845</v>
      </c>
      <c r="C622" t="s">
        <v>1906</v>
      </c>
      <c r="D622" t="s">
        <v>1907</v>
      </c>
      <c r="E622" s="14">
        <v>923255963110</v>
      </c>
      <c r="F622" t="s">
        <v>67</v>
      </c>
      <c r="G622" t="s">
        <v>18</v>
      </c>
      <c r="H622" t="s">
        <v>33</v>
      </c>
      <c r="I622">
        <v>5</v>
      </c>
      <c r="J622">
        <v>13829</v>
      </c>
      <c r="K622">
        <v>69145</v>
      </c>
      <c r="L622" t="s">
        <v>26</v>
      </c>
      <c r="M622" t="s">
        <v>21</v>
      </c>
      <c r="N622" t="s">
        <v>35</v>
      </c>
    </row>
    <row r="623" spans="1:14" x14ac:dyDescent="0.25">
      <c r="A623" t="s">
        <v>1908</v>
      </c>
      <c r="B623" s="1">
        <v>45836</v>
      </c>
      <c r="C623" t="s">
        <v>1909</v>
      </c>
      <c r="D623" t="s">
        <v>1910</v>
      </c>
      <c r="E623" s="14">
        <v>923096265746</v>
      </c>
      <c r="F623" t="s">
        <v>32</v>
      </c>
      <c r="G623" t="s">
        <v>18</v>
      </c>
      <c r="H623" t="s">
        <v>59</v>
      </c>
      <c r="I623">
        <v>1</v>
      </c>
      <c r="J623">
        <v>7384</v>
      </c>
      <c r="K623">
        <v>7384</v>
      </c>
      <c r="L623" t="s">
        <v>20</v>
      </c>
      <c r="M623" t="s">
        <v>93</v>
      </c>
      <c r="N623" t="s">
        <v>69</v>
      </c>
    </row>
    <row r="624" spans="1:14" x14ac:dyDescent="0.25">
      <c r="A624" t="s">
        <v>1911</v>
      </c>
      <c r="B624" s="1">
        <v>46050</v>
      </c>
      <c r="C624" t="s">
        <v>1912</v>
      </c>
      <c r="D624" t="s">
        <v>1913</v>
      </c>
      <c r="E624" s="14">
        <v>923041948487</v>
      </c>
      <c r="F624" t="s">
        <v>49</v>
      </c>
      <c r="G624" t="s">
        <v>18</v>
      </c>
      <c r="H624" t="s">
        <v>39</v>
      </c>
      <c r="I624">
        <v>2</v>
      </c>
      <c r="J624">
        <v>6580</v>
      </c>
      <c r="K624">
        <v>13160</v>
      </c>
      <c r="L624" t="s">
        <v>40</v>
      </c>
      <c r="M624" t="s">
        <v>135</v>
      </c>
      <c r="N624" t="s">
        <v>35</v>
      </c>
    </row>
    <row r="625" spans="1:14" x14ac:dyDescent="0.25">
      <c r="A625" t="s">
        <v>1914</v>
      </c>
      <c r="B625" s="1">
        <v>45816</v>
      </c>
      <c r="C625" t="s">
        <v>1915</v>
      </c>
      <c r="D625" t="s">
        <v>1916</v>
      </c>
      <c r="E625" s="14">
        <v>923012779518</v>
      </c>
      <c r="F625" t="s">
        <v>32</v>
      </c>
      <c r="G625" t="s">
        <v>18</v>
      </c>
      <c r="H625" t="s">
        <v>39</v>
      </c>
      <c r="I625">
        <v>4</v>
      </c>
      <c r="J625">
        <v>2880</v>
      </c>
      <c r="K625">
        <v>11520</v>
      </c>
      <c r="L625" t="s">
        <v>40</v>
      </c>
      <c r="M625" t="s">
        <v>45</v>
      </c>
      <c r="N625" t="s">
        <v>69</v>
      </c>
    </row>
    <row r="626" spans="1:14" x14ac:dyDescent="0.25">
      <c r="A626" t="s">
        <v>1917</v>
      </c>
      <c r="B626" s="1">
        <v>45839</v>
      </c>
      <c r="C626" t="s">
        <v>1918</v>
      </c>
      <c r="D626" t="s">
        <v>1919</v>
      </c>
      <c r="E626" s="14">
        <v>923018042589</v>
      </c>
      <c r="F626" t="s">
        <v>44</v>
      </c>
      <c r="G626" t="s">
        <v>18</v>
      </c>
      <c r="H626" t="s">
        <v>73</v>
      </c>
      <c r="I626">
        <v>3</v>
      </c>
      <c r="J626">
        <v>2108</v>
      </c>
      <c r="K626">
        <v>6324</v>
      </c>
      <c r="L626" t="s">
        <v>63</v>
      </c>
      <c r="M626" t="s">
        <v>93</v>
      </c>
      <c r="N626" t="s">
        <v>35</v>
      </c>
    </row>
    <row r="627" spans="1:14" x14ac:dyDescent="0.25">
      <c r="A627" t="s">
        <v>1920</v>
      </c>
      <c r="B627" s="1">
        <v>45953</v>
      </c>
      <c r="C627" t="s">
        <v>1921</v>
      </c>
      <c r="D627" t="s">
        <v>1922</v>
      </c>
      <c r="E627" s="14">
        <v>923265238988</v>
      </c>
      <c r="F627" t="s">
        <v>32</v>
      </c>
      <c r="G627" t="s">
        <v>18</v>
      </c>
      <c r="H627" t="s">
        <v>33</v>
      </c>
      <c r="I627">
        <v>1</v>
      </c>
      <c r="J627">
        <v>13709</v>
      </c>
      <c r="K627">
        <v>13709</v>
      </c>
      <c r="L627" t="s">
        <v>78</v>
      </c>
      <c r="M627" t="s">
        <v>21</v>
      </c>
      <c r="N627" t="s">
        <v>22</v>
      </c>
    </row>
    <row r="628" spans="1:14" x14ac:dyDescent="0.25">
      <c r="A628" t="s">
        <v>1923</v>
      </c>
      <c r="B628" s="1">
        <v>45915</v>
      </c>
      <c r="C628" t="s">
        <v>1924</v>
      </c>
      <c r="D628" t="s">
        <v>1925</v>
      </c>
      <c r="E628" s="14">
        <v>923260025561</v>
      </c>
      <c r="F628" t="s">
        <v>106</v>
      </c>
      <c r="G628" t="s">
        <v>18</v>
      </c>
      <c r="H628" t="s">
        <v>59</v>
      </c>
      <c r="I628">
        <v>2</v>
      </c>
      <c r="J628">
        <v>14913</v>
      </c>
      <c r="K628">
        <v>29826</v>
      </c>
      <c r="L628" t="s">
        <v>26</v>
      </c>
      <c r="M628" t="s">
        <v>45</v>
      </c>
      <c r="N628" t="s">
        <v>69</v>
      </c>
    </row>
    <row r="629" spans="1:14" x14ac:dyDescent="0.25">
      <c r="A629" t="s">
        <v>1926</v>
      </c>
      <c r="B629" s="1">
        <v>45893</v>
      </c>
      <c r="C629" t="s">
        <v>1927</v>
      </c>
      <c r="D629" t="s">
        <v>1928</v>
      </c>
      <c r="E629" s="14">
        <v>923400126163</v>
      </c>
      <c r="F629" t="s">
        <v>49</v>
      </c>
      <c r="G629" t="s">
        <v>18</v>
      </c>
      <c r="H629" t="s">
        <v>59</v>
      </c>
      <c r="I629">
        <v>1</v>
      </c>
      <c r="J629">
        <v>10663</v>
      </c>
      <c r="K629">
        <v>10663</v>
      </c>
      <c r="L629" t="s">
        <v>26</v>
      </c>
      <c r="M629" t="s">
        <v>82</v>
      </c>
      <c r="N629" t="s">
        <v>28</v>
      </c>
    </row>
    <row r="630" spans="1:14" x14ac:dyDescent="0.25">
      <c r="A630" t="s">
        <v>1929</v>
      </c>
      <c r="B630" s="1">
        <v>45965</v>
      </c>
      <c r="C630" t="s">
        <v>1930</v>
      </c>
      <c r="D630" t="s">
        <v>1931</v>
      </c>
      <c r="E630" s="14">
        <v>923314634329</v>
      </c>
      <c r="F630" t="s">
        <v>17</v>
      </c>
      <c r="G630" t="s">
        <v>18</v>
      </c>
      <c r="H630" t="s">
        <v>39</v>
      </c>
      <c r="I630">
        <v>3</v>
      </c>
      <c r="J630">
        <v>4651</v>
      </c>
      <c r="K630">
        <v>13953</v>
      </c>
      <c r="L630" t="s">
        <v>63</v>
      </c>
      <c r="M630" t="s">
        <v>27</v>
      </c>
      <c r="N630" t="s">
        <v>28</v>
      </c>
    </row>
    <row r="631" spans="1:14" x14ac:dyDescent="0.25">
      <c r="A631" t="s">
        <v>1932</v>
      </c>
      <c r="B631" s="1">
        <v>45858</v>
      </c>
      <c r="C631" t="s">
        <v>1933</v>
      </c>
      <c r="D631" t="s">
        <v>1934</v>
      </c>
      <c r="E631" s="14">
        <v>923248786734</v>
      </c>
      <c r="F631" t="s">
        <v>17</v>
      </c>
      <c r="G631" t="s">
        <v>18</v>
      </c>
      <c r="H631" t="s">
        <v>59</v>
      </c>
      <c r="I631">
        <v>3</v>
      </c>
      <c r="J631">
        <v>1693</v>
      </c>
      <c r="K631">
        <v>5079</v>
      </c>
      <c r="L631" t="s">
        <v>78</v>
      </c>
      <c r="M631" t="s">
        <v>45</v>
      </c>
      <c r="N631" t="s">
        <v>69</v>
      </c>
    </row>
    <row r="632" spans="1:14" x14ac:dyDescent="0.25">
      <c r="A632" t="s">
        <v>1935</v>
      </c>
      <c r="B632" s="1">
        <v>46024</v>
      </c>
      <c r="C632" t="s">
        <v>1936</v>
      </c>
      <c r="D632" t="s">
        <v>1937</v>
      </c>
      <c r="E632" s="14">
        <v>923448924544</v>
      </c>
      <c r="F632" t="s">
        <v>32</v>
      </c>
      <c r="G632" t="s">
        <v>18</v>
      </c>
      <c r="H632" t="s">
        <v>73</v>
      </c>
      <c r="I632">
        <v>5</v>
      </c>
      <c r="J632">
        <v>3327</v>
      </c>
      <c r="K632">
        <v>16635</v>
      </c>
      <c r="L632" t="s">
        <v>78</v>
      </c>
      <c r="M632" t="s">
        <v>34</v>
      </c>
      <c r="N632" t="s">
        <v>35</v>
      </c>
    </row>
    <row r="633" spans="1:14" x14ac:dyDescent="0.25">
      <c r="A633" t="s">
        <v>1938</v>
      </c>
      <c r="B633" s="1">
        <v>46012</v>
      </c>
      <c r="C633" t="s">
        <v>1939</v>
      </c>
      <c r="D633" t="s">
        <v>1940</v>
      </c>
      <c r="E633" s="14">
        <v>923190934978</v>
      </c>
      <c r="F633" t="s">
        <v>106</v>
      </c>
      <c r="G633" t="s">
        <v>18</v>
      </c>
      <c r="H633" t="s">
        <v>73</v>
      </c>
      <c r="I633">
        <v>5</v>
      </c>
      <c r="J633">
        <v>2221</v>
      </c>
      <c r="K633">
        <v>11105</v>
      </c>
      <c r="L633" t="s">
        <v>26</v>
      </c>
      <c r="M633" t="s">
        <v>82</v>
      </c>
      <c r="N633" t="s">
        <v>22</v>
      </c>
    </row>
    <row r="634" spans="1:14" x14ac:dyDescent="0.25">
      <c r="A634" t="s">
        <v>1941</v>
      </c>
      <c r="B634" s="1">
        <v>45736</v>
      </c>
      <c r="C634" t="s">
        <v>1942</v>
      </c>
      <c r="D634" t="s">
        <v>1943</v>
      </c>
      <c r="E634" s="14">
        <v>923424453102</v>
      </c>
      <c r="F634" t="s">
        <v>92</v>
      </c>
      <c r="G634" t="s">
        <v>18</v>
      </c>
      <c r="H634" t="s">
        <v>59</v>
      </c>
      <c r="I634">
        <v>1</v>
      </c>
      <c r="J634">
        <v>11451</v>
      </c>
      <c r="K634">
        <v>11451</v>
      </c>
      <c r="L634" t="s">
        <v>40</v>
      </c>
      <c r="M634" t="s">
        <v>135</v>
      </c>
      <c r="N634" t="s">
        <v>22</v>
      </c>
    </row>
    <row r="635" spans="1:14" x14ac:dyDescent="0.25">
      <c r="A635" t="s">
        <v>1944</v>
      </c>
      <c r="B635" s="1">
        <v>46037</v>
      </c>
      <c r="C635" t="s">
        <v>1945</v>
      </c>
      <c r="D635" t="s">
        <v>1946</v>
      </c>
      <c r="E635" s="14">
        <v>923075238436</v>
      </c>
      <c r="F635" t="s">
        <v>106</v>
      </c>
      <c r="G635" t="s">
        <v>18</v>
      </c>
      <c r="H635" t="s">
        <v>33</v>
      </c>
      <c r="I635">
        <v>1</v>
      </c>
      <c r="J635">
        <v>1413</v>
      </c>
      <c r="K635">
        <v>1413</v>
      </c>
      <c r="L635" t="s">
        <v>40</v>
      </c>
      <c r="M635" t="s">
        <v>135</v>
      </c>
      <c r="N635" t="s">
        <v>22</v>
      </c>
    </row>
    <row r="636" spans="1:14" x14ac:dyDescent="0.25">
      <c r="A636" t="s">
        <v>1947</v>
      </c>
      <c r="B636" s="1">
        <v>45744</v>
      </c>
      <c r="C636" t="s">
        <v>1948</v>
      </c>
      <c r="D636" t="s">
        <v>1949</v>
      </c>
      <c r="E636" s="14">
        <v>923018519087</v>
      </c>
      <c r="F636" t="s">
        <v>77</v>
      </c>
      <c r="G636" t="s">
        <v>18</v>
      </c>
      <c r="H636" t="s">
        <v>19</v>
      </c>
      <c r="I636">
        <v>5</v>
      </c>
      <c r="J636">
        <v>14088</v>
      </c>
      <c r="K636">
        <v>70440</v>
      </c>
      <c r="L636" t="s">
        <v>68</v>
      </c>
      <c r="M636" t="s">
        <v>93</v>
      </c>
      <c r="N636" t="s">
        <v>22</v>
      </c>
    </row>
    <row r="637" spans="1:14" x14ac:dyDescent="0.25">
      <c r="A637" t="s">
        <v>1950</v>
      </c>
      <c r="B637" s="1">
        <v>45895</v>
      </c>
      <c r="C637" t="s">
        <v>1951</v>
      </c>
      <c r="D637" t="s">
        <v>1952</v>
      </c>
      <c r="E637" s="14">
        <v>923361507968</v>
      </c>
      <c r="F637" t="s">
        <v>32</v>
      </c>
      <c r="G637" t="s">
        <v>18</v>
      </c>
      <c r="H637" t="s">
        <v>19</v>
      </c>
      <c r="I637">
        <v>3</v>
      </c>
      <c r="J637">
        <v>4722</v>
      </c>
      <c r="K637">
        <v>14166</v>
      </c>
      <c r="L637" t="s">
        <v>26</v>
      </c>
      <c r="M637" t="s">
        <v>34</v>
      </c>
      <c r="N637" t="s">
        <v>22</v>
      </c>
    </row>
    <row r="638" spans="1:14" x14ac:dyDescent="0.25">
      <c r="A638" t="s">
        <v>1953</v>
      </c>
      <c r="B638" s="1">
        <v>45795</v>
      </c>
      <c r="C638" t="s">
        <v>1954</v>
      </c>
      <c r="D638" t="s">
        <v>1955</v>
      </c>
      <c r="E638" s="14">
        <v>923252490992</v>
      </c>
      <c r="F638" t="s">
        <v>32</v>
      </c>
      <c r="G638" t="s">
        <v>18</v>
      </c>
      <c r="H638" t="s">
        <v>59</v>
      </c>
      <c r="I638">
        <v>3</v>
      </c>
      <c r="J638">
        <v>4767</v>
      </c>
      <c r="K638">
        <v>14301</v>
      </c>
      <c r="L638" t="s">
        <v>63</v>
      </c>
      <c r="M638" t="s">
        <v>93</v>
      </c>
      <c r="N638" t="s">
        <v>69</v>
      </c>
    </row>
    <row r="639" spans="1:14" x14ac:dyDescent="0.25">
      <c r="A639" t="s">
        <v>1956</v>
      </c>
      <c r="B639" s="1">
        <v>45712</v>
      </c>
      <c r="C639" t="s">
        <v>1957</v>
      </c>
      <c r="D639" t="s">
        <v>1958</v>
      </c>
      <c r="E639" s="14">
        <v>923479212838</v>
      </c>
      <c r="F639" t="s">
        <v>49</v>
      </c>
      <c r="G639" t="s">
        <v>18</v>
      </c>
      <c r="H639" t="s">
        <v>33</v>
      </c>
      <c r="I639">
        <v>2</v>
      </c>
      <c r="J639">
        <v>4646</v>
      </c>
      <c r="K639">
        <v>9292</v>
      </c>
      <c r="L639" t="s">
        <v>63</v>
      </c>
      <c r="M639" t="s">
        <v>55</v>
      </c>
      <c r="N639" t="s">
        <v>69</v>
      </c>
    </row>
    <row r="640" spans="1:14" x14ac:dyDescent="0.25">
      <c r="A640" t="s">
        <v>1959</v>
      </c>
      <c r="B640" s="1">
        <v>45991</v>
      </c>
      <c r="C640" t="s">
        <v>1960</v>
      </c>
      <c r="D640" t="s">
        <v>1961</v>
      </c>
      <c r="E640" s="14">
        <v>923416241713</v>
      </c>
      <c r="F640" t="s">
        <v>92</v>
      </c>
      <c r="G640" t="s">
        <v>18</v>
      </c>
      <c r="H640" t="s">
        <v>50</v>
      </c>
      <c r="I640">
        <v>5</v>
      </c>
      <c r="J640">
        <v>2317</v>
      </c>
      <c r="K640">
        <v>11585</v>
      </c>
      <c r="L640" t="s">
        <v>20</v>
      </c>
      <c r="M640" t="s">
        <v>55</v>
      </c>
      <c r="N640" t="s">
        <v>28</v>
      </c>
    </row>
    <row r="641" spans="1:14" x14ac:dyDescent="0.25">
      <c r="A641" t="s">
        <v>1962</v>
      </c>
      <c r="B641" s="1">
        <v>45987</v>
      </c>
      <c r="C641" t="s">
        <v>1963</v>
      </c>
      <c r="D641" t="s">
        <v>1964</v>
      </c>
      <c r="E641" s="14">
        <v>923301087794</v>
      </c>
      <c r="F641" t="s">
        <v>122</v>
      </c>
      <c r="G641" t="s">
        <v>18</v>
      </c>
      <c r="H641" t="s">
        <v>59</v>
      </c>
      <c r="I641">
        <v>1</v>
      </c>
      <c r="J641">
        <v>12672</v>
      </c>
      <c r="K641">
        <v>12672</v>
      </c>
      <c r="L641" t="s">
        <v>40</v>
      </c>
      <c r="M641" t="s">
        <v>55</v>
      </c>
      <c r="N641" t="s">
        <v>35</v>
      </c>
    </row>
    <row r="642" spans="1:14" x14ac:dyDescent="0.25">
      <c r="A642" t="s">
        <v>1965</v>
      </c>
      <c r="B642" s="1">
        <v>45733</v>
      </c>
      <c r="C642" t="s">
        <v>1966</v>
      </c>
      <c r="D642" t="s">
        <v>1967</v>
      </c>
      <c r="E642" s="14">
        <v>923180294489</v>
      </c>
      <c r="F642" t="s">
        <v>67</v>
      </c>
      <c r="G642" t="s">
        <v>18</v>
      </c>
      <c r="H642" t="s">
        <v>39</v>
      </c>
      <c r="I642">
        <v>1</v>
      </c>
      <c r="J642">
        <v>6955</v>
      </c>
      <c r="K642">
        <v>6955</v>
      </c>
      <c r="L642" t="s">
        <v>20</v>
      </c>
      <c r="M642" t="s">
        <v>27</v>
      </c>
      <c r="N642" t="s">
        <v>69</v>
      </c>
    </row>
    <row r="643" spans="1:14" x14ac:dyDescent="0.25">
      <c r="A643" t="s">
        <v>1968</v>
      </c>
      <c r="B643" s="1">
        <v>45795</v>
      </c>
      <c r="C643" t="s">
        <v>1969</v>
      </c>
      <c r="D643" t="s">
        <v>1970</v>
      </c>
      <c r="E643" s="14">
        <v>923415118016</v>
      </c>
      <c r="F643" t="s">
        <v>49</v>
      </c>
      <c r="G643" t="s">
        <v>18</v>
      </c>
      <c r="H643" t="s">
        <v>39</v>
      </c>
      <c r="I643">
        <v>1</v>
      </c>
      <c r="J643">
        <v>1872</v>
      </c>
      <c r="K643">
        <v>1872</v>
      </c>
      <c r="L643" t="s">
        <v>40</v>
      </c>
      <c r="M643" t="s">
        <v>82</v>
      </c>
      <c r="N643" t="s">
        <v>35</v>
      </c>
    </row>
    <row r="644" spans="1:14" x14ac:dyDescent="0.25">
      <c r="A644" t="s">
        <v>1971</v>
      </c>
      <c r="B644" s="1">
        <v>45855</v>
      </c>
      <c r="C644" t="s">
        <v>1972</v>
      </c>
      <c r="D644" t="s">
        <v>1973</v>
      </c>
      <c r="E644" s="14">
        <v>923251611372</v>
      </c>
      <c r="F644" t="s">
        <v>49</v>
      </c>
      <c r="G644" t="s">
        <v>18</v>
      </c>
      <c r="H644" t="s">
        <v>33</v>
      </c>
      <c r="I644">
        <v>3</v>
      </c>
      <c r="J644">
        <v>9318</v>
      </c>
      <c r="K644">
        <v>27954</v>
      </c>
      <c r="L644" t="s">
        <v>20</v>
      </c>
      <c r="M644" t="s">
        <v>45</v>
      </c>
      <c r="N644" t="s">
        <v>22</v>
      </c>
    </row>
    <row r="645" spans="1:14" x14ac:dyDescent="0.25">
      <c r="A645" t="s">
        <v>1974</v>
      </c>
      <c r="B645" s="1">
        <v>45950</v>
      </c>
      <c r="C645" t="s">
        <v>1975</v>
      </c>
      <c r="D645" t="s">
        <v>1976</v>
      </c>
      <c r="E645" s="14">
        <v>923276106998</v>
      </c>
      <c r="F645" t="s">
        <v>54</v>
      </c>
      <c r="G645" t="s">
        <v>18</v>
      </c>
      <c r="H645" t="s">
        <v>39</v>
      </c>
      <c r="I645">
        <v>3</v>
      </c>
      <c r="J645">
        <v>10480</v>
      </c>
      <c r="K645">
        <v>31440</v>
      </c>
      <c r="L645" t="s">
        <v>20</v>
      </c>
      <c r="M645" t="s">
        <v>82</v>
      </c>
      <c r="N645" t="s">
        <v>28</v>
      </c>
    </row>
    <row r="646" spans="1:14" x14ac:dyDescent="0.25">
      <c r="A646" t="s">
        <v>1977</v>
      </c>
      <c r="B646" s="1">
        <v>45944</v>
      </c>
      <c r="C646" t="s">
        <v>1978</v>
      </c>
      <c r="D646" t="s">
        <v>1979</v>
      </c>
      <c r="E646" s="14">
        <v>923036359521</v>
      </c>
      <c r="F646" t="s">
        <v>17</v>
      </c>
      <c r="G646" t="s">
        <v>18</v>
      </c>
      <c r="H646" t="s">
        <v>33</v>
      </c>
      <c r="I646">
        <v>2</v>
      </c>
      <c r="J646">
        <v>14515</v>
      </c>
      <c r="K646">
        <v>29030</v>
      </c>
      <c r="L646" t="s">
        <v>63</v>
      </c>
      <c r="M646" t="s">
        <v>34</v>
      </c>
      <c r="N646" t="s">
        <v>35</v>
      </c>
    </row>
    <row r="647" spans="1:14" x14ac:dyDescent="0.25">
      <c r="A647" t="s">
        <v>1980</v>
      </c>
      <c r="B647" s="1">
        <v>45880</v>
      </c>
      <c r="C647" t="s">
        <v>1981</v>
      </c>
      <c r="D647" t="s">
        <v>1982</v>
      </c>
      <c r="E647" s="14">
        <v>923264851492</v>
      </c>
      <c r="F647" t="s">
        <v>54</v>
      </c>
      <c r="G647" t="s">
        <v>18</v>
      </c>
      <c r="H647" t="s">
        <v>50</v>
      </c>
      <c r="I647">
        <v>4</v>
      </c>
      <c r="J647">
        <v>4971</v>
      </c>
      <c r="K647">
        <v>19884</v>
      </c>
      <c r="L647" t="s">
        <v>63</v>
      </c>
      <c r="M647" t="s">
        <v>27</v>
      </c>
      <c r="N647" t="s">
        <v>35</v>
      </c>
    </row>
    <row r="648" spans="1:14" x14ac:dyDescent="0.25">
      <c r="A648" t="s">
        <v>1983</v>
      </c>
      <c r="B648" s="1">
        <v>46063</v>
      </c>
      <c r="C648" t="s">
        <v>1984</v>
      </c>
      <c r="D648" t="s">
        <v>1985</v>
      </c>
      <c r="E648" s="14">
        <v>923307068220</v>
      </c>
      <c r="F648" t="s">
        <v>106</v>
      </c>
      <c r="G648" t="s">
        <v>18</v>
      </c>
      <c r="H648" t="s">
        <v>19</v>
      </c>
      <c r="I648">
        <v>1</v>
      </c>
      <c r="J648">
        <v>7576</v>
      </c>
      <c r="K648">
        <v>7576</v>
      </c>
      <c r="L648" t="s">
        <v>78</v>
      </c>
      <c r="M648" t="s">
        <v>45</v>
      </c>
      <c r="N648" t="s">
        <v>69</v>
      </c>
    </row>
    <row r="649" spans="1:14" x14ac:dyDescent="0.25">
      <c r="A649" t="s">
        <v>1986</v>
      </c>
      <c r="B649" s="1">
        <v>45795</v>
      </c>
      <c r="C649" t="s">
        <v>1987</v>
      </c>
      <c r="D649" t="s">
        <v>1988</v>
      </c>
      <c r="E649" s="14">
        <v>923334439049</v>
      </c>
      <c r="F649" t="s">
        <v>54</v>
      </c>
      <c r="G649" t="s">
        <v>18</v>
      </c>
      <c r="H649" t="s">
        <v>73</v>
      </c>
      <c r="I649">
        <v>4</v>
      </c>
      <c r="J649">
        <v>9584</v>
      </c>
      <c r="K649">
        <v>38336</v>
      </c>
      <c r="L649" t="s">
        <v>63</v>
      </c>
      <c r="M649" t="s">
        <v>55</v>
      </c>
      <c r="N649" t="s">
        <v>22</v>
      </c>
    </row>
    <row r="650" spans="1:14" x14ac:dyDescent="0.25">
      <c r="A650" t="s">
        <v>1989</v>
      </c>
      <c r="B650" s="1">
        <v>45969</v>
      </c>
      <c r="C650" t="s">
        <v>1990</v>
      </c>
      <c r="D650" t="s">
        <v>1991</v>
      </c>
      <c r="E650" s="14">
        <v>923155427364</v>
      </c>
      <c r="F650" t="s">
        <v>32</v>
      </c>
      <c r="G650" t="s">
        <v>18</v>
      </c>
      <c r="H650" t="s">
        <v>19</v>
      </c>
      <c r="I650">
        <v>2</v>
      </c>
      <c r="J650">
        <v>2838</v>
      </c>
      <c r="K650">
        <v>5676</v>
      </c>
      <c r="L650" t="s">
        <v>63</v>
      </c>
      <c r="M650" t="s">
        <v>45</v>
      </c>
      <c r="N650" t="s">
        <v>28</v>
      </c>
    </row>
    <row r="651" spans="1:14" x14ac:dyDescent="0.25">
      <c r="A651" t="s">
        <v>1992</v>
      </c>
      <c r="B651" s="1">
        <v>45964</v>
      </c>
      <c r="C651" t="s">
        <v>1993</v>
      </c>
      <c r="D651" t="s">
        <v>1994</v>
      </c>
      <c r="E651" s="14">
        <v>923156099817</v>
      </c>
      <c r="F651" t="s">
        <v>17</v>
      </c>
      <c r="G651" t="s">
        <v>18</v>
      </c>
      <c r="H651" t="s">
        <v>19</v>
      </c>
      <c r="I651">
        <v>1</v>
      </c>
      <c r="J651">
        <v>11508</v>
      </c>
      <c r="K651">
        <v>11508</v>
      </c>
      <c r="L651" t="s">
        <v>20</v>
      </c>
      <c r="M651" t="s">
        <v>93</v>
      </c>
      <c r="N651" t="s">
        <v>35</v>
      </c>
    </row>
    <row r="652" spans="1:14" x14ac:dyDescent="0.25">
      <c r="A652" t="s">
        <v>1995</v>
      </c>
      <c r="B652" s="1">
        <v>45953</v>
      </c>
      <c r="C652" t="s">
        <v>1996</v>
      </c>
      <c r="D652" t="s">
        <v>1997</v>
      </c>
      <c r="E652" s="14">
        <v>923286981388</v>
      </c>
      <c r="F652" t="s">
        <v>122</v>
      </c>
      <c r="G652" t="s">
        <v>18</v>
      </c>
      <c r="H652" t="s">
        <v>59</v>
      </c>
      <c r="I652">
        <v>4</v>
      </c>
      <c r="J652">
        <v>11177</v>
      </c>
      <c r="K652">
        <v>44708</v>
      </c>
      <c r="L652" t="s">
        <v>26</v>
      </c>
      <c r="M652" t="s">
        <v>135</v>
      </c>
      <c r="N652" t="s">
        <v>22</v>
      </c>
    </row>
    <row r="653" spans="1:14" x14ac:dyDescent="0.25">
      <c r="A653" t="s">
        <v>1998</v>
      </c>
      <c r="B653" s="1">
        <v>45874</v>
      </c>
      <c r="C653" t="s">
        <v>1999</v>
      </c>
      <c r="D653" t="s">
        <v>2000</v>
      </c>
      <c r="E653" s="14">
        <v>923031243715</v>
      </c>
      <c r="F653" t="s">
        <v>54</v>
      </c>
      <c r="G653" t="s">
        <v>18</v>
      </c>
      <c r="H653" t="s">
        <v>59</v>
      </c>
      <c r="I653">
        <v>5</v>
      </c>
      <c r="J653">
        <v>10502</v>
      </c>
      <c r="K653">
        <v>52510</v>
      </c>
      <c r="L653" t="s">
        <v>40</v>
      </c>
      <c r="M653" t="s">
        <v>55</v>
      </c>
      <c r="N653" t="s">
        <v>35</v>
      </c>
    </row>
    <row r="654" spans="1:14" x14ac:dyDescent="0.25">
      <c r="A654" t="s">
        <v>2001</v>
      </c>
      <c r="B654" s="1">
        <v>45858</v>
      </c>
      <c r="C654" t="s">
        <v>2002</v>
      </c>
      <c r="D654" t="s">
        <v>2003</v>
      </c>
      <c r="E654" s="14">
        <v>923478324384</v>
      </c>
      <c r="F654" t="s">
        <v>32</v>
      </c>
      <c r="G654" t="s">
        <v>18</v>
      </c>
      <c r="H654" t="s">
        <v>59</v>
      </c>
      <c r="I654">
        <v>1</v>
      </c>
      <c r="J654">
        <v>3698</v>
      </c>
      <c r="K654">
        <v>3698</v>
      </c>
      <c r="L654" t="s">
        <v>63</v>
      </c>
      <c r="M654" t="s">
        <v>34</v>
      </c>
      <c r="N654" t="s">
        <v>28</v>
      </c>
    </row>
    <row r="655" spans="1:14" x14ac:dyDescent="0.25">
      <c r="A655" t="s">
        <v>2004</v>
      </c>
      <c r="B655" s="1">
        <v>45920</v>
      </c>
      <c r="C655" t="s">
        <v>2005</v>
      </c>
      <c r="D655" t="s">
        <v>2006</v>
      </c>
      <c r="E655" s="14">
        <v>923176499789</v>
      </c>
      <c r="F655" t="s">
        <v>49</v>
      </c>
      <c r="G655" t="s">
        <v>18</v>
      </c>
      <c r="H655" t="s">
        <v>73</v>
      </c>
      <c r="I655">
        <v>2</v>
      </c>
      <c r="J655">
        <v>1783</v>
      </c>
      <c r="K655">
        <v>3566</v>
      </c>
      <c r="L655" t="s">
        <v>78</v>
      </c>
      <c r="M655" t="s">
        <v>34</v>
      </c>
      <c r="N655" t="s">
        <v>69</v>
      </c>
    </row>
    <row r="656" spans="1:14" x14ac:dyDescent="0.25">
      <c r="A656" t="s">
        <v>2007</v>
      </c>
      <c r="B656" s="1">
        <v>45895</v>
      </c>
      <c r="C656" t="s">
        <v>2008</v>
      </c>
      <c r="D656" t="s">
        <v>2009</v>
      </c>
      <c r="E656" s="14">
        <v>923202369792</v>
      </c>
      <c r="F656" t="s">
        <v>17</v>
      </c>
      <c r="G656" t="s">
        <v>18</v>
      </c>
      <c r="H656" t="s">
        <v>50</v>
      </c>
      <c r="I656">
        <v>4</v>
      </c>
      <c r="J656">
        <v>12316</v>
      </c>
      <c r="K656">
        <v>49264</v>
      </c>
      <c r="L656" t="s">
        <v>78</v>
      </c>
      <c r="M656" t="s">
        <v>93</v>
      </c>
      <c r="N656" t="s">
        <v>69</v>
      </c>
    </row>
    <row r="657" spans="1:14" x14ac:dyDescent="0.25">
      <c r="A657" t="s">
        <v>2010</v>
      </c>
      <c r="B657" s="1">
        <v>45995</v>
      </c>
      <c r="C657" t="s">
        <v>2011</v>
      </c>
      <c r="D657" t="s">
        <v>2012</v>
      </c>
      <c r="E657" s="14">
        <v>923494950258</v>
      </c>
      <c r="F657" t="s">
        <v>54</v>
      </c>
      <c r="G657" t="s">
        <v>18</v>
      </c>
      <c r="H657" t="s">
        <v>59</v>
      </c>
      <c r="I657">
        <v>2</v>
      </c>
      <c r="J657">
        <v>8974</v>
      </c>
      <c r="K657">
        <v>17948</v>
      </c>
      <c r="L657" t="s">
        <v>63</v>
      </c>
      <c r="M657" t="s">
        <v>45</v>
      </c>
      <c r="N657" t="s">
        <v>28</v>
      </c>
    </row>
    <row r="658" spans="1:14" x14ac:dyDescent="0.25">
      <c r="A658" t="s">
        <v>2013</v>
      </c>
      <c r="B658" s="1">
        <v>45757</v>
      </c>
      <c r="C658" t="s">
        <v>2014</v>
      </c>
      <c r="D658" t="s">
        <v>2015</v>
      </c>
      <c r="E658" s="14">
        <v>923363042306</v>
      </c>
      <c r="F658" t="s">
        <v>49</v>
      </c>
      <c r="G658" t="s">
        <v>18</v>
      </c>
      <c r="H658" t="s">
        <v>19</v>
      </c>
      <c r="I658">
        <v>1</v>
      </c>
      <c r="J658">
        <v>6571</v>
      </c>
      <c r="K658">
        <v>6571</v>
      </c>
      <c r="L658" t="s">
        <v>40</v>
      </c>
      <c r="M658" t="s">
        <v>135</v>
      </c>
      <c r="N658" t="s">
        <v>28</v>
      </c>
    </row>
    <row r="659" spans="1:14" x14ac:dyDescent="0.25">
      <c r="A659" t="s">
        <v>2016</v>
      </c>
      <c r="B659" s="1">
        <v>45854</v>
      </c>
      <c r="C659" t="s">
        <v>2017</v>
      </c>
      <c r="D659" t="s">
        <v>2018</v>
      </c>
      <c r="E659" s="14">
        <v>923135774741</v>
      </c>
      <c r="F659" t="s">
        <v>77</v>
      </c>
      <c r="G659" t="s">
        <v>18</v>
      </c>
      <c r="H659" t="s">
        <v>39</v>
      </c>
      <c r="I659">
        <v>1</v>
      </c>
      <c r="J659">
        <v>9250</v>
      </c>
      <c r="K659">
        <v>9250</v>
      </c>
      <c r="L659" t="s">
        <v>26</v>
      </c>
      <c r="M659" t="s">
        <v>34</v>
      </c>
      <c r="N659" t="s">
        <v>22</v>
      </c>
    </row>
    <row r="660" spans="1:14" x14ac:dyDescent="0.25">
      <c r="A660" t="s">
        <v>2019</v>
      </c>
      <c r="B660" s="1">
        <v>45854</v>
      </c>
      <c r="C660" t="s">
        <v>2020</v>
      </c>
      <c r="D660" t="s">
        <v>2021</v>
      </c>
      <c r="E660" s="14">
        <v>923324880128</v>
      </c>
      <c r="F660" t="s">
        <v>106</v>
      </c>
      <c r="G660" t="s">
        <v>18</v>
      </c>
      <c r="H660" t="s">
        <v>19</v>
      </c>
      <c r="I660">
        <v>2</v>
      </c>
      <c r="J660">
        <v>9534</v>
      </c>
      <c r="K660">
        <v>19068</v>
      </c>
      <c r="L660" t="s">
        <v>68</v>
      </c>
      <c r="M660" t="s">
        <v>45</v>
      </c>
      <c r="N660" t="s">
        <v>69</v>
      </c>
    </row>
    <row r="661" spans="1:14" x14ac:dyDescent="0.25">
      <c r="A661" t="s">
        <v>2022</v>
      </c>
      <c r="B661" s="1">
        <v>45864</v>
      </c>
      <c r="C661" t="s">
        <v>2023</v>
      </c>
      <c r="D661" t="s">
        <v>2024</v>
      </c>
      <c r="E661" s="14">
        <v>923390496260</v>
      </c>
      <c r="F661" t="s">
        <v>44</v>
      </c>
      <c r="G661" t="s">
        <v>18</v>
      </c>
      <c r="H661" t="s">
        <v>33</v>
      </c>
      <c r="I661">
        <v>1</v>
      </c>
      <c r="J661">
        <v>4574</v>
      </c>
      <c r="K661">
        <v>4574</v>
      </c>
      <c r="L661" t="s">
        <v>20</v>
      </c>
      <c r="M661" t="s">
        <v>82</v>
      </c>
      <c r="N661" t="s">
        <v>28</v>
      </c>
    </row>
    <row r="662" spans="1:14" x14ac:dyDescent="0.25">
      <c r="A662" t="s">
        <v>2025</v>
      </c>
      <c r="B662" s="1">
        <v>45975</v>
      </c>
      <c r="C662" t="s">
        <v>2026</v>
      </c>
      <c r="D662" t="s">
        <v>2027</v>
      </c>
      <c r="E662" s="14">
        <v>923458427168</v>
      </c>
      <c r="F662" t="s">
        <v>122</v>
      </c>
      <c r="G662" t="s">
        <v>18</v>
      </c>
      <c r="H662" t="s">
        <v>73</v>
      </c>
      <c r="I662">
        <v>2</v>
      </c>
      <c r="J662">
        <v>11243</v>
      </c>
      <c r="K662">
        <v>22486</v>
      </c>
      <c r="L662" t="s">
        <v>40</v>
      </c>
      <c r="M662" t="s">
        <v>21</v>
      </c>
      <c r="N662" t="s">
        <v>69</v>
      </c>
    </row>
    <row r="663" spans="1:14" x14ac:dyDescent="0.25">
      <c r="A663" t="s">
        <v>2028</v>
      </c>
      <c r="B663" s="1">
        <v>46020</v>
      </c>
      <c r="C663" t="s">
        <v>2029</v>
      </c>
      <c r="D663" t="s">
        <v>2030</v>
      </c>
      <c r="E663" s="14">
        <v>923426042233</v>
      </c>
      <c r="F663" t="s">
        <v>106</v>
      </c>
      <c r="G663" t="s">
        <v>18</v>
      </c>
      <c r="H663" t="s">
        <v>50</v>
      </c>
      <c r="I663">
        <v>5</v>
      </c>
      <c r="J663">
        <v>13057</v>
      </c>
      <c r="K663">
        <v>65285</v>
      </c>
      <c r="L663" t="s">
        <v>40</v>
      </c>
      <c r="M663" t="s">
        <v>45</v>
      </c>
      <c r="N663" t="s">
        <v>22</v>
      </c>
    </row>
    <row r="664" spans="1:14" x14ac:dyDescent="0.25">
      <c r="A664" t="s">
        <v>2031</v>
      </c>
      <c r="B664" s="1">
        <v>46014</v>
      </c>
      <c r="C664" t="s">
        <v>2032</v>
      </c>
      <c r="D664" t="s">
        <v>2033</v>
      </c>
      <c r="E664" s="14">
        <v>923396703854</v>
      </c>
      <c r="F664" t="s">
        <v>122</v>
      </c>
      <c r="G664" t="s">
        <v>18</v>
      </c>
      <c r="H664" t="s">
        <v>50</v>
      </c>
      <c r="I664">
        <v>1</v>
      </c>
      <c r="J664">
        <v>10108</v>
      </c>
      <c r="K664">
        <v>10108</v>
      </c>
      <c r="L664" t="s">
        <v>20</v>
      </c>
      <c r="M664" t="s">
        <v>82</v>
      </c>
      <c r="N664" t="s">
        <v>69</v>
      </c>
    </row>
    <row r="665" spans="1:14" x14ac:dyDescent="0.25">
      <c r="A665" t="s">
        <v>2034</v>
      </c>
      <c r="B665" s="1">
        <v>45782</v>
      </c>
      <c r="C665" t="s">
        <v>2035</v>
      </c>
      <c r="D665" t="s">
        <v>2036</v>
      </c>
      <c r="E665" s="14">
        <v>923144485513</v>
      </c>
      <c r="F665" t="s">
        <v>32</v>
      </c>
      <c r="G665" t="s">
        <v>18</v>
      </c>
      <c r="H665" t="s">
        <v>39</v>
      </c>
      <c r="I665">
        <v>5</v>
      </c>
      <c r="J665">
        <v>11339</v>
      </c>
      <c r="K665">
        <v>56695</v>
      </c>
      <c r="L665" t="s">
        <v>26</v>
      </c>
      <c r="M665" t="s">
        <v>55</v>
      </c>
      <c r="N665" t="s">
        <v>69</v>
      </c>
    </row>
    <row r="666" spans="1:14" x14ac:dyDescent="0.25">
      <c r="A666" t="s">
        <v>2037</v>
      </c>
      <c r="B666" s="1">
        <v>45729</v>
      </c>
      <c r="C666" t="s">
        <v>2038</v>
      </c>
      <c r="D666" t="s">
        <v>2039</v>
      </c>
      <c r="E666" s="14">
        <v>923284579876</v>
      </c>
      <c r="F666" t="s">
        <v>17</v>
      </c>
      <c r="G666" t="s">
        <v>18</v>
      </c>
      <c r="H666" t="s">
        <v>33</v>
      </c>
      <c r="I666">
        <v>3</v>
      </c>
      <c r="J666">
        <v>9424</v>
      </c>
      <c r="K666">
        <v>28272</v>
      </c>
      <c r="L666" t="s">
        <v>63</v>
      </c>
      <c r="M666" t="s">
        <v>34</v>
      </c>
      <c r="N666" t="s">
        <v>69</v>
      </c>
    </row>
    <row r="667" spans="1:14" x14ac:dyDescent="0.25">
      <c r="A667" t="s">
        <v>2040</v>
      </c>
      <c r="B667" s="1">
        <v>46037</v>
      </c>
      <c r="C667" t="s">
        <v>2041</v>
      </c>
      <c r="D667" t="s">
        <v>2042</v>
      </c>
      <c r="E667" s="14">
        <v>923491048264</v>
      </c>
      <c r="F667" t="s">
        <v>44</v>
      </c>
      <c r="G667" t="s">
        <v>18</v>
      </c>
      <c r="H667" t="s">
        <v>19</v>
      </c>
      <c r="I667">
        <v>2</v>
      </c>
      <c r="J667">
        <v>7167</v>
      </c>
      <c r="K667">
        <v>14334</v>
      </c>
      <c r="L667" t="s">
        <v>78</v>
      </c>
      <c r="M667" t="s">
        <v>82</v>
      </c>
      <c r="N667" t="s">
        <v>69</v>
      </c>
    </row>
    <row r="668" spans="1:14" x14ac:dyDescent="0.25">
      <c r="A668" t="s">
        <v>2043</v>
      </c>
      <c r="B668" s="1">
        <v>45806</v>
      </c>
      <c r="C668" t="s">
        <v>2044</v>
      </c>
      <c r="D668" t="s">
        <v>2045</v>
      </c>
      <c r="E668" s="14">
        <v>923203094899</v>
      </c>
      <c r="F668" t="s">
        <v>49</v>
      </c>
      <c r="G668" t="s">
        <v>18</v>
      </c>
      <c r="H668" t="s">
        <v>33</v>
      </c>
      <c r="I668">
        <v>1</v>
      </c>
      <c r="J668">
        <v>11333</v>
      </c>
      <c r="K668">
        <v>11333</v>
      </c>
      <c r="L668" t="s">
        <v>20</v>
      </c>
      <c r="M668" t="s">
        <v>82</v>
      </c>
      <c r="N668" t="s">
        <v>22</v>
      </c>
    </row>
    <row r="669" spans="1:14" x14ac:dyDescent="0.25">
      <c r="A669" t="s">
        <v>2046</v>
      </c>
      <c r="B669" s="1">
        <v>45921</v>
      </c>
      <c r="C669" t="s">
        <v>2047</v>
      </c>
      <c r="D669" t="s">
        <v>2048</v>
      </c>
      <c r="E669" s="14">
        <v>923499528036</v>
      </c>
      <c r="F669" t="s">
        <v>92</v>
      </c>
      <c r="G669" t="s">
        <v>18</v>
      </c>
      <c r="H669" t="s">
        <v>19</v>
      </c>
      <c r="I669">
        <v>5</v>
      </c>
      <c r="J669">
        <v>12163</v>
      </c>
      <c r="K669">
        <v>60815</v>
      </c>
      <c r="L669" t="s">
        <v>40</v>
      </c>
      <c r="M669" t="s">
        <v>21</v>
      </c>
      <c r="N669" t="s">
        <v>35</v>
      </c>
    </row>
    <row r="670" spans="1:14" x14ac:dyDescent="0.25">
      <c r="A670" t="s">
        <v>2049</v>
      </c>
      <c r="B670" s="1">
        <v>46035</v>
      </c>
      <c r="C670" t="s">
        <v>2050</v>
      </c>
      <c r="D670" t="s">
        <v>2051</v>
      </c>
      <c r="E670" s="14">
        <v>923440584488</v>
      </c>
      <c r="F670" t="s">
        <v>44</v>
      </c>
      <c r="G670" t="s">
        <v>18</v>
      </c>
      <c r="H670" t="s">
        <v>39</v>
      </c>
      <c r="I670">
        <v>5</v>
      </c>
      <c r="J670">
        <v>11615</v>
      </c>
      <c r="K670">
        <v>58075</v>
      </c>
      <c r="L670" t="s">
        <v>40</v>
      </c>
      <c r="M670" t="s">
        <v>34</v>
      </c>
      <c r="N670" t="s">
        <v>35</v>
      </c>
    </row>
    <row r="671" spans="1:14" x14ac:dyDescent="0.25">
      <c r="A671" t="s">
        <v>2052</v>
      </c>
      <c r="B671" s="1">
        <v>45948</v>
      </c>
      <c r="C671" t="s">
        <v>2053</v>
      </c>
      <c r="D671" t="s">
        <v>2054</v>
      </c>
      <c r="E671" s="14">
        <v>923455712442</v>
      </c>
      <c r="F671" t="s">
        <v>17</v>
      </c>
      <c r="G671" t="s">
        <v>18</v>
      </c>
      <c r="H671" t="s">
        <v>50</v>
      </c>
      <c r="I671">
        <v>4</v>
      </c>
      <c r="J671">
        <v>2373</v>
      </c>
      <c r="K671">
        <v>9492</v>
      </c>
      <c r="L671" t="s">
        <v>20</v>
      </c>
      <c r="M671" t="s">
        <v>93</v>
      </c>
      <c r="N671" t="s">
        <v>28</v>
      </c>
    </row>
    <row r="672" spans="1:14" x14ac:dyDescent="0.25">
      <c r="A672" t="s">
        <v>2055</v>
      </c>
      <c r="B672" s="1">
        <v>45807</v>
      </c>
      <c r="C672" t="s">
        <v>2056</v>
      </c>
      <c r="D672" t="s">
        <v>2057</v>
      </c>
      <c r="E672" s="14">
        <v>923336283707</v>
      </c>
      <c r="F672" t="s">
        <v>77</v>
      </c>
      <c r="G672" t="s">
        <v>18</v>
      </c>
      <c r="H672" t="s">
        <v>59</v>
      </c>
      <c r="I672">
        <v>2</v>
      </c>
      <c r="J672">
        <v>1781</v>
      </c>
      <c r="K672">
        <v>3562</v>
      </c>
      <c r="L672" t="s">
        <v>26</v>
      </c>
      <c r="M672" t="s">
        <v>55</v>
      </c>
      <c r="N672" t="s">
        <v>22</v>
      </c>
    </row>
    <row r="673" spans="1:14" x14ac:dyDescent="0.25">
      <c r="A673" t="s">
        <v>2058</v>
      </c>
      <c r="B673" s="1">
        <v>45819</v>
      </c>
      <c r="C673" t="s">
        <v>2059</v>
      </c>
      <c r="D673" t="s">
        <v>2060</v>
      </c>
      <c r="E673" s="14">
        <v>923155130964</v>
      </c>
      <c r="F673" t="s">
        <v>92</v>
      </c>
      <c r="G673" t="s">
        <v>18</v>
      </c>
      <c r="H673" t="s">
        <v>33</v>
      </c>
      <c r="I673">
        <v>4</v>
      </c>
      <c r="J673">
        <v>5825</v>
      </c>
      <c r="K673">
        <v>23300</v>
      </c>
      <c r="L673" t="s">
        <v>26</v>
      </c>
      <c r="M673" t="s">
        <v>55</v>
      </c>
      <c r="N673" t="s">
        <v>22</v>
      </c>
    </row>
    <row r="674" spans="1:14" x14ac:dyDescent="0.25">
      <c r="A674" t="s">
        <v>2061</v>
      </c>
      <c r="B674" s="1">
        <v>45999</v>
      </c>
      <c r="C674" t="s">
        <v>2062</v>
      </c>
      <c r="D674" t="s">
        <v>2063</v>
      </c>
      <c r="E674" s="14">
        <v>923326688350</v>
      </c>
      <c r="F674" t="s">
        <v>67</v>
      </c>
      <c r="G674" t="s">
        <v>18</v>
      </c>
      <c r="H674" t="s">
        <v>59</v>
      </c>
      <c r="I674">
        <v>4</v>
      </c>
      <c r="J674">
        <v>1857</v>
      </c>
      <c r="K674">
        <v>7428</v>
      </c>
      <c r="L674" t="s">
        <v>26</v>
      </c>
      <c r="M674" t="s">
        <v>135</v>
      </c>
      <c r="N674" t="s">
        <v>22</v>
      </c>
    </row>
    <row r="675" spans="1:14" x14ac:dyDescent="0.25">
      <c r="A675" t="s">
        <v>2064</v>
      </c>
      <c r="B675" s="1">
        <v>45878</v>
      </c>
      <c r="C675" t="s">
        <v>2065</v>
      </c>
      <c r="D675" t="s">
        <v>2066</v>
      </c>
      <c r="E675" s="14">
        <v>923395837522</v>
      </c>
      <c r="F675" t="s">
        <v>92</v>
      </c>
      <c r="G675" t="s">
        <v>18</v>
      </c>
      <c r="H675" t="s">
        <v>33</v>
      </c>
      <c r="I675">
        <v>2</v>
      </c>
      <c r="J675">
        <v>13844</v>
      </c>
      <c r="K675">
        <v>27688</v>
      </c>
      <c r="L675" t="s">
        <v>78</v>
      </c>
      <c r="M675" t="s">
        <v>93</v>
      </c>
      <c r="N675" t="s">
        <v>69</v>
      </c>
    </row>
    <row r="676" spans="1:14" x14ac:dyDescent="0.25">
      <c r="A676" t="s">
        <v>2067</v>
      </c>
      <c r="B676" s="1">
        <v>46050</v>
      </c>
      <c r="C676" t="s">
        <v>2068</v>
      </c>
      <c r="D676" t="s">
        <v>2069</v>
      </c>
      <c r="E676" s="14">
        <v>923232798462</v>
      </c>
      <c r="F676" t="s">
        <v>54</v>
      </c>
      <c r="G676" t="s">
        <v>18</v>
      </c>
      <c r="H676" t="s">
        <v>33</v>
      </c>
      <c r="I676">
        <v>2</v>
      </c>
      <c r="J676">
        <v>4646</v>
      </c>
      <c r="K676">
        <v>9292</v>
      </c>
      <c r="L676" t="s">
        <v>78</v>
      </c>
      <c r="M676" t="s">
        <v>21</v>
      </c>
      <c r="N676" t="s">
        <v>22</v>
      </c>
    </row>
    <row r="677" spans="1:14" x14ac:dyDescent="0.25">
      <c r="A677" t="s">
        <v>2070</v>
      </c>
      <c r="B677" s="1">
        <v>45755</v>
      </c>
      <c r="C677" t="s">
        <v>2071</v>
      </c>
      <c r="D677" t="s">
        <v>2072</v>
      </c>
      <c r="E677" s="14">
        <v>923380188715</v>
      </c>
      <c r="F677" t="s">
        <v>92</v>
      </c>
      <c r="G677" t="s">
        <v>18</v>
      </c>
      <c r="H677" t="s">
        <v>19</v>
      </c>
      <c r="I677">
        <v>5</v>
      </c>
      <c r="J677">
        <v>10971</v>
      </c>
      <c r="K677">
        <v>54855</v>
      </c>
      <c r="L677" t="s">
        <v>63</v>
      </c>
      <c r="M677" t="s">
        <v>34</v>
      </c>
      <c r="N677" t="s">
        <v>69</v>
      </c>
    </row>
    <row r="678" spans="1:14" x14ac:dyDescent="0.25">
      <c r="A678" t="s">
        <v>2073</v>
      </c>
      <c r="B678" s="1">
        <v>45988</v>
      </c>
      <c r="C678" t="s">
        <v>2074</v>
      </c>
      <c r="D678" t="s">
        <v>2075</v>
      </c>
      <c r="E678" s="14">
        <v>923399788087</v>
      </c>
      <c r="F678" t="s">
        <v>67</v>
      </c>
      <c r="G678" t="s">
        <v>18</v>
      </c>
      <c r="H678" t="s">
        <v>39</v>
      </c>
      <c r="I678">
        <v>5</v>
      </c>
      <c r="J678">
        <v>10300</v>
      </c>
      <c r="K678">
        <v>51500</v>
      </c>
      <c r="L678" t="s">
        <v>40</v>
      </c>
      <c r="M678" t="s">
        <v>135</v>
      </c>
      <c r="N678" t="s">
        <v>35</v>
      </c>
    </row>
    <row r="679" spans="1:14" x14ac:dyDescent="0.25">
      <c r="A679" t="s">
        <v>2076</v>
      </c>
      <c r="B679" s="1">
        <v>45844</v>
      </c>
      <c r="C679" t="s">
        <v>2077</v>
      </c>
      <c r="D679" t="s">
        <v>2078</v>
      </c>
      <c r="E679" s="14">
        <v>923113164671</v>
      </c>
      <c r="F679" t="s">
        <v>122</v>
      </c>
      <c r="G679" t="s">
        <v>18</v>
      </c>
      <c r="H679" t="s">
        <v>33</v>
      </c>
      <c r="I679">
        <v>5</v>
      </c>
      <c r="J679">
        <v>4591</v>
      </c>
      <c r="K679">
        <v>22955</v>
      </c>
      <c r="L679" t="s">
        <v>20</v>
      </c>
      <c r="M679" t="s">
        <v>34</v>
      </c>
      <c r="N679" t="s">
        <v>22</v>
      </c>
    </row>
    <row r="680" spans="1:14" x14ac:dyDescent="0.25">
      <c r="A680" t="s">
        <v>2079</v>
      </c>
      <c r="B680" s="1">
        <v>46048</v>
      </c>
      <c r="C680" t="s">
        <v>2080</v>
      </c>
      <c r="D680" t="s">
        <v>2081</v>
      </c>
      <c r="E680" s="14">
        <v>923123123094</v>
      </c>
      <c r="F680" t="s">
        <v>67</v>
      </c>
      <c r="G680" t="s">
        <v>18</v>
      </c>
      <c r="H680" t="s">
        <v>50</v>
      </c>
      <c r="I680">
        <v>2</v>
      </c>
      <c r="J680">
        <v>9254</v>
      </c>
      <c r="K680">
        <v>18508</v>
      </c>
      <c r="L680" t="s">
        <v>20</v>
      </c>
      <c r="M680" t="s">
        <v>93</v>
      </c>
      <c r="N680" t="s">
        <v>35</v>
      </c>
    </row>
    <row r="681" spans="1:14" x14ac:dyDescent="0.25">
      <c r="A681" t="s">
        <v>2082</v>
      </c>
      <c r="B681" s="1">
        <v>45965</v>
      </c>
      <c r="C681" t="s">
        <v>2083</v>
      </c>
      <c r="D681" t="s">
        <v>2084</v>
      </c>
      <c r="E681" s="14">
        <v>923367698738</v>
      </c>
      <c r="F681" t="s">
        <v>17</v>
      </c>
      <c r="G681" t="s">
        <v>18</v>
      </c>
      <c r="H681" t="s">
        <v>50</v>
      </c>
      <c r="I681">
        <v>5</v>
      </c>
      <c r="J681">
        <v>13720</v>
      </c>
      <c r="K681">
        <v>68600</v>
      </c>
      <c r="L681" t="s">
        <v>40</v>
      </c>
      <c r="M681" t="s">
        <v>93</v>
      </c>
      <c r="N681" t="s">
        <v>69</v>
      </c>
    </row>
    <row r="682" spans="1:14" x14ac:dyDescent="0.25">
      <c r="A682" t="s">
        <v>2085</v>
      </c>
      <c r="B682" s="1">
        <v>45866</v>
      </c>
      <c r="C682" t="s">
        <v>2086</v>
      </c>
      <c r="D682" t="s">
        <v>2087</v>
      </c>
      <c r="E682" s="14">
        <v>923039288622</v>
      </c>
      <c r="F682" t="s">
        <v>92</v>
      </c>
      <c r="G682" t="s">
        <v>18</v>
      </c>
      <c r="H682" t="s">
        <v>33</v>
      </c>
      <c r="I682">
        <v>1</v>
      </c>
      <c r="J682">
        <v>8826</v>
      </c>
      <c r="K682">
        <v>8826</v>
      </c>
      <c r="L682" t="s">
        <v>26</v>
      </c>
      <c r="M682" t="s">
        <v>55</v>
      </c>
      <c r="N682" t="s">
        <v>22</v>
      </c>
    </row>
    <row r="683" spans="1:14" x14ac:dyDescent="0.25">
      <c r="A683" t="s">
        <v>2088</v>
      </c>
      <c r="B683" s="1">
        <v>45980</v>
      </c>
      <c r="C683" t="s">
        <v>2089</v>
      </c>
      <c r="D683" t="s">
        <v>2090</v>
      </c>
      <c r="E683" s="14">
        <v>923425774391</v>
      </c>
      <c r="F683" t="s">
        <v>77</v>
      </c>
      <c r="G683" t="s">
        <v>18</v>
      </c>
      <c r="H683" t="s">
        <v>50</v>
      </c>
      <c r="I683">
        <v>4</v>
      </c>
      <c r="J683">
        <v>9852</v>
      </c>
      <c r="K683">
        <v>39408</v>
      </c>
      <c r="L683" t="s">
        <v>78</v>
      </c>
      <c r="M683" t="s">
        <v>45</v>
      </c>
      <c r="N683" t="s">
        <v>28</v>
      </c>
    </row>
    <row r="684" spans="1:14" x14ac:dyDescent="0.25">
      <c r="A684" t="s">
        <v>2091</v>
      </c>
      <c r="B684" s="1">
        <v>45875</v>
      </c>
      <c r="C684" t="s">
        <v>2092</v>
      </c>
      <c r="D684" t="s">
        <v>2093</v>
      </c>
      <c r="E684" s="14">
        <v>923052870786</v>
      </c>
      <c r="F684" t="s">
        <v>77</v>
      </c>
      <c r="G684" t="s">
        <v>18</v>
      </c>
      <c r="H684" t="s">
        <v>73</v>
      </c>
      <c r="I684">
        <v>4</v>
      </c>
      <c r="J684">
        <v>3774</v>
      </c>
      <c r="K684">
        <v>15096</v>
      </c>
      <c r="L684" t="s">
        <v>63</v>
      </c>
      <c r="M684" t="s">
        <v>55</v>
      </c>
      <c r="N684" t="s">
        <v>69</v>
      </c>
    </row>
    <row r="685" spans="1:14" x14ac:dyDescent="0.25">
      <c r="A685" t="s">
        <v>2094</v>
      </c>
      <c r="B685" s="1">
        <v>45751</v>
      </c>
      <c r="C685" t="s">
        <v>2095</v>
      </c>
      <c r="D685" t="s">
        <v>2096</v>
      </c>
      <c r="E685" s="14">
        <v>923290443083</v>
      </c>
      <c r="F685" t="s">
        <v>54</v>
      </c>
      <c r="G685" t="s">
        <v>18</v>
      </c>
      <c r="H685" t="s">
        <v>33</v>
      </c>
      <c r="I685">
        <v>5</v>
      </c>
      <c r="J685">
        <v>10689</v>
      </c>
      <c r="K685">
        <v>53445</v>
      </c>
      <c r="L685" t="s">
        <v>78</v>
      </c>
      <c r="M685" t="s">
        <v>55</v>
      </c>
      <c r="N685" t="s">
        <v>35</v>
      </c>
    </row>
    <row r="686" spans="1:14" x14ac:dyDescent="0.25">
      <c r="A686" t="s">
        <v>2097</v>
      </c>
      <c r="B686" s="1">
        <v>45931</v>
      </c>
      <c r="C686" t="s">
        <v>2098</v>
      </c>
      <c r="D686" t="s">
        <v>2099</v>
      </c>
      <c r="E686" s="14">
        <v>923241498266</v>
      </c>
      <c r="F686" t="s">
        <v>49</v>
      </c>
      <c r="G686" t="s">
        <v>18</v>
      </c>
      <c r="H686" t="s">
        <v>73</v>
      </c>
      <c r="I686">
        <v>2</v>
      </c>
      <c r="J686">
        <v>14359</v>
      </c>
      <c r="K686">
        <v>28718</v>
      </c>
      <c r="L686" t="s">
        <v>78</v>
      </c>
      <c r="M686" t="s">
        <v>45</v>
      </c>
      <c r="N686" t="s">
        <v>35</v>
      </c>
    </row>
    <row r="687" spans="1:14" x14ac:dyDescent="0.25">
      <c r="A687" t="s">
        <v>2100</v>
      </c>
      <c r="B687" s="1">
        <v>45788</v>
      </c>
      <c r="C687" t="s">
        <v>2101</v>
      </c>
      <c r="D687" t="s">
        <v>2102</v>
      </c>
      <c r="E687" s="14">
        <v>923379900180</v>
      </c>
      <c r="F687" t="s">
        <v>92</v>
      </c>
      <c r="G687" t="s">
        <v>18</v>
      </c>
      <c r="H687" t="s">
        <v>59</v>
      </c>
      <c r="I687">
        <v>2</v>
      </c>
      <c r="J687">
        <v>8729</v>
      </c>
      <c r="K687">
        <v>17458</v>
      </c>
      <c r="L687" t="s">
        <v>40</v>
      </c>
      <c r="M687" t="s">
        <v>93</v>
      </c>
      <c r="N687" t="s">
        <v>35</v>
      </c>
    </row>
    <row r="688" spans="1:14" x14ac:dyDescent="0.25">
      <c r="A688" t="s">
        <v>2103</v>
      </c>
      <c r="B688" s="1">
        <v>45956</v>
      </c>
      <c r="C688" t="s">
        <v>2104</v>
      </c>
      <c r="D688" t="s">
        <v>2105</v>
      </c>
      <c r="E688" s="14">
        <v>923175194998</v>
      </c>
      <c r="F688" t="s">
        <v>17</v>
      </c>
      <c r="G688" t="s">
        <v>18</v>
      </c>
      <c r="H688" t="s">
        <v>39</v>
      </c>
      <c r="I688">
        <v>5</v>
      </c>
      <c r="J688">
        <v>6614</v>
      </c>
      <c r="K688">
        <v>33070</v>
      </c>
      <c r="L688" t="s">
        <v>63</v>
      </c>
      <c r="M688" t="s">
        <v>135</v>
      </c>
      <c r="N688" t="s">
        <v>22</v>
      </c>
    </row>
    <row r="689" spans="1:14" x14ac:dyDescent="0.25">
      <c r="A689" t="s">
        <v>2106</v>
      </c>
      <c r="B689" s="1">
        <v>45810</v>
      </c>
      <c r="C689" t="s">
        <v>2107</v>
      </c>
      <c r="D689" t="s">
        <v>2108</v>
      </c>
      <c r="E689" s="14">
        <v>923238032038</v>
      </c>
      <c r="F689" t="s">
        <v>49</v>
      </c>
      <c r="G689" t="s">
        <v>18</v>
      </c>
      <c r="H689" t="s">
        <v>33</v>
      </c>
      <c r="I689">
        <v>1</v>
      </c>
      <c r="J689">
        <v>8563</v>
      </c>
      <c r="K689">
        <v>8563</v>
      </c>
      <c r="L689" t="s">
        <v>68</v>
      </c>
      <c r="M689" t="s">
        <v>45</v>
      </c>
      <c r="N689" t="s">
        <v>69</v>
      </c>
    </row>
    <row r="690" spans="1:14" x14ac:dyDescent="0.25">
      <c r="A690" t="s">
        <v>2109</v>
      </c>
      <c r="B690" s="1">
        <v>46037</v>
      </c>
      <c r="C690" t="s">
        <v>2110</v>
      </c>
      <c r="D690" t="s">
        <v>2111</v>
      </c>
      <c r="E690" s="14">
        <v>923304644604</v>
      </c>
      <c r="F690" t="s">
        <v>32</v>
      </c>
      <c r="G690" t="s">
        <v>18</v>
      </c>
      <c r="H690" t="s">
        <v>19</v>
      </c>
      <c r="I690">
        <v>2</v>
      </c>
      <c r="J690">
        <v>3858</v>
      </c>
      <c r="K690">
        <v>7716</v>
      </c>
      <c r="L690" t="s">
        <v>68</v>
      </c>
      <c r="M690" t="s">
        <v>27</v>
      </c>
      <c r="N690" t="s">
        <v>28</v>
      </c>
    </row>
    <row r="691" spans="1:14" x14ac:dyDescent="0.25">
      <c r="A691" t="s">
        <v>2112</v>
      </c>
      <c r="B691" s="1">
        <v>46000</v>
      </c>
      <c r="C691" t="s">
        <v>2113</v>
      </c>
      <c r="D691" t="s">
        <v>2114</v>
      </c>
      <c r="E691" s="14">
        <v>923034649630</v>
      </c>
      <c r="F691" t="s">
        <v>77</v>
      </c>
      <c r="G691" t="s">
        <v>18</v>
      </c>
      <c r="H691" t="s">
        <v>33</v>
      </c>
      <c r="I691">
        <v>3</v>
      </c>
      <c r="J691">
        <v>2546</v>
      </c>
      <c r="K691">
        <v>7638</v>
      </c>
      <c r="L691" t="s">
        <v>78</v>
      </c>
      <c r="M691" t="s">
        <v>34</v>
      </c>
      <c r="N691" t="s">
        <v>69</v>
      </c>
    </row>
    <row r="692" spans="1:14" x14ac:dyDescent="0.25">
      <c r="A692" t="s">
        <v>2115</v>
      </c>
      <c r="B692" s="1">
        <v>45776</v>
      </c>
      <c r="C692" t="s">
        <v>2116</v>
      </c>
      <c r="D692" t="s">
        <v>2117</v>
      </c>
      <c r="E692" s="14">
        <v>923244113877</v>
      </c>
      <c r="F692" t="s">
        <v>44</v>
      </c>
      <c r="G692" t="s">
        <v>18</v>
      </c>
      <c r="H692" t="s">
        <v>73</v>
      </c>
      <c r="I692">
        <v>4</v>
      </c>
      <c r="J692">
        <v>2602</v>
      </c>
      <c r="K692">
        <v>10408</v>
      </c>
      <c r="L692" t="s">
        <v>26</v>
      </c>
      <c r="M692" t="s">
        <v>27</v>
      </c>
      <c r="N692" t="s">
        <v>35</v>
      </c>
    </row>
    <row r="693" spans="1:14" x14ac:dyDescent="0.25">
      <c r="A693" t="s">
        <v>2118</v>
      </c>
      <c r="B693" s="1">
        <v>45825</v>
      </c>
      <c r="C693" t="s">
        <v>2119</v>
      </c>
      <c r="D693" t="s">
        <v>2120</v>
      </c>
      <c r="E693" s="14">
        <v>923188896551</v>
      </c>
      <c r="F693" t="s">
        <v>54</v>
      </c>
      <c r="G693" t="s">
        <v>18</v>
      </c>
      <c r="H693" t="s">
        <v>59</v>
      </c>
      <c r="I693">
        <v>5</v>
      </c>
      <c r="J693">
        <v>12472</v>
      </c>
      <c r="K693">
        <v>62360</v>
      </c>
      <c r="L693" t="s">
        <v>26</v>
      </c>
      <c r="M693" t="s">
        <v>21</v>
      </c>
      <c r="N693" t="s">
        <v>35</v>
      </c>
    </row>
    <row r="694" spans="1:14" x14ac:dyDescent="0.25">
      <c r="A694" t="s">
        <v>2121</v>
      </c>
      <c r="B694" s="1">
        <v>45762</v>
      </c>
      <c r="C694" t="s">
        <v>2122</v>
      </c>
      <c r="D694" t="s">
        <v>2123</v>
      </c>
      <c r="E694" s="14">
        <v>923249255326</v>
      </c>
      <c r="F694" t="s">
        <v>92</v>
      </c>
      <c r="G694" t="s">
        <v>18</v>
      </c>
      <c r="H694" t="s">
        <v>50</v>
      </c>
      <c r="I694">
        <v>5</v>
      </c>
      <c r="J694">
        <v>12418</v>
      </c>
      <c r="K694">
        <v>62090</v>
      </c>
      <c r="L694" t="s">
        <v>20</v>
      </c>
      <c r="M694" t="s">
        <v>27</v>
      </c>
      <c r="N694" t="s">
        <v>22</v>
      </c>
    </row>
    <row r="695" spans="1:14" x14ac:dyDescent="0.25">
      <c r="A695" t="s">
        <v>2124</v>
      </c>
      <c r="B695" s="1">
        <v>45801</v>
      </c>
      <c r="C695" t="s">
        <v>2125</v>
      </c>
      <c r="D695" t="s">
        <v>2126</v>
      </c>
      <c r="E695" s="14">
        <v>923186433570</v>
      </c>
      <c r="F695" t="s">
        <v>92</v>
      </c>
      <c r="G695" t="s">
        <v>18</v>
      </c>
      <c r="H695" t="s">
        <v>39</v>
      </c>
      <c r="I695">
        <v>5</v>
      </c>
      <c r="J695">
        <v>1666</v>
      </c>
      <c r="K695">
        <v>8330</v>
      </c>
      <c r="L695" t="s">
        <v>63</v>
      </c>
      <c r="M695" t="s">
        <v>55</v>
      </c>
      <c r="N695" t="s">
        <v>69</v>
      </c>
    </row>
    <row r="696" spans="1:14" x14ac:dyDescent="0.25">
      <c r="A696" t="s">
        <v>2127</v>
      </c>
      <c r="B696" s="1">
        <v>46008</v>
      </c>
      <c r="C696" t="s">
        <v>2128</v>
      </c>
      <c r="D696" t="s">
        <v>2129</v>
      </c>
      <c r="E696" s="14">
        <v>923029485327</v>
      </c>
      <c r="F696" t="s">
        <v>67</v>
      </c>
      <c r="G696" t="s">
        <v>18</v>
      </c>
      <c r="H696" t="s">
        <v>59</v>
      </c>
      <c r="I696">
        <v>2</v>
      </c>
      <c r="J696">
        <v>14072</v>
      </c>
      <c r="K696">
        <v>28144</v>
      </c>
      <c r="L696" t="s">
        <v>63</v>
      </c>
      <c r="M696" t="s">
        <v>93</v>
      </c>
      <c r="N696" t="s">
        <v>28</v>
      </c>
    </row>
    <row r="697" spans="1:14" x14ac:dyDescent="0.25">
      <c r="A697" t="s">
        <v>2130</v>
      </c>
      <c r="B697" s="1">
        <v>46049</v>
      </c>
      <c r="C697" t="s">
        <v>2131</v>
      </c>
      <c r="D697" t="s">
        <v>2132</v>
      </c>
      <c r="E697" s="14">
        <v>923069105272</v>
      </c>
      <c r="F697" t="s">
        <v>32</v>
      </c>
      <c r="G697" t="s">
        <v>18</v>
      </c>
      <c r="H697" t="s">
        <v>73</v>
      </c>
      <c r="I697">
        <v>3</v>
      </c>
      <c r="J697">
        <v>1049</v>
      </c>
      <c r="K697">
        <v>3147</v>
      </c>
      <c r="L697" t="s">
        <v>68</v>
      </c>
      <c r="M697" t="s">
        <v>45</v>
      </c>
      <c r="N697" t="s">
        <v>22</v>
      </c>
    </row>
    <row r="698" spans="1:14" x14ac:dyDescent="0.25">
      <c r="A698" t="s">
        <v>2133</v>
      </c>
      <c r="B698" s="1">
        <v>46012</v>
      </c>
      <c r="C698" t="s">
        <v>2134</v>
      </c>
      <c r="D698" t="s">
        <v>2135</v>
      </c>
      <c r="E698" s="14">
        <v>923415300972</v>
      </c>
      <c r="F698" t="s">
        <v>49</v>
      </c>
      <c r="G698" t="s">
        <v>18</v>
      </c>
      <c r="H698" t="s">
        <v>39</v>
      </c>
      <c r="I698">
        <v>2</v>
      </c>
      <c r="J698">
        <v>12658</v>
      </c>
      <c r="K698">
        <v>25316</v>
      </c>
      <c r="L698" t="s">
        <v>78</v>
      </c>
      <c r="M698" t="s">
        <v>93</v>
      </c>
      <c r="N698" t="s">
        <v>22</v>
      </c>
    </row>
    <row r="699" spans="1:14" x14ac:dyDescent="0.25">
      <c r="A699" t="s">
        <v>2136</v>
      </c>
      <c r="B699" s="1">
        <v>45906</v>
      </c>
      <c r="C699" t="s">
        <v>2137</v>
      </c>
      <c r="D699" t="s">
        <v>2138</v>
      </c>
      <c r="E699" s="14">
        <v>923016558082</v>
      </c>
      <c r="F699" t="s">
        <v>106</v>
      </c>
      <c r="G699" t="s">
        <v>18</v>
      </c>
      <c r="H699" t="s">
        <v>33</v>
      </c>
      <c r="I699">
        <v>4</v>
      </c>
      <c r="J699">
        <v>5251</v>
      </c>
      <c r="K699">
        <v>21004</v>
      </c>
      <c r="L699" t="s">
        <v>26</v>
      </c>
      <c r="M699" t="s">
        <v>93</v>
      </c>
      <c r="N699" t="s">
        <v>28</v>
      </c>
    </row>
    <row r="700" spans="1:14" x14ac:dyDescent="0.25">
      <c r="A700" t="s">
        <v>2139</v>
      </c>
      <c r="B700" s="1">
        <v>45976</v>
      </c>
      <c r="C700" t="s">
        <v>2140</v>
      </c>
      <c r="D700" t="s">
        <v>2141</v>
      </c>
      <c r="E700" s="14">
        <v>923361688362</v>
      </c>
      <c r="F700" t="s">
        <v>54</v>
      </c>
      <c r="G700" t="s">
        <v>18</v>
      </c>
      <c r="H700" t="s">
        <v>50</v>
      </c>
      <c r="I700">
        <v>1</v>
      </c>
      <c r="J700">
        <v>14029</v>
      </c>
      <c r="K700">
        <v>14029</v>
      </c>
      <c r="L700" t="s">
        <v>26</v>
      </c>
      <c r="M700" t="s">
        <v>135</v>
      </c>
      <c r="N700" t="s">
        <v>22</v>
      </c>
    </row>
    <row r="701" spans="1:14" x14ac:dyDescent="0.25">
      <c r="A701" t="s">
        <v>2142</v>
      </c>
      <c r="B701" s="1">
        <v>46005</v>
      </c>
      <c r="C701" t="s">
        <v>2143</v>
      </c>
      <c r="D701" t="s">
        <v>2144</v>
      </c>
      <c r="E701" s="14">
        <v>923368747385</v>
      </c>
      <c r="F701" t="s">
        <v>77</v>
      </c>
      <c r="G701" t="s">
        <v>18</v>
      </c>
      <c r="H701" t="s">
        <v>19</v>
      </c>
      <c r="I701">
        <v>1</v>
      </c>
      <c r="J701">
        <v>11181</v>
      </c>
      <c r="K701">
        <v>11181</v>
      </c>
      <c r="L701" t="s">
        <v>40</v>
      </c>
      <c r="M701" t="s">
        <v>135</v>
      </c>
      <c r="N701" t="s">
        <v>35</v>
      </c>
    </row>
    <row r="702" spans="1:14" x14ac:dyDescent="0.25">
      <c r="A702" t="s">
        <v>2145</v>
      </c>
      <c r="B702" s="1">
        <v>45998</v>
      </c>
      <c r="C702" t="s">
        <v>2146</v>
      </c>
      <c r="D702" t="s">
        <v>2147</v>
      </c>
      <c r="E702" s="14">
        <v>923451661739</v>
      </c>
      <c r="F702" t="s">
        <v>17</v>
      </c>
      <c r="G702" t="s">
        <v>18</v>
      </c>
      <c r="H702" t="s">
        <v>59</v>
      </c>
      <c r="I702">
        <v>2</v>
      </c>
      <c r="J702">
        <v>14849</v>
      </c>
      <c r="K702">
        <v>29698</v>
      </c>
      <c r="L702" t="s">
        <v>68</v>
      </c>
      <c r="M702" t="s">
        <v>135</v>
      </c>
      <c r="N702" t="s">
        <v>28</v>
      </c>
    </row>
    <row r="703" spans="1:14" x14ac:dyDescent="0.25">
      <c r="A703" t="s">
        <v>2148</v>
      </c>
      <c r="B703" s="1">
        <v>45966</v>
      </c>
      <c r="C703" t="s">
        <v>2149</v>
      </c>
      <c r="D703" t="s">
        <v>2150</v>
      </c>
      <c r="E703" s="14">
        <v>923313899514</v>
      </c>
      <c r="F703" t="s">
        <v>44</v>
      </c>
      <c r="G703" t="s">
        <v>18</v>
      </c>
      <c r="H703" t="s">
        <v>19</v>
      </c>
      <c r="I703">
        <v>5</v>
      </c>
      <c r="J703">
        <v>3927</v>
      </c>
      <c r="K703">
        <v>19635</v>
      </c>
      <c r="L703" t="s">
        <v>26</v>
      </c>
      <c r="M703" t="s">
        <v>135</v>
      </c>
      <c r="N703" t="s">
        <v>22</v>
      </c>
    </row>
    <row r="704" spans="1:14" x14ac:dyDescent="0.25">
      <c r="A704" t="s">
        <v>2151</v>
      </c>
      <c r="B704" s="1">
        <v>45961</v>
      </c>
      <c r="C704" t="s">
        <v>2152</v>
      </c>
      <c r="D704" t="s">
        <v>2153</v>
      </c>
      <c r="E704" s="14">
        <v>923470313962</v>
      </c>
      <c r="F704" t="s">
        <v>54</v>
      </c>
      <c r="G704" t="s">
        <v>18</v>
      </c>
      <c r="H704" t="s">
        <v>19</v>
      </c>
      <c r="I704">
        <v>2</v>
      </c>
      <c r="J704">
        <v>4168</v>
      </c>
      <c r="K704">
        <v>8336</v>
      </c>
      <c r="L704" t="s">
        <v>40</v>
      </c>
      <c r="M704" t="s">
        <v>21</v>
      </c>
      <c r="N704" t="s">
        <v>28</v>
      </c>
    </row>
    <row r="705" spans="1:14" x14ac:dyDescent="0.25">
      <c r="A705" t="s">
        <v>2154</v>
      </c>
      <c r="B705" s="1">
        <v>45886</v>
      </c>
      <c r="C705" t="s">
        <v>2155</v>
      </c>
      <c r="D705" t="s">
        <v>2156</v>
      </c>
      <c r="E705" s="14">
        <v>923197220038</v>
      </c>
      <c r="F705" t="s">
        <v>92</v>
      </c>
      <c r="G705" t="s">
        <v>18</v>
      </c>
      <c r="H705" t="s">
        <v>33</v>
      </c>
      <c r="I705">
        <v>3</v>
      </c>
      <c r="J705">
        <v>8888</v>
      </c>
      <c r="K705">
        <v>26664</v>
      </c>
      <c r="L705" t="s">
        <v>26</v>
      </c>
      <c r="M705" t="s">
        <v>45</v>
      </c>
      <c r="N705" t="s">
        <v>22</v>
      </c>
    </row>
    <row r="706" spans="1:14" x14ac:dyDescent="0.25">
      <c r="A706" t="s">
        <v>2157</v>
      </c>
      <c r="B706" s="1">
        <v>45859</v>
      </c>
      <c r="C706" t="s">
        <v>2158</v>
      </c>
      <c r="D706" t="s">
        <v>2159</v>
      </c>
      <c r="E706" s="14">
        <v>923489920234</v>
      </c>
      <c r="F706" t="s">
        <v>67</v>
      </c>
      <c r="G706" t="s">
        <v>18</v>
      </c>
      <c r="H706" t="s">
        <v>39</v>
      </c>
      <c r="I706">
        <v>1</v>
      </c>
      <c r="J706">
        <v>1954</v>
      </c>
      <c r="K706">
        <v>1954</v>
      </c>
      <c r="L706" t="s">
        <v>78</v>
      </c>
      <c r="M706" t="s">
        <v>93</v>
      </c>
      <c r="N706" t="s">
        <v>28</v>
      </c>
    </row>
    <row r="707" spans="1:14" x14ac:dyDescent="0.25">
      <c r="A707" t="s">
        <v>2160</v>
      </c>
      <c r="B707" s="1">
        <v>45791</v>
      </c>
      <c r="C707" t="s">
        <v>2161</v>
      </c>
      <c r="D707" t="s">
        <v>2162</v>
      </c>
      <c r="E707" s="14">
        <v>923254720686</v>
      </c>
      <c r="F707" t="s">
        <v>106</v>
      </c>
      <c r="G707" t="s">
        <v>18</v>
      </c>
      <c r="H707" t="s">
        <v>19</v>
      </c>
      <c r="I707">
        <v>2</v>
      </c>
      <c r="J707">
        <v>13715</v>
      </c>
      <c r="K707">
        <v>27430</v>
      </c>
      <c r="L707" t="s">
        <v>20</v>
      </c>
      <c r="M707" t="s">
        <v>27</v>
      </c>
      <c r="N707" t="s">
        <v>28</v>
      </c>
    </row>
    <row r="708" spans="1:14" x14ac:dyDescent="0.25">
      <c r="A708" t="s">
        <v>2163</v>
      </c>
      <c r="B708" s="1">
        <v>45772</v>
      </c>
      <c r="C708" t="s">
        <v>2164</v>
      </c>
      <c r="D708" t="s">
        <v>2165</v>
      </c>
      <c r="E708" s="14">
        <v>923463926310</v>
      </c>
      <c r="F708" t="s">
        <v>17</v>
      </c>
      <c r="G708" t="s">
        <v>18</v>
      </c>
      <c r="H708" t="s">
        <v>39</v>
      </c>
      <c r="I708">
        <v>1</v>
      </c>
      <c r="J708">
        <v>2210</v>
      </c>
      <c r="K708">
        <v>2210</v>
      </c>
      <c r="L708" t="s">
        <v>63</v>
      </c>
      <c r="M708" t="s">
        <v>82</v>
      </c>
      <c r="N708" t="s">
        <v>69</v>
      </c>
    </row>
    <row r="709" spans="1:14" x14ac:dyDescent="0.25">
      <c r="A709" t="s">
        <v>2166</v>
      </c>
      <c r="B709" s="1">
        <v>46039</v>
      </c>
      <c r="C709" t="s">
        <v>2167</v>
      </c>
      <c r="D709" t="s">
        <v>2168</v>
      </c>
      <c r="E709" s="14">
        <v>923377898720</v>
      </c>
      <c r="F709" t="s">
        <v>67</v>
      </c>
      <c r="G709" t="s">
        <v>18</v>
      </c>
      <c r="H709" t="s">
        <v>59</v>
      </c>
      <c r="I709">
        <v>1</v>
      </c>
      <c r="J709">
        <v>2728</v>
      </c>
      <c r="K709">
        <v>2728</v>
      </c>
      <c r="L709" t="s">
        <v>78</v>
      </c>
      <c r="M709" t="s">
        <v>55</v>
      </c>
      <c r="N709" t="s">
        <v>35</v>
      </c>
    </row>
    <row r="710" spans="1:14" x14ac:dyDescent="0.25">
      <c r="A710" t="s">
        <v>2169</v>
      </c>
      <c r="B710" s="1">
        <v>45841</v>
      </c>
      <c r="C710" t="s">
        <v>2170</v>
      </c>
      <c r="D710" t="s">
        <v>2171</v>
      </c>
      <c r="E710" s="14">
        <v>923250176579</v>
      </c>
      <c r="F710" t="s">
        <v>106</v>
      </c>
      <c r="G710" t="s">
        <v>18</v>
      </c>
      <c r="H710" t="s">
        <v>33</v>
      </c>
      <c r="I710">
        <v>4</v>
      </c>
      <c r="J710">
        <v>14068</v>
      </c>
      <c r="K710">
        <v>56272</v>
      </c>
      <c r="L710" t="s">
        <v>68</v>
      </c>
      <c r="M710" t="s">
        <v>45</v>
      </c>
      <c r="N710" t="s">
        <v>22</v>
      </c>
    </row>
    <row r="711" spans="1:14" x14ac:dyDescent="0.25">
      <c r="A711" t="s">
        <v>2172</v>
      </c>
      <c r="B711" s="1">
        <v>45735</v>
      </c>
      <c r="C711" t="s">
        <v>2173</v>
      </c>
      <c r="D711" t="s">
        <v>2174</v>
      </c>
      <c r="E711" s="14">
        <v>923135898147</v>
      </c>
      <c r="F711" t="s">
        <v>67</v>
      </c>
      <c r="G711" t="s">
        <v>18</v>
      </c>
      <c r="H711" t="s">
        <v>73</v>
      </c>
      <c r="I711">
        <v>4</v>
      </c>
      <c r="J711">
        <v>12176</v>
      </c>
      <c r="K711">
        <v>48704</v>
      </c>
      <c r="L711" t="s">
        <v>68</v>
      </c>
      <c r="M711" t="s">
        <v>21</v>
      </c>
      <c r="N711" t="s">
        <v>69</v>
      </c>
    </row>
    <row r="712" spans="1:14" x14ac:dyDescent="0.25">
      <c r="A712" t="s">
        <v>2175</v>
      </c>
      <c r="B712" s="1">
        <v>45824</v>
      </c>
      <c r="C712" t="s">
        <v>2176</v>
      </c>
      <c r="D712" t="s">
        <v>2177</v>
      </c>
      <c r="E712" s="14">
        <v>923454835061</v>
      </c>
      <c r="F712" t="s">
        <v>67</v>
      </c>
      <c r="G712" t="s">
        <v>18</v>
      </c>
      <c r="H712" t="s">
        <v>50</v>
      </c>
      <c r="I712">
        <v>4</v>
      </c>
      <c r="J712">
        <v>7015</v>
      </c>
      <c r="K712">
        <v>28060</v>
      </c>
      <c r="L712" t="s">
        <v>68</v>
      </c>
      <c r="M712" t="s">
        <v>93</v>
      </c>
      <c r="N712" t="s">
        <v>35</v>
      </c>
    </row>
    <row r="713" spans="1:14" x14ac:dyDescent="0.25">
      <c r="A713" t="s">
        <v>2178</v>
      </c>
      <c r="B713" s="1">
        <v>46011</v>
      </c>
      <c r="C713" t="s">
        <v>2179</v>
      </c>
      <c r="D713" t="s">
        <v>2180</v>
      </c>
      <c r="E713" s="14">
        <v>923190538974</v>
      </c>
      <c r="F713" t="s">
        <v>49</v>
      </c>
      <c r="G713" t="s">
        <v>18</v>
      </c>
      <c r="H713" t="s">
        <v>33</v>
      </c>
      <c r="I713">
        <v>4</v>
      </c>
      <c r="J713">
        <v>12096</v>
      </c>
      <c r="K713">
        <v>48384</v>
      </c>
      <c r="L713" t="s">
        <v>78</v>
      </c>
      <c r="M713" t="s">
        <v>45</v>
      </c>
      <c r="N713" t="s">
        <v>35</v>
      </c>
    </row>
    <row r="714" spans="1:14" x14ac:dyDescent="0.25">
      <c r="A714" t="s">
        <v>2181</v>
      </c>
      <c r="B714" s="1">
        <v>46058</v>
      </c>
      <c r="C714" t="s">
        <v>2182</v>
      </c>
      <c r="D714" t="s">
        <v>2183</v>
      </c>
      <c r="E714" s="14">
        <v>923164787488</v>
      </c>
      <c r="F714" t="s">
        <v>32</v>
      </c>
      <c r="G714" t="s">
        <v>18</v>
      </c>
      <c r="H714" t="s">
        <v>33</v>
      </c>
      <c r="I714">
        <v>2</v>
      </c>
      <c r="J714">
        <v>12933</v>
      </c>
      <c r="K714">
        <v>25866</v>
      </c>
      <c r="L714" t="s">
        <v>63</v>
      </c>
      <c r="M714" t="s">
        <v>82</v>
      </c>
      <c r="N714" t="s">
        <v>28</v>
      </c>
    </row>
    <row r="715" spans="1:14" x14ac:dyDescent="0.25">
      <c r="A715" t="s">
        <v>2184</v>
      </c>
      <c r="B715" s="1">
        <v>45712</v>
      </c>
      <c r="C715" t="s">
        <v>2185</v>
      </c>
      <c r="D715" t="s">
        <v>2186</v>
      </c>
      <c r="E715" s="14">
        <v>923213017160</v>
      </c>
      <c r="F715" t="s">
        <v>44</v>
      </c>
      <c r="G715" t="s">
        <v>18</v>
      </c>
      <c r="H715" t="s">
        <v>19</v>
      </c>
      <c r="I715">
        <v>3</v>
      </c>
      <c r="J715">
        <v>3278</v>
      </c>
      <c r="K715">
        <v>9834</v>
      </c>
      <c r="L715" t="s">
        <v>68</v>
      </c>
      <c r="M715" t="s">
        <v>45</v>
      </c>
      <c r="N715" t="s">
        <v>28</v>
      </c>
    </row>
    <row r="716" spans="1:14" x14ac:dyDescent="0.25">
      <c r="A716" t="s">
        <v>2187</v>
      </c>
      <c r="B716" s="1">
        <v>45990</v>
      </c>
      <c r="C716" t="s">
        <v>2188</v>
      </c>
      <c r="D716" t="s">
        <v>2189</v>
      </c>
      <c r="E716" s="14">
        <v>923461281104</v>
      </c>
      <c r="F716" t="s">
        <v>17</v>
      </c>
      <c r="G716" t="s">
        <v>18</v>
      </c>
      <c r="H716" t="s">
        <v>50</v>
      </c>
      <c r="I716">
        <v>2</v>
      </c>
      <c r="J716">
        <v>3324</v>
      </c>
      <c r="K716">
        <v>6648</v>
      </c>
      <c r="L716" t="s">
        <v>78</v>
      </c>
      <c r="M716" t="s">
        <v>34</v>
      </c>
      <c r="N716" t="s">
        <v>69</v>
      </c>
    </row>
    <row r="717" spans="1:14" x14ac:dyDescent="0.25">
      <c r="A717" t="s">
        <v>2190</v>
      </c>
      <c r="B717" s="1">
        <v>45754</v>
      </c>
      <c r="C717" t="s">
        <v>2191</v>
      </c>
      <c r="D717" t="s">
        <v>2192</v>
      </c>
      <c r="E717" s="14">
        <v>923149777856</v>
      </c>
      <c r="F717" t="s">
        <v>32</v>
      </c>
      <c r="G717" t="s">
        <v>18</v>
      </c>
      <c r="H717" t="s">
        <v>73</v>
      </c>
      <c r="I717">
        <v>4</v>
      </c>
      <c r="J717">
        <v>9647</v>
      </c>
      <c r="K717">
        <v>38588</v>
      </c>
      <c r="L717" t="s">
        <v>26</v>
      </c>
      <c r="M717" t="s">
        <v>21</v>
      </c>
      <c r="N717" t="s">
        <v>28</v>
      </c>
    </row>
    <row r="718" spans="1:14" x14ac:dyDescent="0.25">
      <c r="A718" t="s">
        <v>2193</v>
      </c>
      <c r="B718" s="1">
        <v>45977</v>
      </c>
      <c r="C718" t="s">
        <v>2194</v>
      </c>
      <c r="D718" t="s">
        <v>2195</v>
      </c>
      <c r="E718" s="14">
        <v>923288861365</v>
      </c>
      <c r="F718" t="s">
        <v>106</v>
      </c>
      <c r="G718" t="s">
        <v>18</v>
      </c>
      <c r="H718" t="s">
        <v>33</v>
      </c>
      <c r="I718">
        <v>2</v>
      </c>
      <c r="J718">
        <v>14319</v>
      </c>
      <c r="K718">
        <v>28638</v>
      </c>
      <c r="L718" t="s">
        <v>20</v>
      </c>
      <c r="M718" t="s">
        <v>82</v>
      </c>
      <c r="N718" t="s">
        <v>22</v>
      </c>
    </row>
    <row r="719" spans="1:14" x14ac:dyDescent="0.25">
      <c r="A719" t="s">
        <v>2196</v>
      </c>
      <c r="B719" s="1">
        <v>45784</v>
      </c>
      <c r="C719" t="s">
        <v>2197</v>
      </c>
      <c r="D719" t="s">
        <v>2198</v>
      </c>
      <c r="E719" s="14">
        <v>923004375293</v>
      </c>
      <c r="F719" t="s">
        <v>67</v>
      </c>
      <c r="G719" t="s">
        <v>18</v>
      </c>
      <c r="H719" t="s">
        <v>50</v>
      </c>
      <c r="I719">
        <v>2</v>
      </c>
      <c r="J719">
        <v>3877</v>
      </c>
      <c r="K719">
        <v>7754</v>
      </c>
      <c r="L719" t="s">
        <v>63</v>
      </c>
      <c r="M719" t="s">
        <v>135</v>
      </c>
      <c r="N719" t="s">
        <v>69</v>
      </c>
    </row>
    <row r="720" spans="1:14" x14ac:dyDescent="0.25">
      <c r="A720" t="s">
        <v>2199</v>
      </c>
      <c r="B720" s="1">
        <v>45832</v>
      </c>
      <c r="C720" t="s">
        <v>2200</v>
      </c>
      <c r="D720" t="s">
        <v>2201</v>
      </c>
      <c r="E720" s="14">
        <v>923483585112</v>
      </c>
      <c r="F720" t="s">
        <v>54</v>
      </c>
      <c r="G720" t="s">
        <v>18</v>
      </c>
      <c r="H720" t="s">
        <v>50</v>
      </c>
      <c r="I720">
        <v>5</v>
      </c>
      <c r="J720">
        <v>6515</v>
      </c>
      <c r="K720">
        <v>32575</v>
      </c>
      <c r="L720" t="s">
        <v>40</v>
      </c>
      <c r="M720" t="s">
        <v>45</v>
      </c>
      <c r="N720" t="s">
        <v>35</v>
      </c>
    </row>
    <row r="721" spans="1:14" x14ac:dyDescent="0.25">
      <c r="A721" t="s">
        <v>2202</v>
      </c>
      <c r="B721" s="1">
        <v>46004</v>
      </c>
      <c r="C721" t="s">
        <v>2203</v>
      </c>
      <c r="D721" t="s">
        <v>2204</v>
      </c>
      <c r="E721" s="14">
        <v>923269013760</v>
      </c>
      <c r="F721" t="s">
        <v>92</v>
      </c>
      <c r="G721" t="s">
        <v>18</v>
      </c>
      <c r="H721" t="s">
        <v>50</v>
      </c>
      <c r="I721">
        <v>4</v>
      </c>
      <c r="J721">
        <v>11451</v>
      </c>
      <c r="K721">
        <v>45804</v>
      </c>
      <c r="L721" t="s">
        <v>63</v>
      </c>
      <c r="M721" t="s">
        <v>34</v>
      </c>
      <c r="N721" t="s">
        <v>22</v>
      </c>
    </row>
    <row r="722" spans="1:14" x14ac:dyDescent="0.25">
      <c r="A722" t="s">
        <v>2205</v>
      </c>
      <c r="B722" s="1">
        <v>45739</v>
      </c>
      <c r="C722" t="s">
        <v>2206</v>
      </c>
      <c r="D722" t="s">
        <v>2207</v>
      </c>
      <c r="E722" s="14">
        <v>923405761469</v>
      </c>
      <c r="F722" t="s">
        <v>44</v>
      </c>
      <c r="G722" t="s">
        <v>18</v>
      </c>
      <c r="H722" t="s">
        <v>33</v>
      </c>
      <c r="I722">
        <v>4</v>
      </c>
      <c r="J722">
        <v>13245</v>
      </c>
      <c r="K722">
        <v>52980</v>
      </c>
      <c r="L722" t="s">
        <v>20</v>
      </c>
      <c r="M722" t="s">
        <v>45</v>
      </c>
      <c r="N722" t="s">
        <v>22</v>
      </c>
    </row>
    <row r="723" spans="1:14" x14ac:dyDescent="0.25">
      <c r="A723" t="s">
        <v>2208</v>
      </c>
      <c r="B723" s="1">
        <v>45759</v>
      </c>
      <c r="C723" t="s">
        <v>2209</v>
      </c>
      <c r="D723" t="s">
        <v>2210</v>
      </c>
      <c r="E723" s="14">
        <v>923098107696</v>
      </c>
      <c r="F723" t="s">
        <v>77</v>
      </c>
      <c r="G723" t="s">
        <v>18</v>
      </c>
      <c r="H723" t="s">
        <v>50</v>
      </c>
      <c r="I723">
        <v>1</v>
      </c>
      <c r="J723">
        <v>14294</v>
      </c>
      <c r="K723">
        <v>14294</v>
      </c>
      <c r="L723" t="s">
        <v>68</v>
      </c>
      <c r="M723" t="s">
        <v>21</v>
      </c>
      <c r="N723" t="s">
        <v>28</v>
      </c>
    </row>
    <row r="724" spans="1:14" x14ac:dyDescent="0.25">
      <c r="A724" t="s">
        <v>2211</v>
      </c>
      <c r="B724" s="1">
        <v>45814</v>
      </c>
      <c r="C724" t="s">
        <v>2212</v>
      </c>
      <c r="D724" t="s">
        <v>2213</v>
      </c>
      <c r="E724" s="14">
        <v>923131415644</v>
      </c>
      <c r="F724" t="s">
        <v>92</v>
      </c>
      <c r="G724" t="s">
        <v>18</v>
      </c>
      <c r="H724" t="s">
        <v>39</v>
      </c>
      <c r="I724">
        <v>5</v>
      </c>
      <c r="J724">
        <v>4794</v>
      </c>
      <c r="K724">
        <v>23970</v>
      </c>
      <c r="L724" t="s">
        <v>26</v>
      </c>
      <c r="M724" t="s">
        <v>27</v>
      </c>
      <c r="N724" t="s">
        <v>22</v>
      </c>
    </row>
    <row r="725" spans="1:14" x14ac:dyDescent="0.25">
      <c r="A725" t="s">
        <v>2214</v>
      </c>
      <c r="B725" s="1">
        <v>45868</v>
      </c>
      <c r="C725" t="s">
        <v>2215</v>
      </c>
      <c r="D725" t="s">
        <v>2216</v>
      </c>
      <c r="E725" s="14">
        <v>923451889722</v>
      </c>
      <c r="F725" t="s">
        <v>67</v>
      </c>
      <c r="G725" t="s">
        <v>18</v>
      </c>
      <c r="H725" t="s">
        <v>73</v>
      </c>
      <c r="I725">
        <v>3</v>
      </c>
      <c r="J725">
        <v>14756</v>
      </c>
      <c r="K725">
        <v>44268</v>
      </c>
      <c r="L725" t="s">
        <v>40</v>
      </c>
      <c r="M725" t="s">
        <v>45</v>
      </c>
      <c r="N725" t="s">
        <v>69</v>
      </c>
    </row>
    <row r="726" spans="1:14" x14ac:dyDescent="0.25">
      <c r="A726" t="s">
        <v>2217</v>
      </c>
      <c r="B726" s="1">
        <v>46025</v>
      </c>
      <c r="C726" t="s">
        <v>2218</v>
      </c>
      <c r="D726" t="s">
        <v>2219</v>
      </c>
      <c r="E726" s="14">
        <v>923050358604</v>
      </c>
      <c r="F726" t="s">
        <v>49</v>
      </c>
      <c r="G726" t="s">
        <v>18</v>
      </c>
      <c r="H726" t="s">
        <v>50</v>
      </c>
      <c r="I726">
        <v>1</v>
      </c>
      <c r="J726">
        <v>2197</v>
      </c>
      <c r="K726">
        <v>2197</v>
      </c>
      <c r="L726" t="s">
        <v>68</v>
      </c>
      <c r="M726" t="s">
        <v>55</v>
      </c>
      <c r="N726" t="s">
        <v>28</v>
      </c>
    </row>
    <row r="727" spans="1:14" x14ac:dyDescent="0.25">
      <c r="A727" t="s">
        <v>2220</v>
      </c>
      <c r="B727" s="1">
        <v>45814</v>
      </c>
      <c r="C727" t="s">
        <v>1398</v>
      </c>
      <c r="D727" t="s">
        <v>2221</v>
      </c>
      <c r="E727" s="14">
        <v>923321182255</v>
      </c>
      <c r="F727" t="s">
        <v>32</v>
      </c>
      <c r="G727" t="s">
        <v>18</v>
      </c>
      <c r="H727" t="s">
        <v>39</v>
      </c>
      <c r="I727">
        <v>2</v>
      </c>
      <c r="J727">
        <v>12883</v>
      </c>
      <c r="K727">
        <v>25766</v>
      </c>
      <c r="L727" t="s">
        <v>40</v>
      </c>
      <c r="M727" t="s">
        <v>27</v>
      </c>
      <c r="N727" t="s">
        <v>69</v>
      </c>
    </row>
    <row r="728" spans="1:14" x14ac:dyDescent="0.25">
      <c r="A728" t="s">
        <v>2222</v>
      </c>
      <c r="B728" s="1">
        <v>45975</v>
      </c>
      <c r="C728" t="s">
        <v>2223</v>
      </c>
      <c r="D728" t="s">
        <v>2224</v>
      </c>
      <c r="E728" s="14">
        <v>923242619558</v>
      </c>
      <c r="F728" t="s">
        <v>77</v>
      </c>
      <c r="G728" t="s">
        <v>18</v>
      </c>
      <c r="H728" t="s">
        <v>59</v>
      </c>
      <c r="I728">
        <v>1</v>
      </c>
      <c r="J728">
        <v>6033</v>
      </c>
      <c r="K728">
        <v>6033</v>
      </c>
      <c r="L728" t="s">
        <v>78</v>
      </c>
      <c r="M728" t="s">
        <v>21</v>
      </c>
      <c r="N728" t="s">
        <v>28</v>
      </c>
    </row>
    <row r="729" spans="1:14" x14ac:dyDescent="0.25">
      <c r="A729" t="s">
        <v>2225</v>
      </c>
      <c r="B729" s="1">
        <v>46002</v>
      </c>
      <c r="C729" t="s">
        <v>2226</v>
      </c>
      <c r="D729" t="s">
        <v>2227</v>
      </c>
      <c r="E729" s="14">
        <v>923242681557</v>
      </c>
      <c r="F729" t="s">
        <v>44</v>
      </c>
      <c r="G729" t="s">
        <v>18</v>
      </c>
      <c r="H729" t="s">
        <v>73</v>
      </c>
      <c r="I729">
        <v>3</v>
      </c>
      <c r="J729">
        <v>10151</v>
      </c>
      <c r="K729">
        <v>30453</v>
      </c>
      <c r="L729" t="s">
        <v>63</v>
      </c>
      <c r="M729" t="s">
        <v>82</v>
      </c>
      <c r="N729" t="s">
        <v>22</v>
      </c>
    </row>
    <row r="730" spans="1:14" x14ac:dyDescent="0.25">
      <c r="A730" t="s">
        <v>2228</v>
      </c>
      <c r="B730" s="1">
        <v>45774</v>
      </c>
      <c r="C730" t="s">
        <v>2229</v>
      </c>
      <c r="D730" t="s">
        <v>2230</v>
      </c>
      <c r="E730" s="14">
        <v>923429650767</v>
      </c>
      <c r="F730" t="s">
        <v>17</v>
      </c>
      <c r="G730" t="s">
        <v>18</v>
      </c>
      <c r="H730" t="s">
        <v>19</v>
      </c>
      <c r="I730">
        <v>4</v>
      </c>
      <c r="J730">
        <v>14029</v>
      </c>
      <c r="K730">
        <v>56116</v>
      </c>
      <c r="L730" t="s">
        <v>40</v>
      </c>
      <c r="M730" t="s">
        <v>34</v>
      </c>
      <c r="N730" t="s">
        <v>35</v>
      </c>
    </row>
    <row r="731" spans="1:14" x14ac:dyDescent="0.25">
      <c r="A731" t="s">
        <v>2231</v>
      </c>
      <c r="B731" s="1">
        <v>45918</v>
      </c>
      <c r="C731" t="s">
        <v>2232</v>
      </c>
      <c r="D731" t="s">
        <v>2233</v>
      </c>
      <c r="E731" s="14">
        <v>923028528250</v>
      </c>
      <c r="F731" t="s">
        <v>92</v>
      </c>
      <c r="G731" t="s">
        <v>18</v>
      </c>
      <c r="H731" t="s">
        <v>19</v>
      </c>
      <c r="I731">
        <v>4</v>
      </c>
      <c r="J731">
        <v>3880</v>
      </c>
      <c r="K731">
        <v>15520</v>
      </c>
      <c r="L731" t="s">
        <v>68</v>
      </c>
      <c r="M731" t="s">
        <v>93</v>
      </c>
      <c r="N731" t="s">
        <v>69</v>
      </c>
    </row>
    <row r="732" spans="1:14" x14ac:dyDescent="0.25">
      <c r="A732" t="s">
        <v>2234</v>
      </c>
      <c r="B732" s="1">
        <v>45992</v>
      </c>
      <c r="C732" t="s">
        <v>2235</v>
      </c>
      <c r="D732" t="s">
        <v>2236</v>
      </c>
      <c r="E732" s="14">
        <v>923022298608</v>
      </c>
      <c r="F732" t="s">
        <v>32</v>
      </c>
      <c r="G732" t="s">
        <v>18</v>
      </c>
      <c r="H732" t="s">
        <v>73</v>
      </c>
      <c r="I732">
        <v>2</v>
      </c>
      <c r="J732">
        <v>14226</v>
      </c>
      <c r="K732">
        <v>28452</v>
      </c>
      <c r="L732" t="s">
        <v>78</v>
      </c>
      <c r="M732" t="s">
        <v>27</v>
      </c>
      <c r="N732" t="s">
        <v>22</v>
      </c>
    </row>
    <row r="733" spans="1:14" x14ac:dyDescent="0.25">
      <c r="A733" t="s">
        <v>2237</v>
      </c>
      <c r="B733" s="1">
        <v>45772</v>
      </c>
      <c r="C733" t="s">
        <v>2238</v>
      </c>
      <c r="D733" t="s">
        <v>2239</v>
      </c>
      <c r="E733" s="14">
        <v>923123052018</v>
      </c>
      <c r="F733" t="s">
        <v>54</v>
      </c>
      <c r="G733" t="s">
        <v>18</v>
      </c>
      <c r="H733" t="s">
        <v>39</v>
      </c>
      <c r="I733">
        <v>2</v>
      </c>
      <c r="J733">
        <v>10346</v>
      </c>
      <c r="K733">
        <v>20692</v>
      </c>
      <c r="L733" t="s">
        <v>40</v>
      </c>
      <c r="M733" t="s">
        <v>55</v>
      </c>
      <c r="N733" t="s">
        <v>69</v>
      </c>
    </row>
    <row r="734" spans="1:14" x14ac:dyDescent="0.25">
      <c r="A734" t="s">
        <v>2240</v>
      </c>
      <c r="B734" s="1">
        <v>45925</v>
      </c>
      <c r="C734" t="s">
        <v>2241</v>
      </c>
      <c r="D734" t="s">
        <v>2242</v>
      </c>
      <c r="E734" s="14">
        <v>923304575042</v>
      </c>
      <c r="F734" t="s">
        <v>77</v>
      </c>
      <c r="G734" t="s">
        <v>18</v>
      </c>
      <c r="H734" t="s">
        <v>19</v>
      </c>
      <c r="I734">
        <v>2</v>
      </c>
      <c r="J734">
        <v>5540</v>
      </c>
      <c r="K734">
        <v>11080</v>
      </c>
      <c r="L734" t="s">
        <v>26</v>
      </c>
      <c r="M734" t="s">
        <v>93</v>
      </c>
      <c r="N734" t="s">
        <v>69</v>
      </c>
    </row>
    <row r="735" spans="1:14" x14ac:dyDescent="0.25">
      <c r="A735" t="s">
        <v>2243</v>
      </c>
      <c r="B735" s="1">
        <v>45938</v>
      </c>
      <c r="C735" t="s">
        <v>2244</v>
      </c>
      <c r="D735" t="s">
        <v>2245</v>
      </c>
      <c r="E735" s="14">
        <v>923197941501</v>
      </c>
      <c r="F735" t="s">
        <v>54</v>
      </c>
      <c r="G735" t="s">
        <v>18</v>
      </c>
      <c r="H735" t="s">
        <v>19</v>
      </c>
      <c r="I735">
        <v>4</v>
      </c>
      <c r="J735">
        <v>5046</v>
      </c>
      <c r="K735">
        <v>20184</v>
      </c>
      <c r="L735" t="s">
        <v>26</v>
      </c>
      <c r="M735" t="s">
        <v>55</v>
      </c>
      <c r="N735" t="s">
        <v>22</v>
      </c>
    </row>
    <row r="736" spans="1:14" x14ac:dyDescent="0.25">
      <c r="A736" t="s">
        <v>2246</v>
      </c>
      <c r="B736" s="1">
        <v>45794</v>
      </c>
      <c r="C736" t="s">
        <v>2247</v>
      </c>
      <c r="D736" t="s">
        <v>2248</v>
      </c>
      <c r="E736" s="14">
        <v>923110786879</v>
      </c>
      <c r="F736" t="s">
        <v>17</v>
      </c>
      <c r="G736" t="s">
        <v>18</v>
      </c>
      <c r="H736" t="s">
        <v>33</v>
      </c>
      <c r="I736">
        <v>5</v>
      </c>
      <c r="J736">
        <v>7713</v>
      </c>
      <c r="K736">
        <v>38565</v>
      </c>
      <c r="L736" t="s">
        <v>40</v>
      </c>
      <c r="M736" t="s">
        <v>93</v>
      </c>
      <c r="N736" t="s">
        <v>35</v>
      </c>
    </row>
    <row r="737" spans="1:14" x14ac:dyDescent="0.25">
      <c r="A737" t="s">
        <v>2249</v>
      </c>
      <c r="B737" s="1">
        <v>45998</v>
      </c>
      <c r="C737" t="s">
        <v>2250</v>
      </c>
      <c r="D737" t="s">
        <v>2251</v>
      </c>
      <c r="E737" s="14">
        <v>923053441257</v>
      </c>
      <c r="F737" t="s">
        <v>17</v>
      </c>
      <c r="G737" t="s">
        <v>18</v>
      </c>
      <c r="H737" t="s">
        <v>59</v>
      </c>
      <c r="I737">
        <v>2</v>
      </c>
      <c r="J737">
        <v>8018</v>
      </c>
      <c r="K737">
        <v>16036</v>
      </c>
      <c r="L737" t="s">
        <v>78</v>
      </c>
      <c r="M737" t="s">
        <v>93</v>
      </c>
      <c r="N737" t="s">
        <v>28</v>
      </c>
    </row>
    <row r="738" spans="1:14" x14ac:dyDescent="0.25">
      <c r="A738" t="s">
        <v>2252</v>
      </c>
      <c r="B738" s="1">
        <v>45968</v>
      </c>
      <c r="C738" t="s">
        <v>2253</v>
      </c>
      <c r="D738" t="s">
        <v>2254</v>
      </c>
      <c r="E738" s="14">
        <v>923024332763</v>
      </c>
      <c r="F738" t="s">
        <v>49</v>
      </c>
      <c r="G738" t="s">
        <v>18</v>
      </c>
      <c r="H738" t="s">
        <v>19</v>
      </c>
      <c r="I738">
        <v>2</v>
      </c>
      <c r="J738">
        <v>8532</v>
      </c>
      <c r="K738">
        <v>17064</v>
      </c>
      <c r="L738" t="s">
        <v>68</v>
      </c>
      <c r="M738" t="s">
        <v>93</v>
      </c>
      <c r="N738" t="s">
        <v>28</v>
      </c>
    </row>
    <row r="739" spans="1:14" x14ac:dyDescent="0.25">
      <c r="A739" t="s">
        <v>2255</v>
      </c>
      <c r="B739" s="1">
        <v>45795</v>
      </c>
      <c r="C739" t="s">
        <v>2256</v>
      </c>
      <c r="D739" t="s">
        <v>2257</v>
      </c>
      <c r="E739" s="14">
        <v>923496730956</v>
      </c>
      <c r="F739" t="s">
        <v>106</v>
      </c>
      <c r="G739" t="s">
        <v>18</v>
      </c>
      <c r="H739" t="s">
        <v>19</v>
      </c>
      <c r="I739">
        <v>3</v>
      </c>
      <c r="J739">
        <v>7662</v>
      </c>
      <c r="K739">
        <v>22986</v>
      </c>
      <c r="L739" t="s">
        <v>40</v>
      </c>
      <c r="M739" t="s">
        <v>82</v>
      </c>
      <c r="N739" t="s">
        <v>69</v>
      </c>
    </row>
    <row r="740" spans="1:14" x14ac:dyDescent="0.25">
      <c r="A740" t="s">
        <v>2258</v>
      </c>
      <c r="B740" s="1">
        <v>45896</v>
      </c>
      <c r="C740" t="s">
        <v>2259</v>
      </c>
      <c r="D740" t="s">
        <v>2260</v>
      </c>
      <c r="E740" s="14">
        <v>923065005061</v>
      </c>
      <c r="F740" t="s">
        <v>54</v>
      </c>
      <c r="G740" t="s">
        <v>18</v>
      </c>
      <c r="H740" t="s">
        <v>73</v>
      </c>
      <c r="I740">
        <v>1</v>
      </c>
      <c r="J740">
        <v>12104</v>
      </c>
      <c r="K740">
        <v>12104</v>
      </c>
      <c r="L740" t="s">
        <v>26</v>
      </c>
      <c r="M740" t="s">
        <v>27</v>
      </c>
      <c r="N740" t="s">
        <v>28</v>
      </c>
    </row>
    <row r="741" spans="1:14" x14ac:dyDescent="0.25">
      <c r="A741" t="s">
        <v>2261</v>
      </c>
      <c r="B741" s="1">
        <v>46029</v>
      </c>
      <c r="C741" t="s">
        <v>2262</v>
      </c>
      <c r="D741" t="s">
        <v>2263</v>
      </c>
      <c r="E741" s="14">
        <v>923137448474</v>
      </c>
      <c r="F741" t="s">
        <v>44</v>
      </c>
      <c r="G741" t="s">
        <v>18</v>
      </c>
      <c r="H741" t="s">
        <v>39</v>
      </c>
      <c r="I741">
        <v>1</v>
      </c>
      <c r="J741">
        <v>12902</v>
      </c>
      <c r="K741">
        <v>12902</v>
      </c>
      <c r="L741" t="s">
        <v>78</v>
      </c>
      <c r="M741" t="s">
        <v>93</v>
      </c>
      <c r="N741" t="s">
        <v>28</v>
      </c>
    </row>
    <row r="742" spans="1:14" x14ac:dyDescent="0.25">
      <c r="A742" t="s">
        <v>2264</v>
      </c>
      <c r="B742" s="1">
        <v>45768</v>
      </c>
      <c r="C742" t="s">
        <v>2265</v>
      </c>
      <c r="D742" t="s">
        <v>2266</v>
      </c>
      <c r="E742" s="14">
        <v>923496355474</v>
      </c>
      <c r="F742" t="s">
        <v>44</v>
      </c>
      <c r="G742" t="s">
        <v>18</v>
      </c>
      <c r="H742" t="s">
        <v>59</v>
      </c>
      <c r="I742">
        <v>2</v>
      </c>
      <c r="J742">
        <v>13535</v>
      </c>
      <c r="K742">
        <v>27070</v>
      </c>
      <c r="L742" t="s">
        <v>63</v>
      </c>
      <c r="M742" t="s">
        <v>21</v>
      </c>
      <c r="N742" t="s">
        <v>22</v>
      </c>
    </row>
    <row r="743" spans="1:14" x14ac:dyDescent="0.25">
      <c r="A743" t="s">
        <v>2267</v>
      </c>
      <c r="B743" s="1">
        <v>45981</v>
      </c>
      <c r="C743" t="s">
        <v>2268</v>
      </c>
      <c r="D743" t="s">
        <v>2269</v>
      </c>
      <c r="E743" s="14">
        <v>923457194246</v>
      </c>
      <c r="F743" t="s">
        <v>67</v>
      </c>
      <c r="G743" t="s">
        <v>18</v>
      </c>
      <c r="H743" t="s">
        <v>33</v>
      </c>
      <c r="I743">
        <v>5</v>
      </c>
      <c r="J743">
        <v>8029</v>
      </c>
      <c r="K743">
        <v>40145</v>
      </c>
      <c r="L743" t="s">
        <v>68</v>
      </c>
      <c r="M743" t="s">
        <v>93</v>
      </c>
      <c r="N743" t="s">
        <v>35</v>
      </c>
    </row>
    <row r="744" spans="1:14" x14ac:dyDescent="0.25">
      <c r="A744" t="s">
        <v>2270</v>
      </c>
      <c r="B744" s="1">
        <v>45740</v>
      </c>
      <c r="C744" t="s">
        <v>2271</v>
      </c>
      <c r="D744" t="s">
        <v>2272</v>
      </c>
      <c r="E744" s="14">
        <v>923176981437</v>
      </c>
      <c r="F744" t="s">
        <v>32</v>
      </c>
      <c r="G744" t="s">
        <v>18</v>
      </c>
      <c r="H744" t="s">
        <v>59</v>
      </c>
      <c r="I744">
        <v>4</v>
      </c>
      <c r="J744">
        <v>10451</v>
      </c>
      <c r="K744">
        <v>41804</v>
      </c>
      <c r="L744" t="s">
        <v>68</v>
      </c>
      <c r="M744" t="s">
        <v>27</v>
      </c>
      <c r="N744" t="s">
        <v>22</v>
      </c>
    </row>
    <row r="745" spans="1:14" x14ac:dyDescent="0.25">
      <c r="A745" t="s">
        <v>2273</v>
      </c>
      <c r="B745" s="1">
        <v>45759</v>
      </c>
      <c r="C745" t="s">
        <v>2274</v>
      </c>
      <c r="D745" t="s">
        <v>2275</v>
      </c>
      <c r="E745" s="14">
        <v>923346016832</v>
      </c>
      <c r="F745" t="s">
        <v>32</v>
      </c>
      <c r="G745" t="s">
        <v>18</v>
      </c>
      <c r="H745" t="s">
        <v>39</v>
      </c>
      <c r="I745">
        <v>1</v>
      </c>
      <c r="J745">
        <v>10442</v>
      </c>
      <c r="K745">
        <v>10442</v>
      </c>
      <c r="L745" t="s">
        <v>63</v>
      </c>
      <c r="M745" t="s">
        <v>55</v>
      </c>
      <c r="N745" t="s">
        <v>22</v>
      </c>
    </row>
    <row r="746" spans="1:14" x14ac:dyDescent="0.25">
      <c r="A746" t="s">
        <v>2276</v>
      </c>
      <c r="B746" s="1">
        <v>45927</v>
      </c>
      <c r="C746" t="s">
        <v>2277</v>
      </c>
      <c r="D746" t="s">
        <v>2278</v>
      </c>
      <c r="E746" s="14">
        <v>923476475199</v>
      </c>
      <c r="F746" t="s">
        <v>54</v>
      </c>
      <c r="G746" t="s">
        <v>18</v>
      </c>
      <c r="H746" t="s">
        <v>50</v>
      </c>
      <c r="I746">
        <v>5</v>
      </c>
      <c r="J746">
        <v>12379</v>
      </c>
      <c r="K746">
        <v>61895</v>
      </c>
      <c r="L746" t="s">
        <v>40</v>
      </c>
      <c r="M746" t="s">
        <v>135</v>
      </c>
      <c r="N746" t="s">
        <v>22</v>
      </c>
    </row>
    <row r="747" spans="1:14" x14ac:dyDescent="0.25">
      <c r="A747" t="s">
        <v>2279</v>
      </c>
      <c r="B747" s="1">
        <v>45911</v>
      </c>
      <c r="C747" t="s">
        <v>2280</v>
      </c>
      <c r="D747" t="s">
        <v>2281</v>
      </c>
      <c r="E747" s="14">
        <v>923263967030</v>
      </c>
      <c r="F747" t="s">
        <v>122</v>
      </c>
      <c r="G747" t="s">
        <v>18</v>
      </c>
      <c r="H747" t="s">
        <v>39</v>
      </c>
      <c r="I747">
        <v>5</v>
      </c>
      <c r="J747">
        <v>1355</v>
      </c>
      <c r="K747">
        <v>6775</v>
      </c>
      <c r="L747" t="s">
        <v>40</v>
      </c>
      <c r="M747" t="s">
        <v>27</v>
      </c>
      <c r="N747" t="s">
        <v>22</v>
      </c>
    </row>
    <row r="748" spans="1:14" x14ac:dyDescent="0.25">
      <c r="A748" t="s">
        <v>2282</v>
      </c>
      <c r="B748" s="1">
        <v>46012</v>
      </c>
      <c r="C748" t="s">
        <v>2283</v>
      </c>
      <c r="D748" t="s">
        <v>2284</v>
      </c>
      <c r="E748" s="14">
        <v>923494840542</v>
      </c>
      <c r="F748" t="s">
        <v>106</v>
      </c>
      <c r="G748" t="s">
        <v>18</v>
      </c>
      <c r="H748" t="s">
        <v>33</v>
      </c>
      <c r="I748">
        <v>1</v>
      </c>
      <c r="J748">
        <v>8198</v>
      </c>
      <c r="K748">
        <v>8198</v>
      </c>
      <c r="L748" t="s">
        <v>20</v>
      </c>
      <c r="M748" t="s">
        <v>21</v>
      </c>
      <c r="N748" t="s">
        <v>22</v>
      </c>
    </row>
    <row r="749" spans="1:14" x14ac:dyDescent="0.25">
      <c r="A749" t="s">
        <v>2285</v>
      </c>
      <c r="B749" s="1">
        <v>45856</v>
      </c>
      <c r="C749" t="s">
        <v>2286</v>
      </c>
      <c r="D749" t="s">
        <v>2287</v>
      </c>
      <c r="E749" s="14">
        <v>923346071261</v>
      </c>
      <c r="F749" t="s">
        <v>49</v>
      </c>
      <c r="G749" t="s">
        <v>18</v>
      </c>
      <c r="H749" t="s">
        <v>73</v>
      </c>
      <c r="I749">
        <v>2</v>
      </c>
      <c r="J749">
        <v>12401</v>
      </c>
      <c r="K749">
        <v>24802</v>
      </c>
      <c r="L749" t="s">
        <v>78</v>
      </c>
      <c r="M749" t="s">
        <v>21</v>
      </c>
      <c r="N749" t="s">
        <v>69</v>
      </c>
    </row>
    <row r="750" spans="1:14" x14ac:dyDescent="0.25">
      <c r="A750" t="s">
        <v>2288</v>
      </c>
      <c r="B750" s="1">
        <v>45994</v>
      </c>
      <c r="C750" t="s">
        <v>2289</v>
      </c>
      <c r="D750" t="s">
        <v>2290</v>
      </c>
      <c r="E750" s="14">
        <v>923141376351</v>
      </c>
      <c r="F750" t="s">
        <v>77</v>
      </c>
      <c r="G750" t="s">
        <v>18</v>
      </c>
      <c r="H750" t="s">
        <v>33</v>
      </c>
      <c r="I750">
        <v>5</v>
      </c>
      <c r="J750">
        <v>7938</v>
      </c>
      <c r="K750">
        <v>39690</v>
      </c>
      <c r="L750" t="s">
        <v>40</v>
      </c>
      <c r="M750" t="s">
        <v>135</v>
      </c>
      <c r="N750" t="s">
        <v>35</v>
      </c>
    </row>
    <row r="751" spans="1:14" x14ac:dyDescent="0.25">
      <c r="A751" t="s">
        <v>2291</v>
      </c>
      <c r="B751" s="1">
        <v>45706</v>
      </c>
      <c r="C751" t="s">
        <v>2292</v>
      </c>
      <c r="D751" t="s">
        <v>2293</v>
      </c>
      <c r="E751" s="14">
        <v>923411231901</v>
      </c>
      <c r="F751" t="s">
        <v>32</v>
      </c>
      <c r="G751" t="s">
        <v>18</v>
      </c>
      <c r="H751" t="s">
        <v>73</v>
      </c>
      <c r="I751">
        <v>4</v>
      </c>
      <c r="J751">
        <v>7759</v>
      </c>
      <c r="K751">
        <v>31036</v>
      </c>
      <c r="L751" t="s">
        <v>68</v>
      </c>
      <c r="M751" t="s">
        <v>93</v>
      </c>
      <c r="N751" t="s">
        <v>28</v>
      </c>
    </row>
    <row r="752" spans="1:14" x14ac:dyDescent="0.25">
      <c r="A752" t="s">
        <v>2294</v>
      </c>
      <c r="B752" s="1">
        <v>45802</v>
      </c>
      <c r="C752" t="s">
        <v>2295</v>
      </c>
      <c r="D752" t="s">
        <v>2296</v>
      </c>
      <c r="E752" s="14">
        <v>923165035884</v>
      </c>
      <c r="F752" t="s">
        <v>44</v>
      </c>
      <c r="G752" t="s">
        <v>18</v>
      </c>
      <c r="H752" t="s">
        <v>50</v>
      </c>
      <c r="I752">
        <v>5</v>
      </c>
      <c r="J752">
        <v>4718</v>
      </c>
      <c r="K752">
        <v>23590</v>
      </c>
      <c r="L752" t="s">
        <v>20</v>
      </c>
      <c r="M752" t="s">
        <v>21</v>
      </c>
      <c r="N752" t="s">
        <v>69</v>
      </c>
    </row>
    <row r="753" spans="1:14" x14ac:dyDescent="0.25">
      <c r="A753" t="s">
        <v>2297</v>
      </c>
      <c r="B753" s="1">
        <v>45981</v>
      </c>
      <c r="C753" t="s">
        <v>2298</v>
      </c>
      <c r="D753" t="s">
        <v>2299</v>
      </c>
      <c r="E753" s="14">
        <v>923162432526</v>
      </c>
      <c r="F753" t="s">
        <v>122</v>
      </c>
      <c r="G753" t="s">
        <v>18</v>
      </c>
      <c r="H753" t="s">
        <v>19</v>
      </c>
      <c r="I753">
        <v>5</v>
      </c>
      <c r="J753">
        <v>3633</v>
      </c>
      <c r="K753">
        <v>18165</v>
      </c>
      <c r="L753" t="s">
        <v>40</v>
      </c>
      <c r="M753" t="s">
        <v>27</v>
      </c>
      <c r="N753" t="s">
        <v>69</v>
      </c>
    </row>
    <row r="754" spans="1:14" x14ac:dyDescent="0.25">
      <c r="A754" t="s">
        <v>2300</v>
      </c>
      <c r="B754" s="1">
        <v>45958</v>
      </c>
      <c r="C754" t="s">
        <v>2301</v>
      </c>
      <c r="D754" t="s">
        <v>2302</v>
      </c>
      <c r="E754" s="14">
        <v>923125549392</v>
      </c>
      <c r="F754" t="s">
        <v>54</v>
      </c>
      <c r="G754" t="s">
        <v>18</v>
      </c>
      <c r="H754" t="s">
        <v>33</v>
      </c>
      <c r="I754">
        <v>5</v>
      </c>
      <c r="J754">
        <v>6904</v>
      </c>
      <c r="K754">
        <v>34520</v>
      </c>
      <c r="L754" t="s">
        <v>78</v>
      </c>
      <c r="M754" t="s">
        <v>82</v>
      </c>
      <c r="N754" t="s">
        <v>22</v>
      </c>
    </row>
    <row r="755" spans="1:14" x14ac:dyDescent="0.25">
      <c r="A755" t="s">
        <v>2303</v>
      </c>
      <c r="B755" s="1">
        <v>45976</v>
      </c>
      <c r="C755" t="s">
        <v>2304</v>
      </c>
      <c r="D755" t="s">
        <v>2305</v>
      </c>
      <c r="E755" s="14">
        <v>923459216333</v>
      </c>
      <c r="F755" t="s">
        <v>54</v>
      </c>
      <c r="G755" t="s">
        <v>18</v>
      </c>
      <c r="H755" t="s">
        <v>19</v>
      </c>
      <c r="I755">
        <v>2</v>
      </c>
      <c r="J755">
        <v>9124</v>
      </c>
      <c r="K755">
        <v>18248</v>
      </c>
      <c r="L755" t="s">
        <v>26</v>
      </c>
      <c r="M755" t="s">
        <v>82</v>
      </c>
      <c r="N755" t="s">
        <v>35</v>
      </c>
    </row>
    <row r="756" spans="1:14" x14ac:dyDescent="0.25">
      <c r="A756" t="s">
        <v>2306</v>
      </c>
      <c r="B756" s="1">
        <v>46011</v>
      </c>
      <c r="C756" t="s">
        <v>2307</v>
      </c>
      <c r="D756" t="s">
        <v>2308</v>
      </c>
      <c r="E756" s="14">
        <v>923426498863</v>
      </c>
      <c r="F756" t="s">
        <v>67</v>
      </c>
      <c r="G756" t="s">
        <v>18</v>
      </c>
      <c r="H756" t="s">
        <v>50</v>
      </c>
      <c r="I756">
        <v>1</v>
      </c>
      <c r="J756">
        <v>10905</v>
      </c>
      <c r="K756">
        <v>10905</v>
      </c>
      <c r="L756" t="s">
        <v>63</v>
      </c>
      <c r="M756" t="s">
        <v>21</v>
      </c>
      <c r="N756" t="s">
        <v>22</v>
      </c>
    </row>
    <row r="757" spans="1:14" x14ac:dyDescent="0.25">
      <c r="A757" t="s">
        <v>2309</v>
      </c>
      <c r="B757" s="1">
        <v>45954</v>
      </c>
      <c r="C757" t="s">
        <v>2310</v>
      </c>
      <c r="D757" t="s">
        <v>2311</v>
      </c>
      <c r="E757" s="14">
        <v>923060304052</v>
      </c>
      <c r="F757" t="s">
        <v>106</v>
      </c>
      <c r="G757" t="s">
        <v>18</v>
      </c>
      <c r="H757" t="s">
        <v>39</v>
      </c>
      <c r="I757">
        <v>2</v>
      </c>
      <c r="J757">
        <v>13916</v>
      </c>
      <c r="K757">
        <v>27832</v>
      </c>
      <c r="L757" t="s">
        <v>78</v>
      </c>
      <c r="M757" t="s">
        <v>55</v>
      </c>
      <c r="N757" t="s">
        <v>35</v>
      </c>
    </row>
    <row r="758" spans="1:14" x14ac:dyDescent="0.25">
      <c r="A758" t="s">
        <v>2312</v>
      </c>
      <c r="B758" s="1">
        <v>46065</v>
      </c>
      <c r="C758" t="s">
        <v>2313</v>
      </c>
      <c r="D758" t="s">
        <v>2314</v>
      </c>
      <c r="E758" s="14">
        <v>923169677485</v>
      </c>
      <c r="F758" t="s">
        <v>44</v>
      </c>
      <c r="G758" t="s">
        <v>18</v>
      </c>
      <c r="H758" t="s">
        <v>59</v>
      </c>
      <c r="I758">
        <v>1</v>
      </c>
      <c r="J758">
        <v>6303</v>
      </c>
      <c r="K758">
        <v>6303</v>
      </c>
      <c r="L758" t="s">
        <v>68</v>
      </c>
      <c r="M758" t="s">
        <v>45</v>
      </c>
      <c r="N758" t="s">
        <v>69</v>
      </c>
    </row>
    <row r="759" spans="1:14" x14ac:dyDescent="0.25">
      <c r="A759" t="s">
        <v>2315</v>
      </c>
      <c r="B759" s="1">
        <v>45868</v>
      </c>
      <c r="C759" t="s">
        <v>2316</v>
      </c>
      <c r="D759" t="s">
        <v>2317</v>
      </c>
      <c r="E759" s="14">
        <v>923472575935</v>
      </c>
      <c r="F759" t="s">
        <v>17</v>
      </c>
      <c r="G759" t="s">
        <v>18</v>
      </c>
      <c r="H759" t="s">
        <v>73</v>
      </c>
      <c r="I759">
        <v>5</v>
      </c>
      <c r="J759">
        <v>3983</v>
      </c>
      <c r="K759">
        <v>19915</v>
      </c>
      <c r="L759" t="s">
        <v>20</v>
      </c>
      <c r="M759" t="s">
        <v>45</v>
      </c>
      <c r="N759" t="s">
        <v>69</v>
      </c>
    </row>
    <row r="760" spans="1:14" x14ac:dyDescent="0.25">
      <c r="A760" t="s">
        <v>2318</v>
      </c>
      <c r="B760" s="1">
        <v>46001</v>
      </c>
      <c r="C760" t="s">
        <v>2319</v>
      </c>
      <c r="D760" t="s">
        <v>2320</v>
      </c>
      <c r="E760" s="14">
        <v>923409699137</v>
      </c>
      <c r="F760" t="s">
        <v>77</v>
      </c>
      <c r="G760" t="s">
        <v>18</v>
      </c>
      <c r="H760" t="s">
        <v>59</v>
      </c>
      <c r="I760">
        <v>5</v>
      </c>
      <c r="J760">
        <v>5014</v>
      </c>
      <c r="K760">
        <v>25070</v>
      </c>
      <c r="L760" t="s">
        <v>20</v>
      </c>
      <c r="M760" t="s">
        <v>135</v>
      </c>
      <c r="N760" t="s">
        <v>69</v>
      </c>
    </row>
    <row r="761" spans="1:14" x14ac:dyDescent="0.25">
      <c r="A761" t="s">
        <v>2321</v>
      </c>
      <c r="B761" s="1">
        <v>46033</v>
      </c>
      <c r="C761" t="s">
        <v>2322</v>
      </c>
      <c r="D761" t="s">
        <v>2323</v>
      </c>
      <c r="E761" s="14">
        <v>923278678324</v>
      </c>
      <c r="F761" t="s">
        <v>17</v>
      </c>
      <c r="G761" t="s">
        <v>18</v>
      </c>
      <c r="H761" t="s">
        <v>59</v>
      </c>
      <c r="I761">
        <v>5</v>
      </c>
      <c r="J761">
        <v>7748</v>
      </c>
      <c r="K761">
        <v>38740</v>
      </c>
      <c r="L761" t="s">
        <v>40</v>
      </c>
      <c r="M761" t="s">
        <v>21</v>
      </c>
      <c r="N761" t="s">
        <v>69</v>
      </c>
    </row>
    <row r="762" spans="1:14" x14ac:dyDescent="0.25">
      <c r="A762" t="s">
        <v>2324</v>
      </c>
      <c r="B762" s="1">
        <v>46009</v>
      </c>
      <c r="C762" t="s">
        <v>2325</v>
      </c>
      <c r="D762" t="s">
        <v>2326</v>
      </c>
      <c r="E762" s="14">
        <v>923213749034</v>
      </c>
      <c r="F762" t="s">
        <v>44</v>
      </c>
      <c r="G762" t="s">
        <v>18</v>
      </c>
      <c r="H762" t="s">
        <v>50</v>
      </c>
      <c r="I762">
        <v>3</v>
      </c>
      <c r="J762">
        <v>7711</v>
      </c>
      <c r="K762">
        <v>23133</v>
      </c>
      <c r="L762" t="s">
        <v>63</v>
      </c>
      <c r="M762" t="s">
        <v>93</v>
      </c>
      <c r="N762" t="s">
        <v>69</v>
      </c>
    </row>
    <row r="763" spans="1:14" x14ac:dyDescent="0.25">
      <c r="A763" t="s">
        <v>2327</v>
      </c>
      <c r="B763" s="1">
        <v>45969</v>
      </c>
      <c r="C763" t="s">
        <v>2328</v>
      </c>
      <c r="D763" t="s">
        <v>2329</v>
      </c>
      <c r="E763" s="14">
        <v>923446841664</v>
      </c>
      <c r="F763" t="s">
        <v>92</v>
      </c>
      <c r="G763" t="s">
        <v>18</v>
      </c>
      <c r="H763" t="s">
        <v>50</v>
      </c>
      <c r="I763">
        <v>4</v>
      </c>
      <c r="J763">
        <v>4407</v>
      </c>
      <c r="K763">
        <v>17628</v>
      </c>
      <c r="L763" t="s">
        <v>78</v>
      </c>
      <c r="M763" t="s">
        <v>34</v>
      </c>
      <c r="N763" t="s">
        <v>22</v>
      </c>
    </row>
    <row r="764" spans="1:14" x14ac:dyDescent="0.25">
      <c r="A764" t="s">
        <v>2330</v>
      </c>
      <c r="B764" s="1">
        <v>45899</v>
      </c>
      <c r="C764" t="s">
        <v>2331</v>
      </c>
      <c r="D764" t="s">
        <v>2332</v>
      </c>
      <c r="E764" s="14">
        <v>923076066125</v>
      </c>
      <c r="F764" t="s">
        <v>49</v>
      </c>
      <c r="G764" t="s">
        <v>18</v>
      </c>
      <c r="H764" t="s">
        <v>33</v>
      </c>
      <c r="I764">
        <v>4</v>
      </c>
      <c r="J764">
        <v>6963</v>
      </c>
      <c r="K764">
        <v>27852</v>
      </c>
      <c r="L764" t="s">
        <v>40</v>
      </c>
      <c r="M764" t="s">
        <v>135</v>
      </c>
      <c r="N764" t="s">
        <v>69</v>
      </c>
    </row>
    <row r="765" spans="1:14" x14ac:dyDescent="0.25">
      <c r="A765" t="s">
        <v>2333</v>
      </c>
      <c r="B765" s="1">
        <v>45768</v>
      </c>
      <c r="C765" t="s">
        <v>2334</v>
      </c>
      <c r="D765" t="s">
        <v>2335</v>
      </c>
      <c r="E765" s="14">
        <v>923100035805</v>
      </c>
      <c r="F765" t="s">
        <v>32</v>
      </c>
      <c r="G765" t="s">
        <v>18</v>
      </c>
      <c r="H765" t="s">
        <v>50</v>
      </c>
      <c r="I765">
        <v>3</v>
      </c>
      <c r="J765">
        <v>4383</v>
      </c>
      <c r="K765">
        <v>13149</v>
      </c>
      <c r="L765" t="s">
        <v>20</v>
      </c>
      <c r="M765" t="s">
        <v>135</v>
      </c>
      <c r="N765" t="s">
        <v>28</v>
      </c>
    </row>
    <row r="766" spans="1:14" x14ac:dyDescent="0.25">
      <c r="A766" t="s">
        <v>2336</v>
      </c>
      <c r="B766" s="1">
        <v>45784</v>
      </c>
      <c r="C766" t="s">
        <v>2337</v>
      </c>
      <c r="D766" t="s">
        <v>2338</v>
      </c>
      <c r="E766" s="14">
        <v>923185879505</v>
      </c>
      <c r="F766" t="s">
        <v>67</v>
      </c>
      <c r="G766" t="s">
        <v>18</v>
      </c>
      <c r="H766" t="s">
        <v>39</v>
      </c>
      <c r="I766">
        <v>2</v>
      </c>
      <c r="J766">
        <v>9360</v>
      </c>
      <c r="K766">
        <v>18720</v>
      </c>
      <c r="L766" t="s">
        <v>40</v>
      </c>
      <c r="M766" t="s">
        <v>27</v>
      </c>
      <c r="N766" t="s">
        <v>69</v>
      </c>
    </row>
    <row r="767" spans="1:14" x14ac:dyDescent="0.25">
      <c r="A767" t="s">
        <v>2339</v>
      </c>
      <c r="B767" s="1">
        <v>46024</v>
      </c>
      <c r="C767" t="s">
        <v>2340</v>
      </c>
      <c r="D767" t="s">
        <v>2341</v>
      </c>
      <c r="E767" s="14">
        <v>923200383331</v>
      </c>
      <c r="F767" t="s">
        <v>77</v>
      </c>
      <c r="G767" t="s">
        <v>18</v>
      </c>
      <c r="H767" t="s">
        <v>59</v>
      </c>
      <c r="I767">
        <v>4</v>
      </c>
      <c r="J767">
        <v>1924</v>
      </c>
      <c r="K767">
        <v>7696</v>
      </c>
      <c r="L767" t="s">
        <v>40</v>
      </c>
      <c r="M767" t="s">
        <v>82</v>
      </c>
      <c r="N767" t="s">
        <v>28</v>
      </c>
    </row>
    <row r="768" spans="1:14" x14ac:dyDescent="0.25">
      <c r="A768" t="s">
        <v>2342</v>
      </c>
      <c r="B768" s="1">
        <v>46019</v>
      </c>
      <c r="C768" t="s">
        <v>2343</v>
      </c>
      <c r="D768" t="s">
        <v>2344</v>
      </c>
      <c r="E768" s="14">
        <v>923237467863</v>
      </c>
      <c r="F768" t="s">
        <v>67</v>
      </c>
      <c r="G768" t="s">
        <v>18</v>
      </c>
      <c r="H768" t="s">
        <v>33</v>
      </c>
      <c r="I768">
        <v>5</v>
      </c>
      <c r="J768">
        <v>11889</v>
      </c>
      <c r="K768">
        <v>59445</v>
      </c>
      <c r="L768" t="s">
        <v>40</v>
      </c>
      <c r="M768" t="s">
        <v>55</v>
      </c>
      <c r="N768" t="s">
        <v>69</v>
      </c>
    </row>
    <row r="769" spans="1:14" x14ac:dyDescent="0.25">
      <c r="A769" t="s">
        <v>2345</v>
      </c>
      <c r="B769" s="1">
        <v>46052</v>
      </c>
      <c r="C769" t="s">
        <v>2346</v>
      </c>
      <c r="D769" t="s">
        <v>2347</v>
      </c>
      <c r="E769" s="14">
        <v>923428343742</v>
      </c>
      <c r="F769" t="s">
        <v>32</v>
      </c>
      <c r="G769" t="s">
        <v>18</v>
      </c>
      <c r="H769" t="s">
        <v>73</v>
      </c>
      <c r="I769">
        <v>4</v>
      </c>
      <c r="J769">
        <v>4446</v>
      </c>
      <c r="K769">
        <v>17784</v>
      </c>
      <c r="L769" t="s">
        <v>78</v>
      </c>
      <c r="M769" t="s">
        <v>27</v>
      </c>
      <c r="N769" t="s">
        <v>22</v>
      </c>
    </row>
    <row r="770" spans="1:14" x14ac:dyDescent="0.25">
      <c r="A770" t="s">
        <v>2348</v>
      </c>
      <c r="B770" s="1">
        <v>45754</v>
      </c>
      <c r="C770" t="s">
        <v>2349</v>
      </c>
      <c r="D770" t="s">
        <v>2350</v>
      </c>
      <c r="E770" s="14">
        <v>923470216192</v>
      </c>
      <c r="F770" t="s">
        <v>32</v>
      </c>
      <c r="G770" t="s">
        <v>18</v>
      </c>
      <c r="H770" t="s">
        <v>39</v>
      </c>
      <c r="I770">
        <v>1</v>
      </c>
      <c r="J770">
        <v>4922</v>
      </c>
      <c r="K770">
        <v>4922</v>
      </c>
      <c r="L770" t="s">
        <v>78</v>
      </c>
      <c r="M770" t="s">
        <v>135</v>
      </c>
      <c r="N770" t="s">
        <v>28</v>
      </c>
    </row>
    <row r="771" spans="1:14" x14ac:dyDescent="0.25">
      <c r="A771" t="s">
        <v>2351</v>
      </c>
      <c r="B771" s="1">
        <v>45717</v>
      </c>
      <c r="C771" t="s">
        <v>2352</v>
      </c>
      <c r="D771" t="s">
        <v>2353</v>
      </c>
      <c r="E771" s="14">
        <v>923166230681</v>
      </c>
      <c r="F771" t="s">
        <v>32</v>
      </c>
      <c r="G771" t="s">
        <v>18</v>
      </c>
      <c r="H771" t="s">
        <v>73</v>
      </c>
      <c r="I771">
        <v>2</v>
      </c>
      <c r="J771">
        <v>12134</v>
      </c>
      <c r="K771">
        <v>24268</v>
      </c>
      <c r="L771" t="s">
        <v>68</v>
      </c>
      <c r="M771" t="s">
        <v>34</v>
      </c>
      <c r="N771" t="s">
        <v>69</v>
      </c>
    </row>
    <row r="772" spans="1:14" x14ac:dyDescent="0.25">
      <c r="A772" t="s">
        <v>2354</v>
      </c>
      <c r="B772" s="1">
        <v>45998</v>
      </c>
      <c r="C772" t="s">
        <v>2355</v>
      </c>
      <c r="D772" t="s">
        <v>2356</v>
      </c>
      <c r="E772" s="14">
        <v>923246473245</v>
      </c>
      <c r="F772" t="s">
        <v>44</v>
      </c>
      <c r="G772" t="s">
        <v>18</v>
      </c>
      <c r="H772" t="s">
        <v>39</v>
      </c>
      <c r="I772">
        <v>4</v>
      </c>
      <c r="J772">
        <v>3393</v>
      </c>
      <c r="K772">
        <v>13572</v>
      </c>
      <c r="L772" t="s">
        <v>78</v>
      </c>
      <c r="M772" t="s">
        <v>45</v>
      </c>
      <c r="N772" t="s">
        <v>28</v>
      </c>
    </row>
    <row r="773" spans="1:14" x14ac:dyDescent="0.25">
      <c r="A773" t="s">
        <v>2357</v>
      </c>
      <c r="B773" s="1">
        <v>45853</v>
      </c>
      <c r="C773" t="s">
        <v>2358</v>
      </c>
      <c r="D773" t="s">
        <v>2359</v>
      </c>
      <c r="E773" s="14">
        <v>923234022355</v>
      </c>
      <c r="F773" t="s">
        <v>54</v>
      </c>
      <c r="G773" t="s">
        <v>18</v>
      </c>
      <c r="H773" t="s">
        <v>73</v>
      </c>
      <c r="I773">
        <v>5</v>
      </c>
      <c r="J773">
        <v>12797</v>
      </c>
      <c r="K773">
        <v>63985</v>
      </c>
      <c r="L773" t="s">
        <v>40</v>
      </c>
      <c r="M773" t="s">
        <v>45</v>
      </c>
      <c r="N773" t="s">
        <v>35</v>
      </c>
    </row>
    <row r="774" spans="1:14" x14ac:dyDescent="0.25">
      <c r="A774" t="s">
        <v>2360</v>
      </c>
      <c r="B774" s="1">
        <v>45852</v>
      </c>
      <c r="C774" t="s">
        <v>2361</v>
      </c>
      <c r="D774" t="s">
        <v>2362</v>
      </c>
      <c r="E774" s="14">
        <v>923135303498</v>
      </c>
      <c r="F774" t="s">
        <v>77</v>
      </c>
      <c r="G774" t="s">
        <v>18</v>
      </c>
      <c r="H774" t="s">
        <v>39</v>
      </c>
      <c r="I774">
        <v>5</v>
      </c>
      <c r="J774">
        <v>13706</v>
      </c>
      <c r="K774">
        <v>68530</v>
      </c>
      <c r="L774" t="s">
        <v>68</v>
      </c>
      <c r="M774" t="s">
        <v>82</v>
      </c>
      <c r="N774" t="s">
        <v>69</v>
      </c>
    </row>
    <row r="775" spans="1:14" x14ac:dyDescent="0.25">
      <c r="A775" t="s">
        <v>2363</v>
      </c>
      <c r="B775" s="1">
        <v>45836</v>
      </c>
      <c r="C775" t="s">
        <v>2364</v>
      </c>
      <c r="D775" t="s">
        <v>2365</v>
      </c>
      <c r="E775" s="14">
        <v>923237675132</v>
      </c>
      <c r="F775" t="s">
        <v>106</v>
      </c>
      <c r="G775" t="s">
        <v>18</v>
      </c>
      <c r="H775" t="s">
        <v>73</v>
      </c>
      <c r="I775">
        <v>5</v>
      </c>
      <c r="J775">
        <v>10592</v>
      </c>
      <c r="K775">
        <v>52960</v>
      </c>
      <c r="L775" t="s">
        <v>63</v>
      </c>
      <c r="M775" t="s">
        <v>135</v>
      </c>
      <c r="N775" t="s">
        <v>28</v>
      </c>
    </row>
    <row r="776" spans="1:14" x14ac:dyDescent="0.25">
      <c r="A776" t="s">
        <v>2366</v>
      </c>
      <c r="B776" s="1">
        <v>45965</v>
      </c>
      <c r="C776" t="s">
        <v>2367</v>
      </c>
      <c r="D776" t="s">
        <v>2368</v>
      </c>
      <c r="E776" s="14">
        <v>923181569396</v>
      </c>
      <c r="F776" t="s">
        <v>32</v>
      </c>
      <c r="G776" t="s">
        <v>18</v>
      </c>
      <c r="H776" t="s">
        <v>39</v>
      </c>
      <c r="I776">
        <v>5</v>
      </c>
      <c r="J776">
        <v>3423</v>
      </c>
      <c r="K776">
        <v>17115</v>
      </c>
      <c r="L776" t="s">
        <v>78</v>
      </c>
      <c r="M776" t="s">
        <v>34</v>
      </c>
      <c r="N776" t="s">
        <v>22</v>
      </c>
    </row>
    <row r="777" spans="1:14" x14ac:dyDescent="0.25">
      <c r="A777" t="s">
        <v>2369</v>
      </c>
      <c r="B777" s="1">
        <v>45897</v>
      </c>
      <c r="C777" t="s">
        <v>2370</v>
      </c>
      <c r="D777" t="s">
        <v>2371</v>
      </c>
      <c r="E777" s="14">
        <v>923215208139</v>
      </c>
      <c r="F777" t="s">
        <v>44</v>
      </c>
      <c r="G777" t="s">
        <v>18</v>
      </c>
      <c r="H777" t="s">
        <v>19</v>
      </c>
      <c r="I777">
        <v>5</v>
      </c>
      <c r="J777">
        <v>6002</v>
      </c>
      <c r="K777">
        <v>30010</v>
      </c>
      <c r="L777" t="s">
        <v>20</v>
      </c>
      <c r="M777" t="s">
        <v>21</v>
      </c>
      <c r="N777" t="s">
        <v>69</v>
      </c>
    </row>
    <row r="778" spans="1:14" x14ac:dyDescent="0.25">
      <c r="A778" t="s">
        <v>2372</v>
      </c>
      <c r="B778" s="1">
        <v>45822</v>
      </c>
      <c r="C778" t="s">
        <v>2373</v>
      </c>
      <c r="D778" t="s">
        <v>2374</v>
      </c>
      <c r="E778" s="14">
        <v>923461928801</v>
      </c>
      <c r="F778" t="s">
        <v>92</v>
      </c>
      <c r="G778" t="s">
        <v>18</v>
      </c>
      <c r="H778" t="s">
        <v>50</v>
      </c>
      <c r="I778">
        <v>4</v>
      </c>
      <c r="J778">
        <v>4388</v>
      </c>
      <c r="K778">
        <v>17552</v>
      </c>
      <c r="L778" t="s">
        <v>78</v>
      </c>
      <c r="M778" t="s">
        <v>45</v>
      </c>
      <c r="N778" t="s">
        <v>22</v>
      </c>
    </row>
    <row r="779" spans="1:14" x14ac:dyDescent="0.25">
      <c r="A779" t="s">
        <v>2375</v>
      </c>
      <c r="B779" s="1">
        <v>46025</v>
      </c>
      <c r="C779" t="s">
        <v>706</v>
      </c>
      <c r="D779" t="s">
        <v>2376</v>
      </c>
      <c r="E779" s="14">
        <v>923356728171</v>
      </c>
      <c r="F779" t="s">
        <v>49</v>
      </c>
      <c r="G779" t="s">
        <v>18</v>
      </c>
      <c r="H779" t="s">
        <v>50</v>
      </c>
      <c r="I779">
        <v>4</v>
      </c>
      <c r="J779">
        <v>10316</v>
      </c>
      <c r="K779">
        <v>41264</v>
      </c>
      <c r="L779" t="s">
        <v>68</v>
      </c>
      <c r="M779" t="s">
        <v>135</v>
      </c>
      <c r="N779" t="s">
        <v>22</v>
      </c>
    </row>
    <row r="780" spans="1:14" x14ac:dyDescent="0.25">
      <c r="A780" t="s">
        <v>2377</v>
      </c>
      <c r="B780" s="1">
        <v>45815</v>
      </c>
      <c r="C780" t="s">
        <v>2378</v>
      </c>
      <c r="D780" t="s">
        <v>2379</v>
      </c>
      <c r="E780" s="14">
        <v>923494023665</v>
      </c>
      <c r="F780" t="s">
        <v>44</v>
      </c>
      <c r="G780" t="s">
        <v>18</v>
      </c>
      <c r="H780" t="s">
        <v>39</v>
      </c>
      <c r="I780">
        <v>4</v>
      </c>
      <c r="J780">
        <v>9550</v>
      </c>
      <c r="K780">
        <v>38200</v>
      </c>
      <c r="L780" t="s">
        <v>78</v>
      </c>
      <c r="M780" t="s">
        <v>21</v>
      </c>
      <c r="N780" t="s">
        <v>35</v>
      </c>
    </row>
    <row r="781" spans="1:14" x14ac:dyDescent="0.25">
      <c r="A781" t="s">
        <v>2380</v>
      </c>
      <c r="B781" s="1">
        <v>45917</v>
      </c>
      <c r="C781" t="s">
        <v>2381</v>
      </c>
      <c r="D781" t="s">
        <v>2382</v>
      </c>
      <c r="E781" s="14">
        <v>923141558376</v>
      </c>
      <c r="F781" t="s">
        <v>44</v>
      </c>
      <c r="G781" t="s">
        <v>18</v>
      </c>
      <c r="H781" t="s">
        <v>73</v>
      </c>
      <c r="I781">
        <v>2</v>
      </c>
      <c r="J781">
        <v>10253</v>
      </c>
      <c r="K781">
        <v>20506</v>
      </c>
      <c r="L781" t="s">
        <v>68</v>
      </c>
      <c r="M781" t="s">
        <v>27</v>
      </c>
      <c r="N781" t="s">
        <v>69</v>
      </c>
    </row>
    <row r="782" spans="1:14" x14ac:dyDescent="0.25">
      <c r="A782" t="s">
        <v>2383</v>
      </c>
      <c r="B782" s="1">
        <v>45729</v>
      </c>
      <c r="C782" t="s">
        <v>2384</v>
      </c>
      <c r="D782" t="s">
        <v>2385</v>
      </c>
      <c r="E782" s="14">
        <v>923201307121</v>
      </c>
      <c r="F782" t="s">
        <v>49</v>
      </c>
      <c r="G782" t="s">
        <v>18</v>
      </c>
      <c r="H782" t="s">
        <v>73</v>
      </c>
      <c r="I782">
        <v>3</v>
      </c>
      <c r="J782">
        <v>6486</v>
      </c>
      <c r="K782">
        <v>19458</v>
      </c>
      <c r="L782" t="s">
        <v>63</v>
      </c>
      <c r="M782" t="s">
        <v>27</v>
      </c>
      <c r="N782" t="s">
        <v>69</v>
      </c>
    </row>
    <row r="783" spans="1:14" x14ac:dyDescent="0.25">
      <c r="A783" t="s">
        <v>2386</v>
      </c>
      <c r="B783" s="1">
        <v>45751</v>
      </c>
      <c r="C783" t="s">
        <v>2387</v>
      </c>
      <c r="D783" t="s">
        <v>2388</v>
      </c>
      <c r="E783" s="14">
        <v>923274879015</v>
      </c>
      <c r="F783" t="s">
        <v>106</v>
      </c>
      <c r="G783" t="s">
        <v>18</v>
      </c>
      <c r="H783" t="s">
        <v>50</v>
      </c>
      <c r="I783">
        <v>1</v>
      </c>
      <c r="J783">
        <v>5671</v>
      </c>
      <c r="K783">
        <v>5671</v>
      </c>
      <c r="L783" t="s">
        <v>63</v>
      </c>
      <c r="M783" t="s">
        <v>135</v>
      </c>
      <c r="N783" t="s">
        <v>28</v>
      </c>
    </row>
    <row r="784" spans="1:14" x14ac:dyDescent="0.25">
      <c r="A784" t="s">
        <v>2389</v>
      </c>
      <c r="B784" s="1">
        <v>45782</v>
      </c>
      <c r="C784" t="s">
        <v>2390</v>
      </c>
      <c r="D784" t="s">
        <v>2391</v>
      </c>
      <c r="E784" s="14">
        <v>923000891803</v>
      </c>
      <c r="F784" t="s">
        <v>122</v>
      </c>
      <c r="G784" t="s">
        <v>18</v>
      </c>
      <c r="H784" t="s">
        <v>39</v>
      </c>
      <c r="I784">
        <v>3</v>
      </c>
      <c r="J784">
        <v>13742</v>
      </c>
      <c r="K784">
        <v>41226</v>
      </c>
      <c r="L784" t="s">
        <v>20</v>
      </c>
      <c r="M784" t="s">
        <v>27</v>
      </c>
      <c r="N784" t="s">
        <v>69</v>
      </c>
    </row>
    <row r="785" spans="1:14" x14ac:dyDescent="0.25">
      <c r="A785" t="s">
        <v>2392</v>
      </c>
      <c r="B785" s="1">
        <v>45781</v>
      </c>
      <c r="C785" t="s">
        <v>2393</v>
      </c>
      <c r="D785" t="s">
        <v>2394</v>
      </c>
      <c r="E785" s="14">
        <v>923395671190</v>
      </c>
      <c r="F785" t="s">
        <v>54</v>
      </c>
      <c r="G785" t="s">
        <v>18</v>
      </c>
      <c r="H785" t="s">
        <v>50</v>
      </c>
      <c r="I785">
        <v>3</v>
      </c>
      <c r="J785">
        <v>6093</v>
      </c>
      <c r="K785">
        <v>18279</v>
      </c>
      <c r="L785" t="s">
        <v>68</v>
      </c>
      <c r="M785" t="s">
        <v>55</v>
      </c>
      <c r="N785" t="s">
        <v>35</v>
      </c>
    </row>
    <row r="786" spans="1:14" x14ac:dyDescent="0.25">
      <c r="A786" t="s">
        <v>2395</v>
      </c>
      <c r="B786" s="1">
        <v>45713</v>
      </c>
      <c r="C786" t="s">
        <v>2396</v>
      </c>
      <c r="D786" t="s">
        <v>2397</v>
      </c>
      <c r="E786" s="14">
        <v>923426724850</v>
      </c>
      <c r="F786" t="s">
        <v>49</v>
      </c>
      <c r="G786" t="s">
        <v>18</v>
      </c>
      <c r="H786" t="s">
        <v>50</v>
      </c>
      <c r="I786">
        <v>5</v>
      </c>
      <c r="J786">
        <v>6078</v>
      </c>
      <c r="K786">
        <v>30390</v>
      </c>
      <c r="L786" t="s">
        <v>40</v>
      </c>
      <c r="M786" t="s">
        <v>93</v>
      </c>
      <c r="N786" t="s">
        <v>28</v>
      </c>
    </row>
    <row r="787" spans="1:14" x14ac:dyDescent="0.25">
      <c r="A787" t="s">
        <v>2398</v>
      </c>
      <c r="B787" s="1">
        <v>46007</v>
      </c>
      <c r="C787" t="s">
        <v>2399</v>
      </c>
      <c r="D787" t="s">
        <v>2400</v>
      </c>
      <c r="E787" s="14">
        <v>923052247861</v>
      </c>
      <c r="F787" t="s">
        <v>17</v>
      </c>
      <c r="G787" t="s">
        <v>18</v>
      </c>
      <c r="H787" t="s">
        <v>19</v>
      </c>
      <c r="I787">
        <v>3</v>
      </c>
      <c r="J787">
        <v>3220</v>
      </c>
      <c r="K787">
        <v>9660</v>
      </c>
      <c r="L787" t="s">
        <v>78</v>
      </c>
      <c r="M787" t="s">
        <v>27</v>
      </c>
      <c r="N787" t="s">
        <v>28</v>
      </c>
    </row>
    <row r="788" spans="1:14" x14ac:dyDescent="0.25">
      <c r="A788" t="s">
        <v>2401</v>
      </c>
      <c r="B788" s="1">
        <v>45755</v>
      </c>
      <c r="C788" t="s">
        <v>2402</v>
      </c>
      <c r="D788" t="s">
        <v>2403</v>
      </c>
      <c r="E788" s="14">
        <v>923351513795</v>
      </c>
      <c r="F788" t="s">
        <v>32</v>
      </c>
      <c r="G788" t="s">
        <v>18</v>
      </c>
      <c r="H788" t="s">
        <v>33</v>
      </c>
      <c r="I788">
        <v>3</v>
      </c>
      <c r="J788">
        <v>6679</v>
      </c>
      <c r="K788">
        <v>20037</v>
      </c>
      <c r="L788" t="s">
        <v>26</v>
      </c>
      <c r="M788" t="s">
        <v>55</v>
      </c>
      <c r="N788" t="s">
        <v>22</v>
      </c>
    </row>
    <row r="789" spans="1:14" x14ac:dyDescent="0.25">
      <c r="A789" t="s">
        <v>2404</v>
      </c>
      <c r="B789" s="1">
        <v>45996</v>
      </c>
      <c r="C789" t="s">
        <v>2405</v>
      </c>
      <c r="D789" t="s">
        <v>2406</v>
      </c>
      <c r="E789" s="14">
        <v>923491883338</v>
      </c>
      <c r="F789" t="s">
        <v>92</v>
      </c>
      <c r="G789" t="s">
        <v>18</v>
      </c>
      <c r="H789" t="s">
        <v>33</v>
      </c>
      <c r="I789">
        <v>2</v>
      </c>
      <c r="J789">
        <v>3590</v>
      </c>
      <c r="K789">
        <v>7180</v>
      </c>
      <c r="L789" t="s">
        <v>40</v>
      </c>
      <c r="M789" t="s">
        <v>34</v>
      </c>
      <c r="N789" t="s">
        <v>22</v>
      </c>
    </row>
    <row r="790" spans="1:14" x14ac:dyDescent="0.25">
      <c r="A790" t="s">
        <v>2407</v>
      </c>
      <c r="B790" s="1">
        <v>45947</v>
      </c>
      <c r="C790" t="s">
        <v>2408</v>
      </c>
      <c r="D790" t="s">
        <v>2409</v>
      </c>
      <c r="E790" s="14">
        <v>923417607814</v>
      </c>
      <c r="F790" t="s">
        <v>77</v>
      </c>
      <c r="G790" t="s">
        <v>18</v>
      </c>
      <c r="H790" t="s">
        <v>39</v>
      </c>
      <c r="I790">
        <v>1</v>
      </c>
      <c r="J790">
        <v>1154</v>
      </c>
      <c r="K790">
        <v>1154</v>
      </c>
      <c r="L790" t="s">
        <v>40</v>
      </c>
      <c r="M790" t="s">
        <v>93</v>
      </c>
      <c r="N790" t="s">
        <v>22</v>
      </c>
    </row>
    <row r="791" spans="1:14" x14ac:dyDescent="0.25">
      <c r="A791" t="s">
        <v>2410</v>
      </c>
      <c r="B791" s="1">
        <v>45787</v>
      </c>
      <c r="C791" t="s">
        <v>2411</v>
      </c>
      <c r="D791" t="s">
        <v>2412</v>
      </c>
      <c r="E791" s="14">
        <v>923128253075</v>
      </c>
      <c r="F791" t="s">
        <v>49</v>
      </c>
      <c r="G791" t="s">
        <v>18</v>
      </c>
      <c r="H791" t="s">
        <v>33</v>
      </c>
      <c r="I791">
        <v>2</v>
      </c>
      <c r="J791">
        <v>2513</v>
      </c>
      <c r="K791">
        <v>5026</v>
      </c>
      <c r="L791" t="s">
        <v>26</v>
      </c>
      <c r="M791" t="s">
        <v>21</v>
      </c>
      <c r="N791" t="s">
        <v>69</v>
      </c>
    </row>
    <row r="792" spans="1:14" x14ac:dyDescent="0.25">
      <c r="A792" t="s">
        <v>2413</v>
      </c>
      <c r="B792" s="1">
        <v>45915</v>
      </c>
      <c r="C792" t="s">
        <v>2414</v>
      </c>
      <c r="D792" t="s">
        <v>2415</v>
      </c>
      <c r="E792" s="14">
        <v>923088190101</v>
      </c>
      <c r="F792" t="s">
        <v>122</v>
      </c>
      <c r="G792" t="s">
        <v>18</v>
      </c>
      <c r="H792" t="s">
        <v>39</v>
      </c>
      <c r="I792">
        <v>3</v>
      </c>
      <c r="J792">
        <v>10410</v>
      </c>
      <c r="K792">
        <v>31230</v>
      </c>
      <c r="L792" t="s">
        <v>78</v>
      </c>
      <c r="M792" t="s">
        <v>21</v>
      </c>
      <c r="N792" t="s">
        <v>22</v>
      </c>
    </row>
    <row r="793" spans="1:14" x14ac:dyDescent="0.25">
      <c r="A793" t="s">
        <v>2416</v>
      </c>
      <c r="B793" s="1">
        <v>45991</v>
      </c>
      <c r="C793" t="s">
        <v>2417</v>
      </c>
      <c r="D793" t="s">
        <v>2418</v>
      </c>
      <c r="E793" s="14">
        <v>923295779476</v>
      </c>
      <c r="F793" t="s">
        <v>122</v>
      </c>
      <c r="G793" t="s">
        <v>18</v>
      </c>
      <c r="H793" t="s">
        <v>33</v>
      </c>
      <c r="I793">
        <v>3</v>
      </c>
      <c r="J793">
        <v>8471</v>
      </c>
      <c r="K793">
        <v>25413</v>
      </c>
      <c r="L793" t="s">
        <v>63</v>
      </c>
      <c r="M793" t="s">
        <v>55</v>
      </c>
      <c r="N793" t="s">
        <v>28</v>
      </c>
    </row>
    <row r="794" spans="1:14" x14ac:dyDescent="0.25">
      <c r="A794" t="s">
        <v>2419</v>
      </c>
      <c r="B794" s="1">
        <v>45974</v>
      </c>
      <c r="C794" t="s">
        <v>2420</v>
      </c>
      <c r="D794" t="s">
        <v>2421</v>
      </c>
      <c r="E794" s="14">
        <v>923199781493</v>
      </c>
      <c r="F794" t="s">
        <v>67</v>
      </c>
      <c r="G794" t="s">
        <v>18</v>
      </c>
      <c r="H794" t="s">
        <v>59</v>
      </c>
      <c r="I794">
        <v>1</v>
      </c>
      <c r="J794">
        <v>4290</v>
      </c>
      <c r="K794">
        <v>4290</v>
      </c>
      <c r="L794" t="s">
        <v>20</v>
      </c>
      <c r="M794" t="s">
        <v>27</v>
      </c>
      <c r="N794" t="s">
        <v>22</v>
      </c>
    </row>
    <row r="795" spans="1:14" x14ac:dyDescent="0.25">
      <c r="A795" t="s">
        <v>2422</v>
      </c>
      <c r="B795" s="1">
        <v>45761</v>
      </c>
      <c r="C795" t="s">
        <v>2423</v>
      </c>
      <c r="D795" t="s">
        <v>2424</v>
      </c>
      <c r="E795" s="14">
        <v>923383095715</v>
      </c>
      <c r="F795" t="s">
        <v>54</v>
      </c>
      <c r="G795" t="s">
        <v>18</v>
      </c>
      <c r="H795" t="s">
        <v>73</v>
      </c>
      <c r="I795">
        <v>2</v>
      </c>
      <c r="J795">
        <v>12695</v>
      </c>
      <c r="K795">
        <v>25390</v>
      </c>
      <c r="L795" t="s">
        <v>20</v>
      </c>
      <c r="M795" t="s">
        <v>21</v>
      </c>
      <c r="N795" t="s">
        <v>22</v>
      </c>
    </row>
    <row r="796" spans="1:14" x14ac:dyDescent="0.25">
      <c r="A796" t="s">
        <v>2425</v>
      </c>
      <c r="B796" s="1">
        <v>45851</v>
      </c>
      <c r="C796" t="s">
        <v>2426</v>
      </c>
      <c r="D796" t="s">
        <v>2427</v>
      </c>
      <c r="E796" s="14">
        <v>923049627799</v>
      </c>
      <c r="F796" t="s">
        <v>77</v>
      </c>
      <c r="G796" t="s">
        <v>18</v>
      </c>
      <c r="H796" t="s">
        <v>73</v>
      </c>
      <c r="I796">
        <v>2</v>
      </c>
      <c r="J796">
        <v>3152</v>
      </c>
      <c r="K796">
        <v>6304</v>
      </c>
      <c r="L796" t="s">
        <v>40</v>
      </c>
      <c r="M796" t="s">
        <v>45</v>
      </c>
      <c r="N796" t="s">
        <v>28</v>
      </c>
    </row>
    <row r="797" spans="1:14" x14ac:dyDescent="0.25">
      <c r="A797" t="s">
        <v>2428</v>
      </c>
      <c r="B797" s="1">
        <v>46052</v>
      </c>
      <c r="C797" t="s">
        <v>2429</v>
      </c>
      <c r="D797" t="s">
        <v>2430</v>
      </c>
      <c r="E797" s="14">
        <v>923368527116</v>
      </c>
      <c r="F797" t="s">
        <v>32</v>
      </c>
      <c r="G797" t="s">
        <v>18</v>
      </c>
      <c r="H797" t="s">
        <v>19</v>
      </c>
      <c r="I797">
        <v>5</v>
      </c>
      <c r="J797">
        <v>13087</v>
      </c>
      <c r="K797">
        <v>65435</v>
      </c>
      <c r="L797" t="s">
        <v>26</v>
      </c>
      <c r="M797" t="s">
        <v>55</v>
      </c>
      <c r="N797" t="s">
        <v>28</v>
      </c>
    </row>
    <row r="798" spans="1:14" x14ac:dyDescent="0.25">
      <c r="A798" t="s">
        <v>2431</v>
      </c>
      <c r="B798" s="1">
        <v>45857</v>
      </c>
      <c r="C798" t="s">
        <v>2432</v>
      </c>
      <c r="D798" t="s">
        <v>2433</v>
      </c>
      <c r="E798" s="14">
        <v>923324350401</v>
      </c>
      <c r="F798" t="s">
        <v>49</v>
      </c>
      <c r="G798" t="s">
        <v>18</v>
      </c>
      <c r="H798" t="s">
        <v>39</v>
      </c>
      <c r="I798">
        <v>1</v>
      </c>
      <c r="J798">
        <v>11275</v>
      </c>
      <c r="K798">
        <v>11275</v>
      </c>
      <c r="L798" t="s">
        <v>68</v>
      </c>
      <c r="M798" t="s">
        <v>27</v>
      </c>
      <c r="N798" t="s">
        <v>22</v>
      </c>
    </row>
    <row r="799" spans="1:14" x14ac:dyDescent="0.25">
      <c r="A799" t="s">
        <v>2434</v>
      </c>
      <c r="B799" s="1">
        <v>45794</v>
      </c>
      <c r="C799" t="s">
        <v>2435</v>
      </c>
      <c r="D799" t="s">
        <v>2436</v>
      </c>
      <c r="E799" s="14">
        <v>923000261389</v>
      </c>
      <c r="F799" t="s">
        <v>106</v>
      </c>
      <c r="G799" t="s">
        <v>18</v>
      </c>
      <c r="H799" t="s">
        <v>19</v>
      </c>
      <c r="I799">
        <v>1</v>
      </c>
      <c r="J799">
        <v>12662</v>
      </c>
      <c r="K799">
        <v>12662</v>
      </c>
      <c r="L799" t="s">
        <v>78</v>
      </c>
      <c r="M799" t="s">
        <v>45</v>
      </c>
      <c r="N799" t="s">
        <v>22</v>
      </c>
    </row>
    <row r="800" spans="1:14" x14ac:dyDescent="0.25">
      <c r="A800" t="s">
        <v>2437</v>
      </c>
      <c r="B800" s="1">
        <v>45710</v>
      </c>
      <c r="C800" t="s">
        <v>2438</v>
      </c>
      <c r="D800" t="s">
        <v>2439</v>
      </c>
      <c r="E800" s="14">
        <v>923382454708</v>
      </c>
      <c r="F800" t="s">
        <v>122</v>
      </c>
      <c r="G800" t="s">
        <v>18</v>
      </c>
      <c r="H800" t="s">
        <v>73</v>
      </c>
      <c r="I800">
        <v>2</v>
      </c>
      <c r="J800">
        <v>5467</v>
      </c>
      <c r="K800">
        <v>10934</v>
      </c>
      <c r="L800" t="s">
        <v>63</v>
      </c>
      <c r="M800" t="s">
        <v>82</v>
      </c>
      <c r="N800" t="s">
        <v>22</v>
      </c>
    </row>
    <row r="801" spans="1:14" x14ac:dyDescent="0.25">
      <c r="A801" t="s">
        <v>2440</v>
      </c>
      <c r="B801" s="1">
        <v>46061</v>
      </c>
      <c r="C801" t="s">
        <v>2441</v>
      </c>
      <c r="D801" t="s">
        <v>2442</v>
      </c>
      <c r="E801" s="14">
        <v>923014812199</v>
      </c>
      <c r="F801" t="s">
        <v>92</v>
      </c>
      <c r="G801" t="s">
        <v>18</v>
      </c>
      <c r="H801" t="s">
        <v>39</v>
      </c>
      <c r="I801">
        <v>3</v>
      </c>
      <c r="J801">
        <v>8066</v>
      </c>
      <c r="K801">
        <v>24198</v>
      </c>
      <c r="L801" t="s">
        <v>20</v>
      </c>
      <c r="M801" t="s">
        <v>55</v>
      </c>
      <c r="N801" t="s">
        <v>28</v>
      </c>
    </row>
    <row r="802" spans="1:14" x14ac:dyDescent="0.25">
      <c r="A802" t="s">
        <v>2443</v>
      </c>
      <c r="B802" s="1">
        <v>45914</v>
      </c>
      <c r="C802" t="s">
        <v>2444</v>
      </c>
      <c r="D802" t="s">
        <v>2445</v>
      </c>
      <c r="E802" s="14">
        <v>923014180127</v>
      </c>
      <c r="F802" t="s">
        <v>92</v>
      </c>
      <c r="G802" t="s">
        <v>18</v>
      </c>
      <c r="H802" t="s">
        <v>33</v>
      </c>
      <c r="I802">
        <v>3</v>
      </c>
      <c r="J802">
        <v>1317</v>
      </c>
      <c r="K802">
        <v>3951</v>
      </c>
      <c r="L802" t="s">
        <v>40</v>
      </c>
      <c r="M802" t="s">
        <v>27</v>
      </c>
      <c r="N802" t="s">
        <v>28</v>
      </c>
    </row>
    <row r="803" spans="1:14" x14ac:dyDescent="0.25">
      <c r="A803" t="s">
        <v>2446</v>
      </c>
      <c r="B803" s="1">
        <v>45840</v>
      </c>
      <c r="C803" t="s">
        <v>2447</v>
      </c>
      <c r="D803" t="s">
        <v>2448</v>
      </c>
      <c r="E803" s="14">
        <v>923053772772</v>
      </c>
      <c r="F803" t="s">
        <v>106</v>
      </c>
      <c r="G803" t="s">
        <v>18</v>
      </c>
      <c r="H803" t="s">
        <v>33</v>
      </c>
      <c r="I803">
        <v>5</v>
      </c>
      <c r="J803">
        <v>9098</v>
      </c>
      <c r="K803">
        <v>45490</v>
      </c>
      <c r="L803" t="s">
        <v>26</v>
      </c>
      <c r="M803" t="s">
        <v>55</v>
      </c>
      <c r="N803" t="s">
        <v>28</v>
      </c>
    </row>
    <row r="804" spans="1:14" x14ac:dyDescent="0.25">
      <c r="A804" t="s">
        <v>2449</v>
      </c>
      <c r="B804" s="1">
        <v>45880</v>
      </c>
      <c r="C804" t="s">
        <v>2450</v>
      </c>
      <c r="D804" t="s">
        <v>2451</v>
      </c>
      <c r="E804" s="14">
        <v>923450125649</v>
      </c>
      <c r="F804" t="s">
        <v>122</v>
      </c>
      <c r="G804" t="s">
        <v>18</v>
      </c>
      <c r="H804" t="s">
        <v>33</v>
      </c>
      <c r="I804">
        <v>5</v>
      </c>
      <c r="J804">
        <v>7027</v>
      </c>
      <c r="K804">
        <v>35135</v>
      </c>
      <c r="L804" t="s">
        <v>26</v>
      </c>
      <c r="M804" t="s">
        <v>27</v>
      </c>
      <c r="N804" t="s">
        <v>35</v>
      </c>
    </row>
    <row r="805" spans="1:14" x14ac:dyDescent="0.25">
      <c r="A805" t="s">
        <v>2452</v>
      </c>
      <c r="B805" s="1">
        <v>45843</v>
      </c>
      <c r="C805" t="s">
        <v>2453</v>
      </c>
      <c r="D805" t="s">
        <v>2454</v>
      </c>
      <c r="E805" s="14">
        <v>923397606018</v>
      </c>
      <c r="F805" t="s">
        <v>32</v>
      </c>
      <c r="G805" t="s">
        <v>18</v>
      </c>
      <c r="H805" t="s">
        <v>39</v>
      </c>
      <c r="I805">
        <v>5</v>
      </c>
      <c r="J805">
        <v>2296</v>
      </c>
      <c r="K805">
        <v>11480</v>
      </c>
      <c r="L805" t="s">
        <v>63</v>
      </c>
      <c r="M805" t="s">
        <v>82</v>
      </c>
      <c r="N805" t="s">
        <v>28</v>
      </c>
    </row>
    <row r="806" spans="1:14" x14ac:dyDescent="0.25">
      <c r="A806" t="s">
        <v>2455</v>
      </c>
      <c r="B806" s="1">
        <v>45841</v>
      </c>
      <c r="C806" t="s">
        <v>2456</v>
      </c>
      <c r="D806" t="s">
        <v>2457</v>
      </c>
      <c r="E806" s="14">
        <v>923386149668</v>
      </c>
      <c r="F806" t="s">
        <v>54</v>
      </c>
      <c r="G806" t="s">
        <v>18</v>
      </c>
      <c r="H806" t="s">
        <v>19</v>
      </c>
      <c r="I806">
        <v>5</v>
      </c>
      <c r="J806">
        <v>5325</v>
      </c>
      <c r="K806">
        <v>26625</v>
      </c>
      <c r="L806" t="s">
        <v>68</v>
      </c>
      <c r="M806" t="s">
        <v>34</v>
      </c>
      <c r="N806" t="s">
        <v>35</v>
      </c>
    </row>
    <row r="807" spans="1:14" x14ac:dyDescent="0.25">
      <c r="A807" t="s">
        <v>2458</v>
      </c>
      <c r="B807" s="1">
        <v>45841</v>
      </c>
      <c r="C807" t="s">
        <v>2459</v>
      </c>
      <c r="D807" t="s">
        <v>2460</v>
      </c>
      <c r="E807" s="14">
        <v>923004044114</v>
      </c>
      <c r="F807" t="s">
        <v>17</v>
      </c>
      <c r="G807" t="s">
        <v>18</v>
      </c>
      <c r="H807" t="s">
        <v>33</v>
      </c>
      <c r="I807">
        <v>4</v>
      </c>
      <c r="J807">
        <v>2403</v>
      </c>
      <c r="K807">
        <v>9612</v>
      </c>
      <c r="L807" t="s">
        <v>26</v>
      </c>
      <c r="M807" t="s">
        <v>27</v>
      </c>
      <c r="N807" t="s">
        <v>28</v>
      </c>
    </row>
    <row r="808" spans="1:14" x14ac:dyDescent="0.25">
      <c r="A808" t="s">
        <v>2461</v>
      </c>
      <c r="B808" s="1">
        <v>45851</v>
      </c>
      <c r="C808" t="s">
        <v>2462</v>
      </c>
      <c r="D808" t="s">
        <v>2463</v>
      </c>
      <c r="E808" s="14">
        <v>923376297236</v>
      </c>
      <c r="F808" t="s">
        <v>32</v>
      </c>
      <c r="G808" t="s">
        <v>18</v>
      </c>
      <c r="H808" t="s">
        <v>59</v>
      </c>
      <c r="I808">
        <v>3</v>
      </c>
      <c r="J808">
        <v>12970</v>
      </c>
      <c r="K808">
        <v>38910</v>
      </c>
      <c r="L808" t="s">
        <v>63</v>
      </c>
      <c r="M808" t="s">
        <v>21</v>
      </c>
      <c r="N808" t="s">
        <v>69</v>
      </c>
    </row>
    <row r="809" spans="1:14" x14ac:dyDescent="0.25">
      <c r="A809" t="s">
        <v>2464</v>
      </c>
      <c r="B809" s="1">
        <v>46033</v>
      </c>
      <c r="C809" t="s">
        <v>2465</v>
      </c>
      <c r="D809" t="s">
        <v>2466</v>
      </c>
      <c r="E809" s="14">
        <v>923193532473</v>
      </c>
      <c r="F809" t="s">
        <v>77</v>
      </c>
      <c r="G809" t="s">
        <v>18</v>
      </c>
      <c r="H809" t="s">
        <v>73</v>
      </c>
      <c r="I809">
        <v>5</v>
      </c>
      <c r="J809">
        <v>4540</v>
      </c>
      <c r="K809">
        <v>22700</v>
      </c>
      <c r="L809" t="s">
        <v>78</v>
      </c>
      <c r="M809" t="s">
        <v>21</v>
      </c>
      <c r="N809" t="s">
        <v>69</v>
      </c>
    </row>
    <row r="810" spans="1:14" x14ac:dyDescent="0.25">
      <c r="A810" t="s">
        <v>2467</v>
      </c>
      <c r="B810" s="1">
        <v>45960</v>
      </c>
      <c r="C810" t="s">
        <v>2468</v>
      </c>
      <c r="D810" t="s">
        <v>2469</v>
      </c>
      <c r="E810" s="14">
        <v>923174691126</v>
      </c>
      <c r="F810" t="s">
        <v>49</v>
      </c>
      <c r="G810" t="s">
        <v>18</v>
      </c>
      <c r="H810" t="s">
        <v>19</v>
      </c>
      <c r="I810">
        <v>4</v>
      </c>
      <c r="J810">
        <v>9214</v>
      </c>
      <c r="K810">
        <v>36856</v>
      </c>
      <c r="L810" t="s">
        <v>78</v>
      </c>
      <c r="M810" t="s">
        <v>45</v>
      </c>
      <c r="N810" t="s">
        <v>69</v>
      </c>
    </row>
    <row r="811" spans="1:14" x14ac:dyDescent="0.25">
      <c r="A811" t="s">
        <v>2470</v>
      </c>
      <c r="B811" s="1">
        <v>45966</v>
      </c>
      <c r="C811" t="s">
        <v>2471</v>
      </c>
      <c r="D811" t="s">
        <v>2472</v>
      </c>
      <c r="E811" s="14">
        <v>923127850201</v>
      </c>
      <c r="F811" t="s">
        <v>32</v>
      </c>
      <c r="G811" t="s">
        <v>18</v>
      </c>
      <c r="H811" t="s">
        <v>39</v>
      </c>
      <c r="I811">
        <v>3</v>
      </c>
      <c r="J811">
        <v>7838</v>
      </c>
      <c r="K811">
        <v>23514</v>
      </c>
      <c r="L811" t="s">
        <v>78</v>
      </c>
      <c r="M811" t="s">
        <v>135</v>
      </c>
      <c r="N811" t="s">
        <v>28</v>
      </c>
    </row>
    <row r="812" spans="1:14" x14ac:dyDescent="0.25">
      <c r="A812" t="s">
        <v>2473</v>
      </c>
      <c r="B812" s="1">
        <v>45866</v>
      </c>
      <c r="C812" t="s">
        <v>2474</v>
      </c>
      <c r="D812" t="s">
        <v>2475</v>
      </c>
      <c r="E812" s="14">
        <v>923393349046</v>
      </c>
      <c r="F812" t="s">
        <v>122</v>
      </c>
      <c r="G812" t="s">
        <v>18</v>
      </c>
      <c r="H812" t="s">
        <v>39</v>
      </c>
      <c r="I812">
        <v>1</v>
      </c>
      <c r="J812">
        <v>5343</v>
      </c>
      <c r="K812">
        <v>5343</v>
      </c>
      <c r="L812" t="s">
        <v>63</v>
      </c>
      <c r="M812" t="s">
        <v>45</v>
      </c>
      <c r="N812" t="s">
        <v>28</v>
      </c>
    </row>
    <row r="813" spans="1:14" x14ac:dyDescent="0.25">
      <c r="A813" t="s">
        <v>2476</v>
      </c>
      <c r="B813" s="1">
        <v>45974</v>
      </c>
      <c r="C813" t="s">
        <v>2477</v>
      </c>
      <c r="D813" t="s">
        <v>2478</v>
      </c>
      <c r="E813" s="14">
        <v>923486030218</v>
      </c>
      <c r="F813" t="s">
        <v>106</v>
      </c>
      <c r="G813" t="s">
        <v>18</v>
      </c>
      <c r="H813" t="s">
        <v>19</v>
      </c>
      <c r="I813">
        <v>3</v>
      </c>
      <c r="J813">
        <v>2275</v>
      </c>
      <c r="K813">
        <v>6825</v>
      </c>
      <c r="L813" t="s">
        <v>68</v>
      </c>
      <c r="M813" t="s">
        <v>34</v>
      </c>
      <c r="N813" t="s">
        <v>22</v>
      </c>
    </row>
    <row r="814" spans="1:14" x14ac:dyDescent="0.25">
      <c r="A814" t="s">
        <v>2479</v>
      </c>
      <c r="B814" s="1">
        <v>45954</v>
      </c>
      <c r="C814" t="s">
        <v>2480</v>
      </c>
      <c r="D814" t="s">
        <v>2481</v>
      </c>
      <c r="E814" s="14">
        <v>923409022972</v>
      </c>
      <c r="F814" t="s">
        <v>122</v>
      </c>
      <c r="G814" t="s">
        <v>18</v>
      </c>
      <c r="H814" t="s">
        <v>19</v>
      </c>
      <c r="I814">
        <v>4</v>
      </c>
      <c r="J814">
        <v>5174</v>
      </c>
      <c r="K814">
        <v>20696</v>
      </c>
      <c r="L814" t="s">
        <v>26</v>
      </c>
      <c r="M814" t="s">
        <v>27</v>
      </c>
      <c r="N814" t="s">
        <v>35</v>
      </c>
    </row>
    <row r="815" spans="1:14" x14ac:dyDescent="0.25">
      <c r="A815" t="s">
        <v>2482</v>
      </c>
      <c r="B815" s="1">
        <v>46009</v>
      </c>
      <c r="C815" t="s">
        <v>2483</v>
      </c>
      <c r="D815" t="s">
        <v>2484</v>
      </c>
      <c r="E815" s="14">
        <v>923491812165</v>
      </c>
      <c r="F815" t="s">
        <v>106</v>
      </c>
      <c r="G815" t="s">
        <v>18</v>
      </c>
      <c r="H815" t="s">
        <v>39</v>
      </c>
      <c r="I815">
        <v>4</v>
      </c>
      <c r="J815">
        <v>13467</v>
      </c>
      <c r="K815">
        <v>53868</v>
      </c>
      <c r="L815" t="s">
        <v>20</v>
      </c>
      <c r="M815" t="s">
        <v>45</v>
      </c>
      <c r="N815" t="s">
        <v>69</v>
      </c>
    </row>
    <row r="816" spans="1:14" x14ac:dyDescent="0.25">
      <c r="A816" t="s">
        <v>2485</v>
      </c>
      <c r="B816" s="1">
        <v>45977</v>
      </c>
      <c r="C816" t="s">
        <v>2486</v>
      </c>
      <c r="D816" t="s">
        <v>2487</v>
      </c>
      <c r="E816" s="14">
        <v>923090673893</v>
      </c>
      <c r="F816" t="s">
        <v>17</v>
      </c>
      <c r="G816" t="s">
        <v>18</v>
      </c>
      <c r="H816" t="s">
        <v>19</v>
      </c>
      <c r="I816">
        <v>1</v>
      </c>
      <c r="J816">
        <v>5787</v>
      </c>
      <c r="K816">
        <v>5787</v>
      </c>
      <c r="L816" t="s">
        <v>68</v>
      </c>
      <c r="M816" t="s">
        <v>27</v>
      </c>
      <c r="N816" t="s">
        <v>69</v>
      </c>
    </row>
    <row r="817" spans="1:14" x14ac:dyDescent="0.25">
      <c r="A817" t="s">
        <v>2488</v>
      </c>
      <c r="B817" s="1">
        <v>45798</v>
      </c>
      <c r="C817" t="s">
        <v>2489</v>
      </c>
      <c r="D817" t="s">
        <v>2490</v>
      </c>
      <c r="E817" s="14">
        <v>923447897716</v>
      </c>
      <c r="F817" t="s">
        <v>92</v>
      </c>
      <c r="G817" t="s">
        <v>18</v>
      </c>
      <c r="H817" t="s">
        <v>50</v>
      </c>
      <c r="I817">
        <v>1</v>
      </c>
      <c r="J817">
        <v>9085</v>
      </c>
      <c r="K817">
        <v>9085</v>
      </c>
      <c r="L817" t="s">
        <v>20</v>
      </c>
      <c r="M817" t="s">
        <v>21</v>
      </c>
      <c r="N817" t="s">
        <v>28</v>
      </c>
    </row>
    <row r="818" spans="1:14" x14ac:dyDescent="0.25">
      <c r="A818" t="s">
        <v>2491</v>
      </c>
      <c r="B818" s="1">
        <v>45706</v>
      </c>
      <c r="C818" t="s">
        <v>2492</v>
      </c>
      <c r="D818" t="s">
        <v>2493</v>
      </c>
      <c r="E818" s="14">
        <v>923390302327</v>
      </c>
      <c r="F818" t="s">
        <v>54</v>
      </c>
      <c r="G818" t="s">
        <v>18</v>
      </c>
      <c r="H818" t="s">
        <v>39</v>
      </c>
      <c r="I818">
        <v>5</v>
      </c>
      <c r="J818">
        <v>1882</v>
      </c>
      <c r="K818">
        <v>9410</v>
      </c>
      <c r="L818" t="s">
        <v>40</v>
      </c>
      <c r="M818" t="s">
        <v>34</v>
      </c>
      <c r="N818" t="s">
        <v>35</v>
      </c>
    </row>
    <row r="819" spans="1:14" x14ac:dyDescent="0.25">
      <c r="A819" t="s">
        <v>2494</v>
      </c>
      <c r="B819" s="1">
        <v>45935</v>
      </c>
      <c r="C819" t="s">
        <v>2495</v>
      </c>
      <c r="D819" t="s">
        <v>2496</v>
      </c>
      <c r="E819" s="14">
        <v>923314289977</v>
      </c>
      <c r="F819" t="s">
        <v>106</v>
      </c>
      <c r="G819" t="s">
        <v>18</v>
      </c>
      <c r="H819" t="s">
        <v>59</v>
      </c>
      <c r="I819">
        <v>5</v>
      </c>
      <c r="J819">
        <v>13685</v>
      </c>
      <c r="K819">
        <v>68425</v>
      </c>
      <c r="L819" t="s">
        <v>78</v>
      </c>
      <c r="M819" t="s">
        <v>27</v>
      </c>
      <c r="N819" t="s">
        <v>69</v>
      </c>
    </row>
    <row r="820" spans="1:14" x14ac:dyDescent="0.25">
      <c r="A820" t="s">
        <v>2497</v>
      </c>
      <c r="B820" s="1">
        <v>46016</v>
      </c>
      <c r="C820" t="s">
        <v>2498</v>
      </c>
      <c r="D820" t="s">
        <v>2499</v>
      </c>
      <c r="E820" s="14">
        <v>923250524528</v>
      </c>
      <c r="F820" t="s">
        <v>92</v>
      </c>
      <c r="G820" t="s">
        <v>18</v>
      </c>
      <c r="H820" t="s">
        <v>59</v>
      </c>
      <c r="I820">
        <v>2</v>
      </c>
      <c r="J820">
        <v>1641</v>
      </c>
      <c r="K820">
        <v>3282</v>
      </c>
      <c r="L820" t="s">
        <v>63</v>
      </c>
      <c r="M820" t="s">
        <v>27</v>
      </c>
      <c r="N820" t="s">
        <v>35</v>
      </c>
    </row>
    <row r="821" spans="1:14" x14ac:dyDescent="0.25">
      <c r="A821" t="s">
        <v>2500</v>
      </c>
      <c r="B821" s="1">
        <v>45949</v>
      </c>
      <c r="C821" t="s">
        <v>2501</v>
      </c>
      <c r="D821" t="s">
        <v>2502</v>
      </c>
      <c r="E821" s="14">
        <v>923392226425</v>
      </c>
      <c r="F821" t="s">
        <v>77</v>
      </c>
      <c r="G821" t="s">
        <v>18</v>
      </c>
      <c r="H821" t="s">
        <v>33</v>
      </c>
      <c r="I821">
        <v>3</v>
      </c>
      <c r="J821">
        <v>11065</v>
      </c>
      <c r="K821">
        <v>33195</v>
      </c>
      <c r="L821" t="s">
        <v>78</v>
      </c>
      <c r="M821" t="s">
        <v>93</v>
      </c>
      <c r="N821" t="s">
        <v>22</v>
      </c>
    </row>
    <row r="822" spans="1:14" x14ac:dyDescent="0.25">
      <c r="A822" t="s">
        <v>2503</v>
      </c>
      <c r="B822" s="1">
        <v>45963</v>
      </c>
      <c r="C822" t="s">
        <v>2504</v>
      </c>
      <c r="D822" t="s">
        <v>2505</v>
      </c>
      <c r="E822" s="14">
        <v>923386167807</v>
      </c>
      <c r="F822" t="s">
        <v>54</v>
      </c>
      <c r="G822" t="s">
        <v>18</v>
      </c>
      <c r="H822" t="s">
        <v>33</v>
      </c>
      <c r="I822">
        <v>3</v>
      </c>
      <c r="J822">
        <v>9737</v>
      </c>
      <c r="K822">
        <v>29211</v>
      </c>
      <c r="L822" t="s">
        <v>78</v>
      </c>
      <c r="M822" t="s">
        <v>93</v>
      </c>
      <c r="N822" t="s">
        <v>28</v>
      </c>
    </row>
    <row r="823" spans="1:14" x14ac:dyDescent="0.25">
      <c r="A823" t="s">
        <v>2506</v>
      </c>
      <c r="B823" s="1">
        <v>46012</v>
      </c>
      <c r="C823" t="s">
        <v>2507</v>
      </c>
      <c r="D823" t="s">
        <v>2508</v>
      </c>
      <c r="E823" s="14">
        <v>923069777220</v>
      </c>
      <c r="F823" t="s">
        <v>77</v>
      </c>
      <c r="G823" t="s">
        <v>18</v>
      </c>
      <c r="H823" t="s">
        <v>73</v>
      </c>
      <c r="I823">
        <v>5</v>
      </c>
      <c r="J823">
        <v>4638</v>
      </c>
      <c r="K823">
        <v>23190</v>
      </c>
      <c r="L823" t="s">
        <v>78</v>
      </c>
      <c r="M823" t="s">
        <v>45</v>
      </c>
      <c r="N823" t="s">
        <v>35</v>
      </c>
    </row>
    <row r="824" spans="1:14" x14ac:dyDescent="0.25">
      <c r="A824" t="s">
        <v>2509</v>
      </c>
      <c r="B824" s="1">
        <v>45734</v>
      </c>
      <c r="C824" t="s">
        <v>2510</v>
      </c>
      <c r="D824" t="s">
        <v>2511</v>
      </c>
      <c r="E824" s="14">
        <v>923316464678</v>
      </c>
      <c r="F824" t="s">
        <v>54</v>
      </c>
      <c r="G824" t="s">
        <v>18</v>
      </c>
      <c r="H824" t="s">
        <v>50</v>
      </c>
      <c r="I824">
        <v>4</v>
      </c>
      <c r="J824">
        <v>11424</v>
      </c>
      <c r="K824">
        <v>45696</v>
      </c>
      <c r="L824" t="s">
        <v>26</v>
      </c>
      <c r="M824" t="s">
        <v>21</v>
      </c>
      <c r="N824" t="s">
        <v>28</v>
      </c>
    </row>
    <row r="825" spans="1:14" x14ac:dyDescent="0.25">
      <c r="A825" t="s">
        <v>2512</v>
      </c>
      <c r="B825" s="1">
        <v>45762</v>
      </c>
      <c r="C825" t="s">
        <v>2513</v>
      </c>
      <c r="D825" t="s">
        <v>2514</v>
      </c>
      <c r="E825" s="14">
        <v>923344495482</v>
      </c>
      <c r="F825" t="s">
        <v>44</v>
      </c>
      <c r="G825" t="s">
        <v>18</v>
      </c>
      <c r="H825" t="s">
        <v>33</v>
      </c>
      <c r="I825">
        <v>4</v>
      </c>
      <c r="J825">
        <v>4810</v>
      </c>
      <c r="K825">
        <v>19240</v>
      </c>
      <c r="L825" t="s">
        <v>63</v>
      </c>
      <c r="M825" t="s">
        <v>93</v>
      </c>
      <c r="N825" t="s">
        <v>22</v>
      </c>
    </row>
    <row r="826" spans="1:14" x14ac:dyDescent="0.25">
      <c r="A826" t="s">
        <v>2515</v>
      </c>
      <c r="B826" s="1">
        <v>45863</v>
      </c>
      <c r="C826" t="s">
        <v>2516</v>
      </c>
      <c r="D826" t="s">
        <v>2517</v>
      </c>
      <c r="E826" s="14">
        <v>923352064446</v>
      </c>
      <c r="F826" t="s">
        <v>32</v>
      </c>
      <c r="G826" t="s">
        <v>18</v>
      </c>
      <c r="H826" t="s">
        <v>33</v>
      </c>
      <c r="I826">
        <v>2</v>
      </c>
      <c r="J826">
        <v>13846</v>
      </c>
      <c r="K826">
        <v>27692</v>
      </c>
      <c r="L826" t="s">
        <v>40</v>
      </c>
      <c r="M826" t="s">
        <v>135</v>
      </c>
      <c r="N826" t="s">
        <v>28</v>
      </c>
    </row>
    <row r="827" spans="1:14" x14ac:dyDescent="0.25">
      <c r="A827" t="s">
        <v>2518</v>
      </c>
      <c r="B827" s="1">
        <v>46014</v>
      </c>
      <c r="C827" t="s">
        <v>2519</v>
      </c>
      <c r="D827" t="s">
        <v>2520</v>
      </c>
      <c r="E827" s="14">
        <v>923322345548</v>
      </c>
      <c r="F827" t="s">
        <v>122</v>
      </c>
      <c r="G827" t="s">
        <v>18</v>
      </c>
      <c r="H827" t="s">
        <v>33</v>
      </c>
      <c r="I827">
        <v>1</v>
      </c>
      <c r="J827">
        <v>7094</v>
      </c>
      <c r="K827">
        <v>7094</v>
      </c>
      <c r="L827" t="s">
        <v>63</v>
      </c>
      <c r="M827" t="s">
        <v>27</v>
      </c>
      <c r="N827" t="s">
        <v>35</v>
      </c>
    </row>
    <row r="828" spans="1:14" x14ac:dyDescent="0.25">
      <c r="A828" t="s">
        <v>2521</v>
      </c>
      <c r="B828" s="1">
        <v>45778</v>
      </c>
      <c r="C828" t="s">
        <v>2522</v>
      </c>
      <c r="D828" t="s">
        <v>2523</v>
      </c>
      <c r="E828" s="14">
        <v>923241972954</v>
      </c>
      <c r="F828" t="s">
        <v>67</v>
      </c>
      <c r="G828" t="s">
        <v>18</v>
      </c>
      <c r="H828" t="s">
        <v>33</v>
      </c>
      <c r="I828">
        <v>1</v>
      </c>
      <c r="J828">
        <v>7585</v>
      </c>
      <c r="K828">
        <v>7585</v>
      </c>
      <c r="L828" t="s">
        <v>63</v>
      </c>
      <c r="M828" t="s">
        <v>93</v>
      </c>
      <c r="N828" t="s">
        <v>35</v>
      </c>
    </row>
    <row r="829" spans="1:14" x14ac:dyDescent="0.25">
      <c r="A829" t="s">
        <v>2524</v>
      </c>
      <c r="B829" s="1">
        <v>45897</v>
      </c>
      <c r="C829" t="s">
        <v>2525</v>
      </c>
      <c r="D829" t="s">
        <v>2526</v>
      </c>
      <c r="E829" s="14">
        <v>923043207519</v>
      </c>
      <c r="F829" t="s">
        <v>32</v>
      </c>
      <c r="G829" t="s">
        <v>18</v>
      </c>
      <c r="H829" t="s">
        <v>19</v>
      </c>
      <c r="I829">
        <v>2</v>
      </c>
      <c r="J829">
        <v>14567</v>
      </c>
      <c r="K829">
        <v>29134</v>
      </c>
      <c r="L829" t="s">
        <v>78</v>
      </c>
      <c r="M829" t="s">
        <v>27</v>
      </c>
      <c r="N829" t="s">
        <v>69</v>
      </c>
    </row>
    <row r="830" spans="1:14" x14ac:dyDescent="0.25">
      <c r="A830" t="s">
        <v>2527</v>
      </c>
      <c r="B830" s="1">
        <v>46016</v>
      </c>
      <c r="C830" t="s">
        <v>2528</v>
      </c>
      <c r="D830" t="s">
        <v>2529</v>
      </c>
      <c r="E830" s="14">
        <v>923038572399</v>
      </c>
      <c r="F830" t="s">
        <v>32</v>
      </c>
      <c r="G830" t="s">
        <v>18</v>
      </c>
      <c r="H830" t="s">
        <v>59</v>
      </c>
      <c r="I830">
        <v>5</v>
      </c>
      <c r="J830">
        <v>5663</v>
      </c>
      <c r="K830">
        <v>28315</v>
      </c>
      <c r="L830" t="s">
        <v>78</v>
      </c>
      <c r="M830" t="s">
        <v>82</v>
      </c>
      <c r="N830" t="s">
        <v>35</v>
      </c>
    </row>
    <row r="831" spans="1:14" x14ac:dyDescent="0.25">
      <c r="A831" t="s">
        <v>2530</v>
      </c>
      <c r="B831" s="1">
        <v>45982</v>
      </c>
      <c r="C831" t="s">
        <v>2531</v>
      </c>
      <c r="D831" t="s">
        <v>2532</v>
      </c>
      <c r="E831" s="14">
        <v>923037277497</v>
      </c>
      <c r="F831" t="s">
        <v>122</v>
      </c>
      <c r="G831" t="s">
        <v>18</v>
      </c>
      <c r="H831" t="s">
        <v>73</v>
      </c>
      <c r="I831">
        <v>1</v>
      </c>
      <c r="J831">
        <v>2372</v>
      </c>
      <c r="K831">
        <v>2372</v>
      </c>
      <c r="L831" t="s">
        <v>63</v>
      </c>
      <c r="M831" t="s">
        <v>93</v>
      </c>
      <c r="N831" t="s">
        <v>35</v>
      </c>
    </row>
    <row r="832" spans="1:14" x14ac:dyDescent="0.25">
      <c r="A832" t="s">
        <v>2533</v>
      </c>
      <c r="B832" s="1">
        <v>45722</v>
      </c>
      <c r="C832" t="s">
        <v>2534</v>
      </c>
      <c r="D832" t="s">
        <v>2535</v>
      </c>
      <c r="E832" s="14">
        <v>923231435380</v>
      </c>
      <c r="F832" t="s">
        <v>77</v>
      </c>
      <c r="G832" t="s">
        <v>18</v>
      </c>
      <c r="H832" t="s">
        <v>50</v>
      </c>
      <c r="I832">
        <v>1</v>
      </c>
      <c r="J832">
        <v>6333</v>
      </c>
      <c r="K832">
        <v>6333</v>
      </c>
      <c r="L832" t="s">
        <v>63</v>
      </c>
      <c r="M832" t="s">
        <v>55</v>
      </c>
      <c r="N832" t="s">
        <v>69</v>
      </c>
    </row>
    <row r="833" spans="1:14" x14ac:dyDescent="0.25">
      <c r="A833" t="s">
        <v>2536</v>
      </c>
      <c r="B833" s="1">
        <v>45802</v>
      </c>
      <c r="C833" t="s">
        <v>2537</v>
      </c>
      <c r="D833" t="s">
        <v>2538</v>
      </c>
      <c r="E833" s="14">
        <v>923272103419</v>
      </c>
      <c r="F833" t="s">
        <v>49</v>
      </c>
      <c r="G833" t="s">
        <v>18</v>
      </c>
      <c r="H833" t="s">
        <v>73</v>
      </c>
      <c r="I833">
        <v>4</v>
      </c>
      <c r="J833">
        <v>10761</v>
      </c>
      <c r="K833">
        <v>43044</v>
      </c>
      <c r="L833" t="s">
        <v>20</v>
      </c>
      <c r="M833" t="s">
        <v>135</v>
      </c>
      <c r="N833" t="s">
        <v>28</v>
      </c>
    </row>
    <row r="834" spans="1:14" x14ac:dyDescent="0.25">
      <c r="A834" t="s">
        <v>2539</v>
      </c>
      <c r="B834" s="1">
        <v>45858</v>
      </c>
      <c r="C834" t="s">
        <v>2540</v>
      </c>
      <c r="D834" t="s">
        <v>2541</v>
      </c>
      <c r="E834" s="14">
        <v>923059799694</v>
      </c>
      <c r="F834" t="s">
        <v>67</v>
      </c>
      <c r="G834" t="s">
        <v>18</v>
      </c>
      <c r="H834" t="s">
        <v>39</v>
      </c>
      <c r="I834">
        <v>2</v>
      </c>
      <c r="J834">
        <v>1110</v>
      </c>
      <c r="K834">
        <v>2220</v>
      </c>
      <c r="L834" t="s">
        <v>20</v>
      </c>
      <c r="M834" t="s">
        <v>45</v>
      </c>
      <c r="N834" t="s">
        <v>69</v>
      </c>
    </row>
    <row r="835" spans="1:14" x14ac:dyDescent="0.25">
      <c r="A835" t="s">
        <v>2542</v>
      </c>
      <c r="B835" s="1">
        <v>45908</v>
      </c>
      <c r="C835" t="s">
        <v>2543</v>
      </c>
      <c r="D835" t="s">
        <v>2544</v>
      </c>
      <c r="E835" s="14">
        <v>923099536000</v>
      </c>
      <c r="F835" t="s">
        <v>92</v>
      </c>
      <c r="G835" t="s">
        <v>18</v>
      </c>
      <c r="H835" t="s">
        <v>39</v>
      </c>
      <c r="I835">
        <v>4</v>
      </c>
      <c r="J835">
        <v>1346</v>
      </c>
      <c r="K835">
        <v>5384</v>
      </c>
      <c r="L835" t="s">
        <v>26</v>
      </c>
      <c r="M835" t="s">
        <v>135</v>
      </c>
      <c r="N835" t="s">
        <v>22</v>
      </c>
    </row>
    <row r="836" spans="1:14" x14ac:dyDescent="0.25">
      <c r="A836" t="s">
        <v>2545</v>
      </c>
      <c r="B836" s="1">
        <v>45898</v>
      </c>
      <c r="C836" t="s">
        <v>2546</v>
      </c>
      <c r="D836" t="s">
        <v>2547</v>
      </c>
      <c r="E836" s="14">
        <v>923078345397</v>
      </c>
      <c r="F836" t="s">
        <v>67</v>
      </c>
      <c r="G836" t="s">
        <v>18</v>
      </c>
      <c r="H836" t="s">
        <v>19</v>
      </c>
      <c r="I836">
        <v>1</v>
      </c>
      <c r="J836">
        <v>4105</v>
      </c>
      <c r="K836">
        <v>4105</v>
      </c>
      <c r="L836" t="s">
        <v>40</v>
      </c>
      <c r="M836" t="s">
        <v>27</v>
      </c>
      <c r="N836" t="s">
        <v>28</v>
      </c>
    </row>
    <row r="837" spans="1:14" x14ac:dyDescent="0.25">
      <c r="A837" t="s">
        <v>2548</v>
      </c>
      <c r="B837" s="1">
        <v>46026</v>
      </c>
      <c r="C837" t="s">
        <v>2549</v>
      </c>
      <c r="D837" t="s">
        <v>2550</v>
      </c>
      <c r="E837" s="14">
        <v>923309098579</v>
      </c>
      <c r="F837" t="s">
        <v>17</v>
      </c>
      <c r="G837" t="s">
        <v>18</v>
      </c>
      <c r="H837" t="s">
        <v>59</v>
      </c>
      <c r="I837">
        <v>3</v>
      </c>
      <c r="J837">
        <v>14839</v>
      </c>
      <c r="K837">
        <v>44517</v>
      </c>
      <c r="L837" t="s">
        <v>63</v>
      </c>
      <c r="M837" t="s">
        <v>55</v>
      </c>
      <c r="N837" t="s">
        <v>69</v>
      </c>
    </row>
    <row r="838" spans="1:14" x14ac:dyDescent="0.25">
      <c r="A838" t="s">
        <v>2551</v>
      </c>
      <c r="B838" s="1">
        <v>45940</v>
      </c>
      <c r="C838" t="s">
        <v>2552</v>
      </c>
      <c r="D838" t="s">
        <v>2553</v>
      </c>
      <c r="E838" s="14">
        <v>923300999630</v>
      </c>
      <c r="F838" t="s">
        <v>44</v>
      </c>
      <c r="G838" t="s">
        <v>18</v>
      </c>
      <c r="H838" t="s">
        <v>50</v>
      </c>
      <c r="I838">
        <v>1</v>
      </c>
      <c r="J838">
        <v>13627</v>
      </c>
      <c r="K838">
        <v>13627</v>
      </c>
      <c r="L838" t="s">
        <v>78</v>
      </c>
      <c r="M838" t="s">
        <v>34</v>
      </c>
      <c r="N838" t="s">
        <v>22</v>
      </c>
    </row>
    <row r="839" spans="1:14" x14ac:dyDescent="0.25">
      <c r="A839" t="s">
        <v>2554</v>
      </c>
      <c r="B839" s="1">
        <v>45743</v>
      </c>
      <c r="C839" t="s">
        <v>2555</v>
      </c>
      <c r="D839" t="s">
        <v>2556</v>
      </c>
      <c r="E839" s="14">
        <v>923498404921</v>
      </c>
      <c r="F839" t="s">
        <v>77</v>
      </c>
      <c r="G839" t="s">
        <v>18</v>
      </c>
      <c r="H839" t="s">
        <v>19</v>
      </c>
      <c r="I839">
        <v>4</v>
      </c>
      <c r="J839">
        <v>6514</v>
      </c>
      <c r="K839">
        <v>26056</v>
      </c>
      <c r="L839" t="s">
        <v>40</v>
      </c>
      <c r="M839" t="s">
        <v>45</v>
      </c>
      <c r="N839" t="s">
        <v>22</v>
      </c>
    </row>
    <row r="840" spans="1:14" x14ac:dyDescent="0.25">
      <c r="A840" t="s">
        <v>2557</v>
      </c>
      <c r="B840" s="1">
        <v>45990</v>
      </c>
      <c r="C840" t="s">
        <v>2558</v>
      </c>
      <c r="D840" t="s">
        <v>2559</v>
      </c>
      <c r="E840" s="14">
        <v>923020467124</v>
      </c>
      <c r="F840" t="s">
        <v>67</v>
      </c>
      <c r="G840" t="s">
        <v>18</v>
      </c>
      <c r="H840" t="s">
        <v>73</v>
      </c>
      <c r="I840">
        <v>4</v>
      </c>
      <c r="J840">
        <v>9255</v>
      </c>
      <c r="K840">
        <v>37020</v>
      </c>
      <c r="L840" t="s">
        <v>78</v>
      </c>
      <c r="M840" t="s">
        <v>93</v>
      </c>
      <c r="N840" t="s">
        <v>22</v>
      </c>
    </row>
    <row r="841" spans="1:14" x14ac:dyDescent="0.25">
      <c r="A841" t="s">
        <v>2560</v>
      </c>
      <c r="B841" s="1">
        <v>45960</v>
      </c>
      <c r="C841" t="s">
        <v>2561</v>
      </c>
      <c r="D841" t="s">
        <v>2562</v>
      </c>
      <c r="E841" s="14">
        <v>923410971305</v>
      </c>
      <c r="F841" t="s">
        <v>92</v>
      </c>
      <c r="G841" t="s">
        <v>18</v>
      </c>
      <c r="H841" t="s">
        <v>19</v>
      </c>
      <c r="I841">
        <v>5</v>
      </c>
      <c r="J841">
        <v>11290</v>
      </c>
      <c r="K841">
        <v>56450</v>
      </c>
      <c r="L841" t="s">
        <v>68</v>
      </c>
      <c r="M841" t="s">
        <v>45</v>
      </c>
      <c r="N841" t="s">
        <v>28</v>
      </c>
    </row>
    <row r="842" spans="1:14" x14ac:dyDescent="0.25">
      <c r="A842" t="s">
        <v>2563</v>
      </c>
      <c r="B842" s="1">
        <v>45742</v>
      </c>
      <c r="C842" t="s">
        <v>2564</v>
      </c>
      <c r="D842" t="s">
        <v>2565</v>
      </c>
      <c r="E842" s="14">
        <v>923316684679</v>
      </c>
      <c r="F842" t="s">
        <v>92</v>
      </c>
      <c r="G842" t="s">
        <v>18</v>
      </c>
      <c r="H842" t="s">
        <v>39</v>
      </c>
      <c r="I842">
        <v>4</v>
      </c>
      <c r="J842">
        <v>7188</v>
      </c>
      <c r="K842">
        <v>28752</v>
      </c>
      <c r="L842" t="s">
        <v>26</v>
      </c>
      <c r="M842" t="s">
        <v>135</v>
      </c>
      <c r="N842" t="s">
        <v>22</v>
      </c>
    </row>
    <row r="843" spans="1:14" x14ac:dyDescent="0.25">
      <c r="A843" t="s">
        <v>2566</v>
      </c>
      <c r="B843" s="1">
        <v>45735</v>
      </c>
      <c r="C843" t="s">
        <v>2567</v>
      </c>
      <c r="D843" t="s">
        <v>2568</v>
      </c>
      <c r="E843" s="14">
        <v>923341113583</v>
      </c>
      <c r="F843" t="s">
        <v>92</v>
      </c>
      <c r="G843" t="s">
        <v>18</v>
      </c>
      <c r="H843" t="s">
        <v>19</v>
      </c>
      <c r="I843">
        <v>3</v>
      </c>
      <c r="J843">
        <v>14707</v>
      </c>
      <c r="K843">
        <v>44121</v>
      </c>
      <c r="L843" t="s">
        <v>40</v>
      </c>
      <c r="M843" t="s">
        <v>55</v>
      </c>
      <c r="N843" t="s">
        <v>69</v>
      </c>
    </row>
    <row r="844" spans="1:14" x14ac:dyDescent="0.25">
      <c r="A844" t="s">
        <v>2569</v>
      </c>
      <c r="B844" s="1">
        <v>46027</v>
      </c>
      <c r="C844" t="s">
        <v>2570</v>
      </c>
      <c r="D844" t="s">
        <v>2571</v>
      </c>
      <c r="E844" s="14">
        <v>923147124691</v>
      </c>
      <c r="F844" t="s">
        <v>77</v>
      </c>
      <c r="G844" t="s">
        <v>18</v>
      </c>
      <c r="H844" t="s">
        <v>50</v>
      </c>
      <c r="I844">
        <v>2</v>
      </c>
      <c r="J844">
        <v>9529</v>
      </c>
      <c r="K844">
        <v>19058</v>
      </c>
      <c r="L844" t="s">
        <v>78</v>
      </c>
      <c r="M844" t="s">
        <v>82</v>
      </c>
      <c r="N844" t="s">
        <v>28</v>
      </c>
    </row>
    <row r="845" spans="1:14" x14ac:dyDescent="0.25">
      <c r="A845" t="s">
        <v>2572</v>
      </c>
      <c r="B845" s="1">
        <v>45923</v>
      </c>
      <c r="C845" t="s">
        <v>2573</v>
      </c>
      <c r="D845" t="s">
        <v>2574</v>
      </c>
      <c r="E845" s="14">
        <v>923158677243</v>
      </c>
      <c r="F845" t="s">
        <v>54</v>
      </c>
      <c r="G845" t="s">
        <v>18</v>
      </c>
      <c r="H845" t="s">
        <v>33</v>
      </c>
      <c r="I845">
        <v>2</v>
      </c>
      <c r="J845">
        <v>4497</v>
      </c>
      <c r="K845">
        <v>8994</v>
      </c>
      <c r="L845" t="s">
        <v>63</v>
      </c>
      <c r="M845" t="s">
        <v>55</v>
      </c>
      <c r="N845" t="s">
        <v>69</v>
      </c>
    </row>
    <row r="846" spans="1:14" x14ac:dyDescent="0.25">
      <c r="A846" t="s">
        <v>2575</v>
      </c>
      <c r="B846" s="1">
        <v>45967</v>
      </c>
      <c r="C846" t="s">
        <v>2576</v>
      </c>
      <c r="D846" t="s">
        <v>2577</v>
      </c>
      <c r="E846" s="14">
        <v>923093296699</v>
      </c>
      <c r="F846" t="s">
        <v>67</v>
      </c>
      <c r="G846" t="s">
        <v>18</v>
      </c>
      <c r="H846" t="s">
        <v>39</v>
      </c>
      <c r="I846">
        <v>2</v>
      </c>
      <c r="J846">
        <v>10142</v>
      </c>
      <c r="K846">
        <v>20284</v>
      </c>
      <c r="L846" t="s">
        <v>26</v>
      </c>
      <c r="M846" t="s">
        <v>93</v>
      </c>
      <c r="N846" t="s">
        <v>28</v>
      </c>
    </row>
    <row r="847" spans="1:14" x14ac:dyDescent="0.25">
      <c r="A847" t="s">
        <v>2578</v>
      </c>
      <c r="B847" s="1">
        <v>45987</v>
      </c>
      <c r="C847" t="s">
        <v>2579</v>
      </c>
      <c r="D847" t="s">
        <v>2580</v>
      </c>
      <c r="E847" s="14">
        <v>923366597152</v>
      </c>
      <c r="F847" t="s">
        <v>77</v>
      </c>
      <c r="G847" t="s">
        <v>18</v>
      </c>
      <c r="H847" t="s">
        <v>50</v>
      </c>
      <c r="I847">
        <v>1</v>
      </c>
      <c r="J847">
        <v>9606</v>
      </c>
      <c r="K847">
        <v>9606</v>
      </c>
      <c r="L847" t="s">
        <v>63</v>
      </c>
      <c r="M847" t="s">
        <v>93</v>
      </c>
      <c r="N847" t="s">
        <v>22</v>
      </c>
    </row>
    <row r="848" spans="1:14" x14ac:dyDescent="0.25">
      <c r="A848" t="s">
        <v>2581</v>
      </c>
      <c r="B848" s="1">
        <v>45941</v>
      </c>
      <c r="C848" t="s">
        <v>2582</v>
      </c>
      <c r="D848" t="s">
        <v>2583</v>
      </c>
      <c r="E848" s="14">
        <v>923104414989</v>
      </c>
      <c r="F848" t="s">
        <v>67</v>
      </c>
      <c r="G848" t="s">
        <v>18</v>
      </c>
      <c r="H848" t="s">
        <v>59</v>
      </c>
      <c r="I848">
        <v>4</v>
      </c>
      <c r="J848">
        <v>1484</v>
      </c>
      <c r="K848">
        <v>5936</v>
      </c>
      <c r="L848" t="s">
        <v>26</v>
      </c>
      <c r="M848" t="s">
        <v>55</v>
      </c>
      <c r="N848" t="s">
        <v>69</v>
      </c>
    </row>
    <row r="849" spans="1:14" x14ac:dyDescent="0.25">
      <c r="A849" t="s">
        <v>2584</v>
      </c>
      <c r="B849" s="1">
        <v>45824</v>
      </c>
      <c r="C849" t="s">
        <v>2585</v>
      </c>
      <c r="D849" t="s">
        <v>2586</v>
      </c>
      <c r="E849" s="14">
        <v>923383842104</v>
      </c>
      <c r="F849" t="s">
        <v>17</v>
      </c>
      <c r="G849" t="s">
        <v>18</v>
      </c>
      <c r="H849" t="s">
        <v>33</v>
      </c>
      <c r="I849">
        <v>1</v>
      </c>
      <c r="J849">
        <v>6267</v>
      </c>
      <c r="K849">
        <v>6267</v>
      </c>
      <c r="L849" t="s">
        <v>63</v>
      </c>
      <c r="M849" t="s">
        <v>45</v>
      </c>
      <c r="N849" t="s">
        <v>69</v>
      </c>
    </row>
    <row r="850" spans="1:14" x14ac:dyDescent="0.25">
      <c r="A850" t="s">
        <v>2587</v>
      </c>
      <c r="B850" s="1">
        <v>45708</v>
      </c>
      <c r="C850" t="s">
        <v>2588</v>
      </c>
      <c r="D850" t="s">
        <v>2589</v>
      </c>
      <c r="E850" s="14">
        <v>923029704836</v>
      </c>
      <c r="F850" t="s">
        <v>77</v>
      </c>
      <c r="G850" t="s">
        <v>18</v>
      </c>
      <c r="H850" t="s">
        <v>33</v>
      </c>
      <c r="I850">
        <v>1</v>
      </c>
      <c r="J850">
        <v>5896</v>
      </c>
      <c r="K850">
        <v>5896</v>
      </c>
      <c r="L850" t="s">
        <v>63</v>
      </c>
      <c r="M850" t="s">
        <v>27</v>
      </c>
      <c r="N850" t="s">
        <v>35</v>
      </c>
    </row>
    <row r="851" spans="1:14" x14ac:dyDescent="0.25">
      <c r="A851" t="s">
        <v>2590</v>
      </c>
      <c r="B851" s="1">
        <v>46068</v>
      </c>
      <c r="C851" t="s">
        <v>2591</v>
      </c>
      <c r="D851" t="s">
        <v>2592</v>
      </c>
      <c r="E851" s="14">
        <v>923342343706</v>
      </c>
      <c r="F851" t="s">
        <v>122</v>
      </c>
      <c r="G851" t="s">
        <v>18</v>
      </c>
      <c r="H851" t="s">
        <v>73</v>
      </c>
      <c r="I851">
        <v>3</v>
      </c>
      <c r="J851">
        <v>3607</v>
      </c>
      <c r="K851">
        <v>10821</v>
      </c>
      <c r="L851" t="s">
        <v>63</v>
      </c>
      <c r="M851" t="s">
        <v>27</v>
      </c>
      <c r="N851" t="s">
        <v>69</v>
      </c>
    </row>
    <row r="852" spans="1:14" x14ac:dyDescent="0.25">
      <c r="A852" t="s">
        <v>2593</v>
      </c>
      <c r="B852" s="1">
        <v>45979</v>
      </c>
      <c r="C852" t="s">
        <v>2594</v>
      </c>
      <c r="D852" t="s">
        <v>2595</v>
      </c>
      <c r="E852" s="14">
        <v>923441613811</v>
      </c>
      <c r="F852" t="s">
        <v>122</v>
      </c>
      <c r="G852" t="s">
        <v>18</v>
      </c>
      <c r="H852" t="s">
        <v>39</v>
      </c>
      <c r="I852">
        <v>5</v>
      </c>
      <c r="J852">
        <v>8432</v>
      </c>
      <c r="K852">
        <v>42160</v>
      </c>
      <c r="L852" t="s">
        <v>40</v>
      </c>
      <c r="M852" t="s">
        <v>135</v>
      </c>
      <c r="N852" t="s">
        <v>69</v>
      </c>
    </row>
    <row r="853" spans="1:14" x14ac:dyDescent="0.25">
      <c r="A853" t="s">
        <v>2596</v>
      </c>
      <c r="B853" s="1">
        <v>45777</v>
      </c>
      <c r="C853" t="s">
        <v>2597</v>
      </c>
      <c r="D853" t="s">
        <v>2598</v>
      </c>
      <c r="E853" s="14">
        <v>923320165077</v>
      </c>
      <c r="F853" t="s">
        <v>54</v>
      </c>
      <c r="G853" t="s">
        <v>18</v>
      </c>
      <c r="H853" t="s">
        <v>19</v>
      </c>
      <c r="I853">
        <v>3</v>
      </c>
      <c r="J853">
        <v>5190</v>
      </c>
      <c r="K853">
        <v>15570</v>
      </c>
      <c r="L853" t="s">
        <v>40</v>
      </c>
      <c r="M853" t="s">
        <v>55</v>
      </c>
      <c r="N853" t="s">
        <v>22</v>
      </c>
    </row>
    <row r="854" spans="1:14" x14ac:dyDescent="0.25">
      <c r="A854" t="s">
        <v>2599</v>
      </c>
      <c r="B854" s="1">
        <v>46070</v>
      </c>
      <c r="C854" t="s">
        <v>2600</v>
      </c>
      <c r="D854" t="s">
        <v>2601</v>
      </c>
      <c r="E854" s="14">
        <v>923040698084</v>
      </c>
      <c r="F854" t="s">
        <v>67</v>
      </c>
      <c r="G854" t="s">
        <v>18</v>
      </c>
      <c r="H854" t="s">
        <v>50</v>
      </c>
      <c r="I854">
        <v>3</v>
      </c>
      <c r="J854">
        <v>9791</v>
      </c>
      <c r="K854">
        <v>29373</v>
      </c>
      <c r="L854" t="s">
        <v>63</v>
      </c>
      <c r="M854" t="s">
        <v>27</v>
      </c>
      <c r="N854" t="s">
        <v>22</v>
      </c>
    </row>
    <row r="855" spans="1:14" x14ac:dyDescent="0.25">
      <c r="A855" t="s">
        <v>2602</v>
      </c>
      <c r="B855" s="1">
        <v>45850</v>
      </c>
      <c r="C855" t="s">
        <v>2603</v>
      </c>
      <c r="D855" t="s">
        <v>2604</v>
      </c>
      <c r="E855" s="14">
        <v>923127246324</v>
      </c>
      <c r="F855" t="s">
        <v>32</v>
      </c>
      <c r="G855" t="s">
        <v>18</v>
      </c>
      <c r="H855" t="s">
        <v>19</v>
      </c>
      <c r="I855">
        <v>2</v>
      </c>
      <c r="J855">
        <v>9919</v>
      </c>
      <c r="K855">
        <v>19838</v>
      </c>
      <c r="L855" t="s">
        <v>63</v>
      </c>
      <c r="M855" t="s">
        <v>82</v>
      </c>
      <c r="N855" t="s">
        <v>22</v>
      </c>
    </row>
    <row r="856" spans="1:14" x14ac:dyDescent="0.25">
      <c r="A856" t="s">
        <v>2605</v>
      </c>
      <c r="B856" s="1">
        <v>45837</v>
      </c>
      <c r="C856" t="s">
        <v>2606</v>
      </c>
      <c r="D856" t="s">
        <v>2607</v>
      </c>
      <c r="E856" s="14">
        <v>923166399574</v>
      </c>
      <c r="F856" t="s">
        <v>44</v>
      </c>
      <c r="G856" t="s">
        <v>18</v>
      </c>
      <c r="H856" t="s">
        <v>50</v>
      </c>
      <c r="I856">
        <v>3</v>
      </c>
      <c r="J856">
        <v>4464</v>
      </c>
      <c r="K856">
        <v>13392</v>
      </c>
      <c r="L856" t="s">
        <v>78</v>
      </c>
      <c r="M856" t="s">
        <v>82</v>
      </c>
      <c r="N856" t="s">
        <v>28</v>
      </c>
    </row>
    <row r="857" spans="1:14" x14ac:dyDescent="0.25">
      <c r="A857" t="s">
        <v>2608</v>
      </c>
      <c r="B857" s="1">
        <v>45971</v>
      </c>
      <c r="C857" t="s">
        <v>2609</v>
      </c>
      <c r="D857" t="s">
        <v>2610</v>
      </c>
      <c r="E857" s="14">
        <v>923209887761</v>
      </c>
      <c r="F857" t="s">
        <v>32</v>
      </c>
      <c r="G857" t="s">
        <v>18</v>
      </c>
      <c r="H857" t="s">
        <v>39</v>
      </c>
      <c r="I857">
        <v>4</v>
      </c>
      <c r="J857">
        <v>13262</v>
      </c>
      <c r="K857">
        <v>53048</v>
      </c>
      <c r="L857" t="s">
        <v>68</v>
      </c>
      <c r="M857" t="s">
        <v>135</v>
      </c>
      <c r="N857" t="s">
        <v>69</v>
      </c>
    </row>
    <row r="858" spans="1:14" x14ac:dyDescent="0.25">
      <c r="A858" t="s">
        <v>2611</v>
      </c>
      <c r="B858" s="1">
        <v>45877</v>
      </c>
      <c r="C858" t="s">
        <v>2612</v>
      </c>
      <c r="D858" t="s">
        <v>2613</v>
      </c>
      <c r="E858" s="14">
        <v>923365097571</v>
      </c>
      <c r="F858" t="s">
        <v>92</v>
      </c>
      <c r="G858" t="s">
        <v>18</v>
      </c>
      <c r="H858" t="s">
        <v>59</v>
      </c>
      <c r="I858">
        <v>2</v>
      </c>
      <c r="J858">
        <v>14157</v>
      </c>
      <c r="K858">
        <v>28314</v>
      </c>
      <c r="L858" t="s">
        <v>40</v>
      </c>
      <c r="M858" t="s">
        <v>55</v>
      </c>
      <c r="N858" t="s">
        <v>22</v>
      </c>
    </row>
    <row r="859" spans="1:14" x14ac:dyDescent="0.25">
      <c r="A859" t="s">
        <v>2614</v>
      </c>
      <c r="B859" s="1">
        <v>45820</v>
      </c>
      <c r="C859" t="s">
        <v>2615</v>
      </c>
      <c r="D859" t="s">
        <v>2616</v>
      </c>
      <c r="E859" s="14">
        <v>923170925256</v>
      </c>
      <c r="F859" t="s">
        <v>49</v>
      </c>
      <c r="G859" t="s">
        <v>18</v>
      </c>
      <c r="H859" t="s">
        <v>59</v>
      </c>
      <c r="I859">
        <v>3</v>
      </c>
      <c r="J859">
        <v>1161</v>
      </c>
      <c r="K859">
        <v>3483</v>
      </c>
      <c r="L859" t="s">
        <v>26</v>
      </c>
      <c r="M859" t="s">
        <v>82</v>
      </c>
      <c r="N859" t="s">
        <v>28</v>
      </c>
    </row>
    <row r="860" spans="1:14" x14ac:dyDescent="0.25">
      <c r="A860" t="s">
        <v>2617</v>
      </c>
      <c r="B860" s="1">
        <v>45738</v>
      </c>
      <c r="C860" t="s">
        <v>2618</v>
      </c>
      <c r="D860" t="s">
        <v>2619</v>
      </c>
      <c r="E860" s="14">
        <v>923419550344</v>
      </c>
      <c r="F860" t="s">
        <v>54</v>
      </c>
      <c r="G860" t="s">
        <v>18</v>
      </c>
      <c r="H860" t="s">
        <v>50</v>
      </c>
      <c r="I860">
        <v>4</v>
      </c>
      <c r="J860">
        <v>5360</v>
      </c>
      <c r="K860">
        <v>21440</v>
      </c>
      <c r="L860" t="s">
        <v>78</v>
      </c>
      <c r="M860" t="s">
        <v>82</v>
      </c>
      <c r="N860" t="s">
        <v>35</v>
      </c>
    </row>
    <row r="861" spans="1:14" x14ac:dyDescent="0.25">
      <c r="A861" t="s">
        <v>2620</v>
      </c>
      <c r="B861" s="1">
        <v>46047</v>
      </c>
      <c r="C861" t="s">
        <v>2621</v>
      </c>
      <c r="D861" t="s">
        <v>2622</v>
      </c>
      <c r="E861" s="14">
        <v>923036348675</v>
      </c>
      <c r="F861" t="s">
        <v>106</v>
      </c>
      <c r="G861" t="s">
        <v>18</v>
      </c>
      <c r="H861" t="s">
        <v>33</v>
      </c>
      <c r="I861">
        <v>5</v>
      </c>
      <c r="J861">
        <v>13471</v>
      </c>
      <c r="K861">
        <v>67355</v>
      </c>
      <c r="L861" t="s">
        <v>40</v>
      </c>
      <c r="M861" t="s">
        <v>21</v>
      </c>
      <c r="N861" t="s">
        <v>22</v>
      </c>
    </row>
    <row r="862" spans="1:14" x14ac:dyDescent="0.25">
      <c r="A862" t="s">
        <v>2623</v>
      </c>
      <c r="B862" s="1">
        <v>45979</v>
      </c>
      <c r="C862" t="s">
        <v>2624</v>
      </c>
      <c r="D862" t="s">
        <v>2625</v>
      </c>
      <c r="E862" s="14">
        <v>923457746821</v>
      </c>
      <c r="F862" t="s">
        <v>92</v>
      </c>
      <c r="G862" t="s">
        <v>18</v>
      </c>
      <c r="H862" t="s">
        <v>39</v>
      </c>
      <c r="I862">
        <v>4</v>
      </c>
      <c r="J862">
        <v>4488</v>
      </c>
      <c r="K862">
        <v>17952</v>
      </c>
      <c r="L862" t="s">
        <v>40</v>
      </c>
      <c r="M862" t="s">
        <v>27</v>
      </c>
      <c r="N862" t="s">
        <v>22</v>
      </c>
    </row>
    <row r="863" spans="1:14" x14ac:dyDescent="0.25">
      <c r="A863" t="s">
        <v>2626</v>
      </c>
      <c r="B863" s="1">
        <v>45948</v>
      </c>
      <c r="C863" t="s">
        <v>2627</v>
      </c>
      <c r="D863" t="s">
        <v>2628</v>
      </c>
      <c r="E863" s="14">
        <v>923093890683</v>
      </c>
      <c r="F863" t="s">
        <v>67</v>
      </c>
      <c r="G863" t="s">
        <v>18</v>
      </c>
      <c r="H863" t="s">
        <v>39</v>
      </c>
      <c r="I863">
        <v>3</v>
      </c>
      <c r="J863">
        <v>8560</v>
      </c>
      <c r="K863">
        <v>25680</v>
      </c>
      <c r="L863" t="s">
        <v>63</v>
      </c>
      <c r="M863" t="s">
        <v>34</v>
      </c>
      <c r="N863" t="s">
        <v>35</v>
      </c>
    </row>
    <row r="864" spans="1:14" x14ac:dyDescent="0.25">
      <c r="A864" t="s">
        <v>2629</v>
      </c>
      <c r="B864" s="1">
        <v>45903</v>
      </c>
      <c r="C864" t="s">
        <v>2630</v>
      </c>
      <c r="D864" t="s">
        <v>2631</v>
      </c>
      <c r="E864" s="14">
        <v>923115512442</v>
      </c>
      <c r="F864" t="s">
        <v>49</v>
      </c>
      <c r="G864" t="s">
        <v>18</v>
      </c>
      <c r="H864" t="s">
        <v>39</v>
      </c>
      <c r="I864">
        <v>4</v>
      </c>
      <c r="J864">
        <v>4853</v>
      </c>
      <c r="K864">
        <v>19412</v>
      </c>
      <c r="L864" t="s">
        <v>78</v>
      </c>
      <c r="M864" t="s">
        <v>21</v>
      </c>
      <c r="N864" t="s">
        <v>22</v>
      </c>
    </row>
    <row r="865" spans="1:14" x14ac:dyDescent="0.25">
      <c r="A865" t="s">
        <v>2632</v>
      </c>
      <c r="B865" s="1">
        <v>46044</v>
      </c>
      <c r="C865" t="s">
        <v>2633</v>
      </c>
      <c r="D865" t="s">
        <v>2634</v>
      </c>
      <c r="E865" s="14">
        <v>923228272495</v>
      </c>
      <c r="F865" t="s">
        <v>92</v>
      </c>
      <c r="G865" t="s">
        <v>18</v>
      </c>
      <c r="H865" t="s">
        <v>33</v>
      </c>
      <c r="I865">
        <v>4</v>
      </c>
      <c r="J865">
        <v>12749</v>
      </c>
      <c r="K865">
        <v>50996</v>
      </c>
      <c r="L865" t="s">
        <v>63</v>
      </c>
      <c r="M865" t="s">
        <v>93</v>
      </c>
      <c r="N865" t="s">
        <v>35</v>
      </c>
    </row>
    <row r="866" spans="1:14" x14ac:dyDescent="0.25">
      <c r="A866" t="s">
        <v>2635</v>
      </c>
      <c r="B866" s="1">
        <v>45876</v>
      </c>
      <c r="C866" t="s">
        <v>2636</v>
      </c>
      <c r="D866" t="s">
        <v>2637</v>
      </c>
      <c r="E866" s="14">
        <v>923307928083</v>
      </c>
      <c r="F866" t="s">
        <v>44</v>
      </c>
      <c r="G866" t="s">
        <v>18</v>
      </c>
      <c r="H866" t="s">
        <v>39</v>
      </c>
      <c r="I866">
        <v>2</v>
      </c>
      <c r="J866">
        <v>4477</v>
      </c>
      <c r="K866">
        <v>8954</v>
      </c>
      <c r="L866" t="s">
        <v>78</v>
      </c>
      <c r="M866" t="s">
        <v>93</v>
      </c>
      <c r="N866" t="s">
        <v>69</v>
      </c>
    </row>
    <row r="867" spans="1:14" x14ac:dyDescent="0.25">
      <c r="A867" t="s">
        <v>2638</v>
      </c>
      <c r="B867" s="1">
        <v>45831</v>
      </c>
      <c r="C867" t="s">
        <v>2639</v>
      </c>
      <c r="D867" t="s">
        <v>2640</v>
      </c>
      <c r="E867" s="14">
        <v>923295038224</v>
      </c>
      <c r="F867" t="s">
        <v>122</v>
      </c>
      <c r="G867" t="s">
        <v>18</v>
      </c>
      <c r="H867" t="s">
        <v>33</v>
      </c>
      <c r="I867">
        <v>3</v>
      </c>
      <c r="J867">
        <v>10231</v>
      </c>
      <c r="K867">
        <v>30693</v>
      </c>
      <c r="L867" t="s">
        <v>63</v>
      </c>
      <c r="M867" t="s">
        <v>82</v>
      </c>
      <c r="N867" t="s">
        <v>35</v>
      </c>
    </row>
    <row r="868" spans="1:14" x14ac:dyDescent="0.25">
      <c r="A868" t="s">
        <v>2641</v>
      </c>
      <c r="B868" s="1">
        <v>45819</v>
      </c>
      <c r="C868" t="s">
        <v>2235</v>
      </c>
      <c r="D868" t="s">
        <v>2642</v>
      </c>
      <c r="E868" s="14">
        <v>923380882622</v>
      </c>
      <c r="F868" t="s">
        <v>67</v>
      </c>
      <c r="G868" t="s">
        <v>18</v>
      </c>
      <c r="H868" t="s">
        <v>50</v>
      </c>
      <c r="I868">
        <v>3</v>
      </c>
      <c r="J868">
        <v>13909</v>
      </c>
      <c r="K868">
        <v>41727</v>
      </c>
      <c r="L868" t="s">
        <v>68</v>
      </c>
      <c r="M868" t="s">
        <v>21</v>
      </c>
      <c r="N868" t="s">
        <v>28</v>
      </c>
    </row>
    <row r="869" spans="1:14" x14ac:dyDescent="0.25">
      <c r="A869" t="s">
        <v>2643</v>
      </c>
      <c r="B869" s="1">
        <v>45747</v>
      </c>
      <c r="C869" t="s">
        <v>2644</v>
      </c>
      <c r="D869" t="s">
        <v>2645</v>
      </c>
      <c r="E869" s="14">
        <v>923418923339</v>
      </c>
      <c r="F869" t="s">
        <v>77</v>
      </c>
      <c r="G869" t="s">
        <v>18</v>
      </c>
      <c r="H869" t="s">
        <v>39</v>
      </c>
      <c r="I869">
        <v>4</v>
      </c>
      <c r="J869">
        <v>6687</v>
      </c>
      <c r="K869">
        <v>26748</v>
      </c>
      <c r="L869" t="s">
        <v>40</v>
      </c>
      <c r="M869" t="s">
        <v>55</v>
      </c>
      <c r="N869" t="s">
        <v>22</v>
      </c>
    </row>
    <row r="870" spans="1:14" x14ac:dyDescent="0.25">
      <c r="A870" t="s">
        <v>2646</v>
      </c>
      <c r="B870" s="1">
        <v>45930</v>
      </c>
      <c r="C870" t="s">
        <v>2647</v>
      </c>
      <c r="D870" t="s">
        <v>2648</v>
      </c>
      <c r="E870" s="14">
        <v>923258343099</v>
      </c>
      <c r="F870" t="s">
        <v>32</v>
      </c>
      <c r="G870" t="s">
        <v>18</v>
      </c>
      <c r="H870" t="s">
        <v>39</v>
      </c>
      <c r="I870">
        <v>1</v>
      </c>
      <c r="J870">
        <v>11543</v>
      </c>
      <c r="K870">
        <v>11543</v>
      </c>
      <c r="L870" t="s">
        <v>20</v>
      </c>
      <c r="M870" t="s">
        <v>45</v>
      </c>
      <c r="N870" t="s">
        <v>28</v>
      </c>
    </row>
    <row r="871" spans="1:14" x14ac:dyDescent="0.25">
      <c r="A871" t="s">
        <v>2649</v>
      </c>
      <c r="B871" s="1">
        <v>46062</v>
      </c>
      <c r="C871" t="s">
        <v>2650</v>
      </c>
      <c r="D871" t="s">
        <v>2651</v>
      </c>
      <c r="E871" s="14">
        <v>923202497715</v>
      </c>
      <c r="F871" t="s">
        <v>106</v>
      </c>
      <c r="G871" t="s">
        <v>18</v>
      </c>
      <c r="H871" t="s">
        <v>19</v>
      </c>
      <c r="I871">
        <v>3</v>
      </c>
      <c r="J871">
        <v>10952</v>
      </c>
      <c r="K871">
        <v>32856</v>
      </c>
      <c r="L871" t="s">
        <v>26</v>
      </c>
      <c r="M871" t="s">
        <v>55</v>
      </c>
      <c r="N871" t="s">
        <v>22</v>
      </c>
    </row>
    <row r="872" spans="1:14" x14ac:dyDescent="0.25">
      <c r="A872" t="s">
        <v>2652</v>
      </c>
      <c r="B872" s="1">
        <v>46053</v>
      </c>
      <c r="C872" t="s">
        <v>2653</v>
      </c>
      <c r="D872" t="s">
        <v>2654</v>
      </c>
      <c r="E872" s="14">
        <v>923482431550</v>
      </c>
      <c r="F872" t="s">
        <v>92</v>
      </c>
      <c r="G872" t="s">
        <v>18</v>
      </c>
      <c r="H872" t="s">
        <v>39</v>
      </c>
      <c r="I872">
        <v>1</v>
      </c>
      <c r="J872">
        <v>8669</v>
      </c>
      <c r="K872">
        <v>8669</v>
      </c>
      <c r="L872" t="s">
        <v>26</v>
      </c>
      <c r="M872" t="s">
        <v>45</v>
      </c>
      <c r="N872" t="s">
        <v>69</v>
      </c>
    </row>
    <row r="873" spans="1:14" x14ac:dyDescent="0.25">
      <c r="A873" t="s">
        <v>2655</v>
      </c>
      <c r="B873" s="1">
        <v>45833</v>
      </c>
      <c r="C873" t="s">
        <v>2656</v>
      </c>
      <c r="D873" t="s">
        <v>2657</v>
      </c>
      <c r="E873" s="14">
        <v>923039086882</v>
      </c>
      <c r="F873" t="s">
        <v>122</v>
      </c>
      <c r="G873" t="s">
        <v>18</v>
      </c>
      <c r="H873" t="s">
        <v>50</v>
      </c>
      <c r="I873">
        <v>1</v>
      </c>
      <c r="J873">
        <v>11191</v>
      </c>
      <c r="K873">
        <v>11191</v>
      </c>
      <c r="L873" t="s">
        <v>20</v>
      </c>
      <c r="M873" t="s">
        <v>45</v>
      </c>
      <c r="N873" t="s">
        <v>69</v>
      </c>
    </row>
    <row r="874" spans="1:14" x14ac:dyDescent="0.25">
      <c r="A874" t="s">
        <v>2658</v>
      </c>
      <c r="B874" s="1">
        <v>45814</v>
      </c>
      <c r="C874" t="s">
        <v>2659</v>
      </c>
      <c r="D874" t="s">
        <v>2660</v>
      </c>
      <c r="E874" s="14">
        <v>923346081604</v>
      </c>
      <c r="F874" t="s">
        <v>106</v>
      </c>
      <c r="G874" t="s">
        <v>18</v>
      </c>
      <c r="H874" t="s">
        <v>19</v>
      </c>
      <c r="I874">
        <v>5</v>
      </c>
      <c r="J874">
        <v>8165</v>
      </c>
      <c r="K874">
        <v>40825</v>
      </c>
      <c r="L874" t="s">
        <v>63</v>
      </c>
      <c r="M874" t="s">
        <v>82</v>
      </c>
      <c r="N874" t="s">
        <v>35</v>
      </c>
    </row>
    <row r="875" spans="1:14" x14ac:dyDescent="0.25">
      <c r="A875" t="s">
        <v>2661</v>
      </c>
      <c r="B875" s="1">
        <v>45972</v>
      </c>
      <c r="C875" t="s">
        <v>2662</v>
      </c>
      <c r="D875" t="s">
        <v>2663</v>
      </c>
      <c r="E875" s="14">
        <v>923006221021</v>
      </c>
      <c r="F875" t="s">
        <v>67</v>
      </c>
      <c r="G875" t="s">
        <v>18</v>
      </c>
      <c r="H875" t="s">
        <v>19</v>
      </c>
      <c r="I875">
        <v>4</v>
      </c>
      <c r="J875">
        <v>10437</v>
      </c>
      <c r="K875">
        <v>41748</v>
      </c>
      <c r="L875" t="s">
        <v>40</v>
      </c>
      <c r="M875" t="s">
        <v>82</v>
      </c>
      <c r="N875" t="s">
        <v>35</v>
      </c>
    </row>
    <row r="876" spans="1:14" x14ac:dyDescent="0.25">
      <c r="A876" t="s">
        <v>2664</v>
      </c>
      <c r="B876" s="1">
        <v>45977</v>
      </c>
      <c r="C876" t="s">
        <v>2665</v>
      </c>
      <c r="D876" t="s">
        <v>2666</v>
      </c>
      <c r="E876" s="14">
        <v>923351096838</v>
      </c>
      <c r="F876" t="s">
        <v>67</v>
      </c>
      <c r="G876" t="s">
        <v>18</v>
      </c>
      <c r="H876" t="s">
        <v>39</v>
      </c>
      <c r="I876">
        <v>1</v>
      </c>
      <c r="J876">
        <v>13083</v>
      </c>
      <c r="K876">
        <v>13083</v>
      </c>
      <c r="L876" t="s">
        <v>26</v>
      </c>
      <c r="M876" t="s">
        <v>82</v>
      </c>
      <c r="N876" t="s">
        <v>35</v>
      </c>
    </row>
    <row r="877" spans="1:14" x14ac:dyDescent="0.25">
      <c r="A877" t="s">
        <v>2667</v>
      </c>
      <c r="B877" s="1">
        <v>46036</v>
      </c>
      <c r="C877" t="s">
        <v>2668</v>
      </c>
      <c r="D877" t="s">
        <v>2669</v>
      </c>
      <c r="E877" s="14">
        <v>923001433796</v>
      </c>
      <c r="F877" t="s">
        <v>54</v>
      </c>
      <c r="G877" t="s">
        <v>18</v>
      </c>
      <c r="H877" t="s">
        <v>19</v>
      </c>
      <c r="I877">
        <v>3</v>
      </c>
      <c r="J877">
        <v>12397</v>
      </c>
      <c r="K877">
        <v>37191</v>
      </c>
      <c r="L877" t="s">
        <v>78</v>
      </c>
      <c r="M877" t="s">
        <v>55</v>
      </c>
      <c r="N877" t="s">
        <v>35</v>
      </c>
    </row>
    <row r="878" spans="1:14" x14ac:dyDescent="0.25">
      <c r="A878" t="s">
        <v>2670</v>
      </c>
      <c r="B878" s="1">
        <v>45907</v>
      </c>
      <c r="C878" t="s">
        <v>2671</v>
      </c>
      <c r="D878" t="s">
        <v>2672</v>
      </c>
      <c r="E878" s="14">
        <v>923442647973</v>
      </c>
      <c r="F878" t="s">
        <v>106</v>
      </c>
      <c r="G878" t="s">
        <v>18</v>
      </c>
      <c r="H878" t="s">
        <v>39</v>
      </c>
      <c r="I878">
        <v>4</v>
      </c>
      <c r="J878">
        <v>8618</v>
      </c>
      <c r="K878">
        <v>34472</v>
      </c>
      <c r="L878" t="s">
        <v>40</v>
      </c>
      <c r="M878" t="s">
        <v>45</v>
      </c>
      <c r="N878" t="s">
        <v>22</v>
      </c>
    </row>
    <row r="879" spans="1:14" x14ac:dyDescent="0.25">
      <c r="A879" t="s">
        <v>2673</v>
      </c>
      <c r="B879" s="1">
        <v>46008</v>
      </c>
      <c r="C879" t="s">
        <v>2674</v>
      </c>
      <c r="D879" t="s">
        <v>2675</v>
      </c>
      <c r="E879" s="14">
        <v>923392601057</v>
      </c>
      <c r="F879" t="s">
        <v>122</v>
      </c>
      <c r="G879" t="s">
        <v>18</v>
      </c>
      <c r="H879" t="s">
        <v>73</v>
      </c>
      <c r="I879">
        <v>2</v>
      </c>
      <c r="J879">
        <v>10980</v>
      </c>
      <c r="K879">
        <v>21960</v>
      </c>
      <c r="L879" t="s">
        <v>40</v>
      </c>
      <c r="M879" t="s">
        <v>34</v>
      </c>
      <c r="N879" t="s">
        <v>69</v>
      </c>
    </row>
    <row r="880" spans="1:14" x14ac:dyDescent="0.25">
      <c r="A880" t="s">
        <v>2676</v>
      </c>
      <c r="B880" s="1">
        <v>46033</v>
      </c>
      <c r="C880" t="s">
        <v>2677</v>
      </c>
      <c r="D880" t="s">
        <v>2678</v>
      </c>
      <c r="E880" s="14">
        <v>923001340423</v>
      </c>
      <c r="F880" t="s">
        <v>44</v>
      </c>
      <c r="G880" t="s">
        <v>18</v>
      </c>
      <c r="H880" t="s">
        <v>73</v>
      </c>
      <c r="I880">
        <v>5</v>
      </c>
      <c r="J880">
        <v>7455</v>
      </c>
      <c r="K880">
        <v>37275</v>
      </c>
      <c r="L880" t="s">
        <v>63</v>
      </c>
      <c r="M880" t="s">
        <v>82</v>
      </c>
      <c r="N880" t="s">
        <v>35</v>
      </c>
    </row>
    <row r="881" spans="1:14" x14ac:dyDescent="0.25">
      <c r="A881" t="s">
        <v>2679</v>
      </c>
      <c r="B881" s="1">
        <v>45770</v>
      </c>
      <c r="C881" t="s">
        <v>2680</v>
      </c>
      <c r="D881" t="s">
        <v>2681</v>
      </c>
      <c r="E881" s="14">
        <v>923492173775</v>
      </c>
      <c r="F881" t="s">
        <v>54</v>
      </c>
      <c r="G881" t="s">
        <v>18</v>
      </c>
      <c r="H881" t="s">
        <v>50</v>
      </c>
      <c r="I881">
        <v>1</v>
      </c>
      <c r="J881">
        <v>11694</v>
      </c>
      <c r="K881">
        <v>11694</v>
      </c>
      <c r="L881" t="s">
        <v>26</v>
      </c>
      <c r="M881" t="s">
        <v>45</v>
      </c>
      <c r="N881" t="s">
        <v>69</v>
      </c>
    </row>
    <row r="882" spans="1:14" x14ac:dyDescent="0.25">
      <c r="A882" t="s">
        <v>2682</v>
      </c>
      <c r="B882" s="1">
        <v>45735</v>
      </c>
      <c r="C882" t="s">
        <v>2683</v>
      </c>
      <c r="D882" t="s">
        <v>2684</v>
      </c>
      <c r="E882" s="14">
        <v>923336725840</v>
      </c>
      <c r="F882" t="s">
        <v>92</v>
      </c>
      <c r="G882" t="s">
        <v>18</v>
      </c>
      <c r="H882" t="s">
        <v>59</v>
      </c>
      <c r="I882">
        <v>2</v>
      </c>
      <c r="J882">
        <v>3091</v>
      </c>
      <c r="K882">
        <v>6182</v>
      </c>
      <c r="L882" t="s">
        <v>68</v>
      </c>
      <c r="M882" t="s">
        <v>27</v>
      </c>
      <c r="N882" t="s">
        <v>35</v>
      </c>
    </row>
    <row r="883" spans="1:14" x14ac:dyDescent="0.25">
      <c r="A883" t="s">
        <v>2685</v>
      </c>
      <c r="B883" s="1">
        <v>45888</v>
      </c>
      <c r="C883" t="s">
        <v>2686</v>
      </c>
      <c r="D883" t="s">
        <v>2687</v>
      </c>
      <c r="E883" s="14">
        <v>923416456001</v>
      </c>
      <c r="F883" t="s">
        <v>67</v>
      </c>
      <c r="G883" t="s">
        <v>18</v>
      </c>
      <c r="H883" t="s">
        <v>50</v>
      </c>
      <c r="I883">
        <v>4</v>
      </c>
      <c r="J883">
        <v>7809</v>
      </c>
      <c r="K883">
        <v>31236</v>
      </c>
      <c r="L883" t="s">
        <v>68</v>
      </c>
      <c r="M883" t="s">
        <v>27</v>
      </c>
      <c r="N883" t="s">
        <v>35</v>
      </c>
    </row>
    <row r="884" spans="1:14" x14ac:dyDescent="0.25">
      <c r="A884" t="s">
        <v>2688</v>
      </c>
      <c r="B884" s="1">
        <v>46015</v>
      </c>
      <c r="C884" t="s">
        <v>2689</v>
      </c>
      <c r="D884" t="s">
        <v>2690</v>
      </c>
      <c r="E884" s="14">
        <v>923201766403</v>
      </c>
      <c r="F884" t="s">
        <v>49</v>
      </c>
      <c r="G884" t="s">
        <v>18</v>
      </c>
      <c r="H884" t="s">
        <v>59</v>
      </c>
      <c r="I884">
        <v>3</v>
      </c>
      <c r="J884">
        <v>13509</v>
      </c>
      <c r="K884">
        <v>40527</v>
      </c>
      <c r="L884" t="s">
        <v>40</v>
      </c>
      <c r="M884" t="s">
        <v>93</v>
      </c>
      <c r="N884" t="s">
        <v>28</v>
      </c>
    </row>
    <row r="885" spans="1:14" x14ac:dyDescent="0.25">
      <c r="A885" t="s">
        <v>2691</v>
      </c>
      <c r="B885" s="1">
        <v>45831</v>
      </c>
      <c r="C885" t="s">
        <v>2692</v>
      </c>
      <c r="D885" t="s">
        <v>2693</v>
      </c>
      <c r="E885" s="14">
        <v>923457938029</v>
      </c>
      <c r="F885" t="s">
        <v>49</v>
      </c>
      <c r="G885" t="s">
        <v>18</v>
      </c>
      <c r="H885" t="s">
        <v>19</v>
      </c>
      <c r="I885">
        <v>3</v>
      </c>
      <c r="J885">
        <v>10645</v>
      </c>
      <c r="K885">
        <v>31935</v>
      </c>
      <c r="L885" t="s">
        <v>40</v>
      </c>
      <c r="M885" t="s">
        <v>27</v>
      </c>
      <c r="N885" t="s">
        <v>28</v>
      </c>
    </row>
    <row r="886" spans="1:14" x14ac:dyDescent="0.25">
      <c r="A886" t="s">
        <v>2694</v>
      </c>
      <c r="B886" s="1">
        <v>45878</v>
      </c>
      <c r="C886" t="s">
        <v>2695</v>
      </c>
      <c r="D886" t="s">
        <v>2696</v>
      </c>
      <c r="E886" s="14">
        <v>923061617567</v>
      </c>
      <c r="F886" t="s">
        <v>106</v>
      </c>
      <c r="G886" t="s">
        <v>18</v>
      </c>
      <c r="H886" t="s">
        <v>19</v>
      </c>
      <c r="I886">
        <v>3</v>
      </c>
      <c r="J886">
        <v>13586</v>
      </c>
      <c r="K886">
        <v>40758</v>
      </c>
      <c r="L886" t="s">
        <v>40</v>
      </c>
      <c r="M886" t="s">
        <v>93</v>
      </c>
      <c r="N886" t="s">
        <v>35</v>
      </c>
    </row>
    <row r="887" spans="1:14" x14ac:dyDescent="0.25">
      <c r="A887" t="s">
        <v>2697</v>
      </c>
      <c r="B887" s="1">
        <v>45940</v>
      </c>
      <c r="C887" t="s">
        <v>2698</v>
      </c>
      <c r="D887" t="s">
        <v>2699</v>
      </c>
      <c r="E887" s="14">
        <v>923181299139</v>
      </c>
      <c r="F887" t="s">
        <v>49</v>
      </c>
      <c r="G887" t="s">
        <v>18</v>
      </c>
      <c r="H887" t="s">
        <v>39</v>
      </c>
      <c r="I887">
        <v>1</v>
      </c>
      <c r="J887">
        <v>6871</v>
      </c>
      <c r="K887">
        <v>6871</v>
      </c>
      <c r="L887" t="s">
        <v>63</v>
      </c>
      <c r="M887" t="s">
        <v>135</v>
      </c>
      <c r="N887" t="s">
        <v>35</v>
      </c>
    </row>
    <row r="888" spans="1:14" x14ac:dyDescent="0.25">
      <c r="A888" t="s">
        <v>2700</v>
      </c>
      <c r="B888" s="1">
        <v>45829</v>
      </c>
      <c r="C888" t="s">
        <v>2701</v>
      </c>
      <c r="D888" t="s">
        <v>2702</v>
      </c>
      <c r="E888" s="14">
        <v>923025693858</v>
      </c>
      <c r="F888" t="s">
        <v>44</v>
      </c>
      <c r="G888" t="s">
        <v>18</v>
      </c>
      <c r="H888" t="s">
        <v>59</v>
      </c>
      <c r="I888">
        <v>2</v>
      </c>
      <c r="J888">
        <v>6010</v>
      </c>
      <c r="K888">
        <v>12020</v>
      </c>
      <c r="L888" t="s">
        <v>63</v>
      </c>
      <c r="M888" t="s">
        <v>55</v>
      </c>
      <c r="N888" t="s">
        <v>35</v>
      </c>
    </row>
    <row r="889" spans="1:14" x14ac:dyDescent="0.25">
      <c r="A889" t="s">
        <v>2703</v>
      </c>
      <c r="B889" s="1">
        <v>45780</v>
      </c>
      <c r="C889" t="s">
        <v>2704</v>
      </c>
      <c r="D889" t="s">
        <v>2705</v>
      </c>
      <c r="E889" s="14">
        <v>923094450468</v>
      </c>
      <c r="F889" t="s">
        <v>54</v>
      </c>
      <c r="G889" t="s">
        <v>18</v>
      </c>
      <c r="H889" t="s">
        <v>50</v>
      </c>
      <c r="I889">
        <v>1</v>
      </c>
      <c r="J889">
        <v>12489</v>
      </c>
      <c r="K889">
        <v>12489</v>
      </c>
      <c r="L889" t="s">
        <v>40</v>
      </c>
      <c r="M889" t="s">
        <v>82</v>
      </c>
      <c r="N889" t="s">
        <v>35</v>
      </c>
    </row>
    <row r="890" spans="1:14" x14ac:dyDescent="0.25">
      <c r="A890" t="s">
        <v>2706</v>
      </c>
      <c r="B890" s="1">
        <v>45961</v>
      </c>
      <c r="C890" t="s">
        <v>2707</v>
      </c>
      <c r="D890" t="s">
        <v>2708</v>
      </c>
      <c r="E890" s="14">
        <v>923045260000</v>
      </c>
      <c r="F890" t="s">
        <v>122</v>
      </c>
      <c r="G890" t="s">
        <v>18</v>
      </c>
      <c r="H890" t="s">
        <v>19</v>
      </c>
      <c r="I890">
        <v>2</v>
      </c>
      <c r="J890">
        <v>2870</v>
      </c>
      <c r="K890">
        <v>5740</v>
      </c>
      <c r="L890" t="s">
        <v>63</v>
      </c>
      <c r="M890" t="s">
        <v>27</v>
      </c>
      <c r="N890" t="s">
        <v>22</v>
      </c>
    </row>
    <row r="891" spans="1:14" x14ac:dyDescent="0.25">
      <c r="A891" t="s">
        <v>2709</v>
      </c>
      <c r="B891" s="1">
        <v>46018</v>
      </c>
      <c r="C891" t="s">
        <v>2710</v>
      </c>
      <c r="D891" t="s">
        <v>2711</v>
      </c>
      <c r="E891" s="14">
        <v>923453493458</v>
      </c>
      <c r="F891" t="s">
        <v>122</v>
      </c>
      <c r="G891" t="s">
        <v>18</v>
      </c>
      <c r="H891" t="s">
        <v>39</v>
      </c>
      <c r="I891">
        <v>5</v>
      </c>
      <c r="J891">
        <v>7714</v>
      </c>
      <c r="K891">
        <v>38570</v>
      </c>
      <c r="L891" t="s">
        <v>63</v>
      </c>
      <c r="M891" t="s">
        <v>55</v>
      </c>
      <c r="N891" t="s">
        <v>35</v>
      </c>
    </row>
    <row r="892" spans="1:14" x14ac:dyDescent="0.25">
      <c r="A892" t="s">
        <v>2712</v>
      </c>
      <c r="B892" s="1">
        <v>45828</v>
      </c>
      <c r="C892" t="s">
        <v>2713</v>
      </c>
      <c r="D892" t="s">
        <v>2714</v>
      </c>
      <c r="E892" s="14">
        <v>923438065675</v>
      </c>
      <c r="F892" t="s">
        <v>67</v>
      </c>
      <c r="G892" t="s">
        <v>18</v>
      </c>
      <c r="H892" t="s">
        <v>39</v>
      </c>
      <c r="I892">
        <v>3</v>
      </c>
      <c r="J892">
        <v>4790</v>
      </c>
      <c r="K892">
        <v>14370</v>
      </c>
      <c r="L892" t="s">
        <v>40</v>
      </c>
      <c r="M892" t="s">
        <v>27</v>
      </c>
      <c r="N892" t="s">
        <v>22</v>
      </c>
    </row>
    <row r="893" spans="1:14" x14ac:dyDescent="0.25">
      <c r="A893" t="s">
        <v>2715</v>
      </c>
      <c r="B893" s="1">
        <v>45986</v>
      </c>
      <c r="C893" t="s">
        <v>2716</v>
      </c>
      <c r="D893" t="s">
        <v>2717</v>
      </c>
      <c r="E893" s="14">
        <v>923182110320</v>
      </c>
      <c r="F893" t="s">
        <v>92</v>
      </c>
      <c r="G893" t="s">
        <v>18</v>
      </c>
      <c r="H893" t="s">
        <v>50</v>
      </c>
      <c r="I893">
        <v>2</v>
      </c>
      <c r="J893">
        <v>10585</v>
      </c>
      <c r="K893">
        <v>21170</v>
      </c>
      <c r="L893" t="s">
        <v>40</v>
      </c>
      <c r="M893" t="s">
        <v>93</v>
      </c>
      <c r="N893" t="s">
        <v>35</v>
      </c>
    </row>
    <row r="894" spans="1:14" x14ac:dyDescent="0.25">
      <c r="A894" t="s">
        <v>2718</v>
      </c>
      <c r="B894" s="1">
        <v>45968</v>
      </c>
      <c r="C894" t="s">
        <v>2719</v>
      </c>
      <c r="D894" t="s">
        <v>2720</v>
      </c>
      <c r="E894" s="14">
        <v>923163332048</v>
      </c>
      <c r="F894" t="s">
        <v>54</v>
      </c>
      <c r="G894" t="s">
        <v>18</v>
      </c>
      <c r="H894" t="s">
        <v>19</v>
      </c>
      <c r="I894">
        <v>3</v>
      </c>
      <c r="J894">
        <v>10338</v>
      </c>
      <c r="K894">
        <v>31014</v>
      </c>
      <c r="L894" t="s">
        <v>63</v>
      </c>
      <c r="M894" t="s">
        <v>21</v>
      </c>
      <c r="N894" t="s">
        <v>69</v>
      </c>
    </row>
    <row r="895" spans="1:14" x14ac:dyDescent="0.25">
      <c r="A895" t="s">
        <v>2721</v>
      </c>
      <c r="B895" s="1">
        <v>45944</v>
      </c>
      <c r="C895" t="s">
        <v>2722</v>
      </c>
      <c r="D895" t="s">
        <v>2723</v>
      </c>
      <c r="E895" s="14">
        <v>923391232852</v>
      </c>
      <c r="F895" t="s">
        <v>106</v>
      </c>
      <c r="G895" t="s">
        <v>18</v>
      </c>
      <c r="H895" t="s">
        <v>39</v>
      </c>
      <c r="I895">
        <v>2</v>
      </c>
      <c r="J895">
        <v>2382</v>
      </c>
      <c r="K895">
        <v>4764</v>
      </c>
      <c r="L895" t="s">
        <v>40</v>
      </c>
      <c r="M895" t="s">
        <v>21</v>
      </c>
      <c r="N895" t="s">
        <v>35</v>
      </c>
    </row>
    <row r="896" spans="1:14" x14ac:dyDescent="0.25">
      <c r="A896" t="s">
        <v>2724</v>
      </c>
      <c r="B896" s="1">
        <v>45849</v>
      </c>
      <c r="C896" t="s">
        <v>2725</v>
      </c>
      <c r="D896" t="s">
        <v>2726</v>
      </c>
      <c r="E896" s="14">
        <v>923302744564</v>
      </c>
      <c r="F896" t="s">
        <v>77</v>
      </c>
      <c r="G896" t="s">
        <v>18</v>
      </c>
      <c r="H896" t="s">
        <v>50</v>
      </c>
      <c r="I896">
        <v>1</v>
      </c>
      <c r="J896">
        <v>10317</v>
      </c>
      <c r="K896">
        <v>10317</v>
      </c>
      <c r="L896" t="s">
        <v>26</v>
      </c>
      <c r="M896" t="s">
        <v>93</v>
      </c>
      <c r="N896" t="s">
        <v>69</v>
      </c>
    </row>
    <row r="897" spans="1:14" x14ac:dyDescent="0.25">
      <c r="A897" t="s">
        <v>2727</v>
      </c>
      <c r="B897" s="1">
        <v>46033</v>
      </c>
      <c r="C897" t="s">
        <v>2728</v>
      </c>
      <c r="D897" t="s">
        <v>2729</v>
      </c>
      <c r="E897" s="14">
        <v>923433206187</v>
      </c>
      <c r="F897" t="s">
        <v>44</v>
      </c>
      <c r="G897" t="s">
        <v>18</v>
      </c>
      <c r="H897" t="s">
        <v>59</v>
      </c>
      <c r="I897">
        <v>3</v>
      </c>
      <c r="J897">
        <v>13198</v>
      </c>
      <c r="K897">
        <v>39594</v>
      </c>
      <c r="L897" t="s">
        <v>26</v>
      </c>
      <c r="M897" t="s">
        <v>135</v>
      </c>
      <c r="N897" t="s">
        <v>35</v>
      </c>
    </row>
    <row r="898" spans="1:14" x14ac:dyDescent="0.25">
      <c r="A898" t="s">
        <v>2730</v>
      </c>
      <c r="B898" s="1">
        <v>45928</v>
      </c>
      <c r="C898" t="s">
        <v>2731</v>
      </c>
      <c r="D898" t="s">
        <v>2732</v>
      </c>
      <c r="E898" s="14">
        <v>923313395515</v>
      </c>
      <c r="F898" t="s">
        <v>17</v>
      </c>
      <c r="G898" t="s">
        <v>18</v>
      </c>
      <c r="H898" t="s">
        <v>73</v>
      </c>
      <c r="I898">
        <v>5</v>
      </c>
      <c r="J898">
        <v>12754</v>
      </c>
      <c r="K898">
        <v>63770</v>
      </c>
      <c r="L898" t="s">
        <v>40</v>
      </c>
      <c r="M898" t="s">
        <v>82</v>
      </c>
      <c r="N898" t="s">
        <v>28</v>
      </c>
    </row>
    <row r="899" spans="1:14" x14ac:dyDescent="0.25">
      <c r="A899" t="s">
        <v>2733</v>
      </c>
      <c r="B899" s="1">
        <v>45750</v>
      </c>
      <c r="C899" t="s">
        <v>2734</v>
      </c>
      <c r="D899" t="s">
        <v>2735</v>
      </c>
      <c r="E899" s="14">
        <v>923024145193</v>
      </c>
      <c r="F899" t="s">
        <v>32</v>
      </c>
      <c r="G899" t="s">
        <v>18</v>
      </c>
      <c r="H899" t="s">
        <v>73</v>
      </c>
      <c r="I899">
        <v>5</v>
      </c>
      <c r="J899">
        <v>10349</v>
      </c>
      <c r="K899">
        <v>51745</v>
      </c>
      <c r="L899" t="s">
        <v>78</v>
      </c>
      <c r="M899" t="s">
        <v>27</v>
      </c>
      <c r="N899" t="s">
        <v>35</v>
      </c>
    </row>
    <row r="900" spans="1:14" x14ac:dyDescent="0.25">
      <c r="A900" t="s">
        <v>2736</v>
      </c>
      <c r="B900" s="1">
        <v>45812</v>
      </c>
      <c r="C900" t="s">
        <v>2737</v>
      </c>
      <c r="D900" t="s">
        <v>2738</v>
      </c>
      <c r="E900" s="14">
        <v>923210420768</v>
      </c>
      <c r="F900" t="s">
        <v>49</v>
      </c>
      <c r="G900" t="s">
        <v>18</v>
      </c>
      <c r="H900" t="s">
        <v>73</v>
      </c>
      <c r="I900">
        <v>3</v>
      </c>
      <c r="J900">
        <v>8318</v>
      </c>
      <c r="K900">
        <v>24954</v>
      </c>
      <c r="L900" t="s">
        <v>78</v>
      </c>
      <c r="M900" t="s">
        <v>21</v>
      </c>
      <c r="N900" t="s">
        <v>69</v>
      </c>
    </row>
    <row r="901" spans="1:14" x14ac:dyDescent="0.25">
      <c r="A901" t="s">
        <v>2739</v>
      </c>
      <c r="B901" s="1">
        <v>45706</v>
      </c>
      <c r="C901" t="s">
        <v>2740</v>
      </c>
      <c r="D901" t="s">
        <v>2741</v>
      </c>
      <c r="E901" s="14">
        <v>923473670761</v>
      </c>
      <c r="F901" t="s">
        <v>122</v>
      </c>
      <c r="G901" t="s">
        <v>18</v>
      </c>
      <c r="H901" t="s">
        <v>50</v>
      </c>
      <c r="I901">
        <v>2</v>
      </c>
      <c r="J901">
        <v>8263</v>
      </c>
      <c r="K901">
        <v>16526</v>
      </c>
      <c r="L901" t="s">
        <v>78</v>
      </c>
      <c r="M901" t="s">
        <v>55</v>
      </c>
      <c r="N901" t="s">
        <v>22</v>
      </c>
    </row>
    <row r="902" spans="1:14" x14ac:dyDescent="0.25">
      <c r="A902" t="s">
        <v>2742</v>
      </c>
      <c r="B902" s="1">
        <v>45731</v>
      </c>
      <c r="C902" t="s">
        <v>2743</v>
      </c>
      <c r="D902" t="s">
        <v>2744</v>
      </c>
      <c r="E902" s="14">
        <v>923225754549</v>
      </c>
      <c r="F902" t="s">
        <v>54</v>
      </c>
      <c r="G902" t="s">
        <v>18</v>
      </c>
      <c r="H902" t="s">
        <v>73</v>
      </c>
      <c r="I902">
        <v>2</v>
      </c>
      <c r="J902">
        <v>10963</v>
      </c>
      <c r="K902">
        <v>21926</v>
      </c>
      <c r="L902" t="s">
        <v>40</v>
      </c>
      <c r="M902" t="s">
        <v>27</v>
      </c>
      <c r="N902" t="s">
        <v>22</v>
      </c>
    </row>
    <row r="903" spans="1:14" x14ac:dyDescent="0.25">
      <c r="A903" t="s">
        <v>2745</v>
      </c>
      <c r="B903" s="1">
        <v>45894</v>
      </c>
      <c r="C903" t="s">
        <v>2746</v>
      </c>
      <c r="D903" t="s">
        <v>2747</v>
      </c>
      <c r="E903" s="14">
        <v>923416868565</v>
      </c>
      <c r="F903" t="s">
        <v>49</v>
      </c>
      <c r="G903" t="s">
        <v>18</v>
      </c>
      <c r="H903" t="s">
        <v>50</v>
      </c>
      <c r="I903">
        <v>1</v>
      </c>
      <c r="J903">
        <v>8418</v>
      </c>
      <c r="K903">
        <v>8418</v>
      </c>
      <c r="L903" t="s">
        <v>63</v>
      </c>
      <c r="M903" t="s">
        <v>45</v>
      </c>
      <c r="N903" t="s">
        <v>22</v>
      </c>
    </row>
    <row r="904" spans="1:14" x14ac:dyDescent="0.25">
      <c r="A904" t="s">
        <v>2748</v>
      </c>
      <c r="B904" s="1">
        <v>45810</v>
      </c>
      <c r="C904" t="s">
        <v>2749</v>
      </c>
      <c r="D904" t="s">
        <v>2750</v>
      </c>
      <c r="E904" s="14">
        <v>923318850623</v>
      </c>
      <c r="F904" t="s">
        <v>92</v>
      </c>
      <c r="G904" t="s">
        <v>18</v>
      </c>
      <c r="H904" t="s">
        <v>73</v>
      </c>
      <c r="I904">
        <v>4</v>
      </c>
      <c r="J904">
        <v>7034</v>
      </c>
      <c r="K904">
        <v>28136</v>
      </c>
      <c r="L904" t="s">
        <v>26</v>
      </c>
      <c r="M904" t="s">
        <v>21</v>
      </c>
      <c r="N904" t="s">
        <v>28</v>
      </c>
    </row>
    <row r="905" spans="1:14" x14ac:dyDescent="0.25">
      <c r="A905" t="s">
        <v>2751</v>
      </c>
      <c r="B905" s="1">
        <v>45742</v>
      </c>
      <c r="C905" t="s">
        <v>2752</v>
      </c>
      <c r="D905" t="s">
        <v>2753</v>
      </c>
      <c r="E905" s="14">
        <v>923195785428</v>
      </c>
      <c r="F905" t="s">
        <v>106</v>
      </c>
      <c r="G905" t="s">
        <v>18</v>
      </c>
      <c r="H905" t="s">
        <v>19</v>
      </c>
      <c r="I905">
        <v>5</v>
      </c>
      <c r="J905">
        <v>6096</v>
      </c>
      <c r="K905">
        <v>30480</v>
      </c>
      <c r="L905" t="s">
        <v>26</v>
      </c>
      <c r="M905" t="s">
        <v>93</v>
      </c>
      <c r="N905" t="s">
        <v>35</v>
      </c>
    </row>
    <row r="906" spans="1:14" x14ac:dyDescent="0.25">
      <c r="A906" t="s">
        <v>2754</v>
      </c>
      <c r="B906" s="1">
        <v>46000</v>
      </c>
      <c r="C906" t="s">
        <v>2755</v>
      </c>
      <c r="D906" t="s">
        <v>2756</v>
      </c>
      <c r="E906" s="14">
        <v>923032367660</v>
      </c>
      <c r="F906" t="s">
        <v>106</v>
      </c>
      <c r="G906" t="s">
        <v>18</v>
      </c>
      <c r="H906" t="s">
        <v>50</v>
      </c>
      <c r="I906">
        <v>3</v>
      </c>
      <c r="J906">
        <v>13498</v>
      </c>
      <c r="K906">
        <v>40494</v>
      </c>
      <c r="L906" t="s">
        <v>63</v>
      </c>
      <c r="M906" t="s">
        <v>34</v>
      </c>
      <c r="N906" t="s">
        <v>69</v>
      </c>
    </row>
    <row r="907" spans="1:14" x14ac:dyDescent="0.25">
      <c r="A907" t="s">
        <v>2757</v>
      </c>
      <c r="B907" s="1">
        <v>45854</v>
      </c>
      <c r="C907" t="s">
        <v>2758</v>
      </c>
      <c r="D907" t="s">
        <v>2759</v>
      </c>
      <c r="E907" s="14">
        <v>923318066132</v>
      </c>
      <c r="F907" t="s">
        <v>92</v>
      </c>
      <c r="G907" t="s">
        <v>18</v>
      </c>
      <c r="H907" t="s">
        <v>33</v>
      </c>
      <c r="I907">
        <v>5</v>
      </c>
      <c r="J907">
        <v>12506</v>
      </c>
      <c r="K907">
        <v>62530</v>
      </c>
      <c r="L907" t="s">
        <v>78</v>
      </c>
      <c r="M907" t="s">
        <v>93</v>
      </c>
      <c r="N907" t="s">
        <v>22</v>
      </c>
    </row>
    <row r="908" spans="1:14" x14ac:dyDescent="0.25">
      <c r="A908" t="s">
        <v>2760</v>
      </c>
      <c r="B908" s="1">
        <v>46021</v>
      </c>
      <c r="C908" t="s">
        <v>2761</v>
      </c>
      <c r="D908" t="s">
        <v>2762</v>
      </c>
      <c r="E908" s="14">
        <v>923087964106</v>
      </c>
      <c r="F908" t="s">
        <v>67</v>
      </c>
      <c r="G908" t="s">
        <v>18</v>
      </c>
      <c r="H908" t="s">
        <v>33</v>
      </c>
      <c r="I908">
        <v>4</v>
      </c>
      <c r="J908">
        <v>5975</v>
      </c>
      <c r="K908">
        <v>23900</v>
      </c>
      <c r="L908" t="s">
        <v>20</v>
      </c>
      <c r="M908" t="s">
        <v>135</v>
      </c>
      <c r="N908" t="s">
        <v>28</v>
      </c>
    </row>
    <row r="909" spans="1:14" x14ac:dyDescent="0.25">
      <c r="A909" t="s">
        <v>2763</v>
      </c>
      <c r="B909" s="1">
        <v>45762</v>
      </c>
      <c r="C909" t="s">
        <v>2764</v>
      </c>
      <c r="D909" t="s">
        <v>2765</v>
      </c>
      <c r="E909" s="14">
        <v>923349765667</v>
      </c>
      <c r="F909" t="s">
        <v>122</v>
      </c>
      <c r="G909" t="s">
        <v>18</v>
      </c>
      <c r="H909" t="s">
        <v>59</v>
      </c>
      <c r="I909">
        <v>1</v>
      </c>
      <c r="J909">
        <v>4086</v>
      </c>
      <c r="K909">
        <v>4086</v>
      </c>
      <c r="L909" t="s">
        <v>40</v>
      </c>
      <c r="M909" t="s">
        <v>93</v>
      </c>
      <c r="N909" t="s">
        <v>22</v>
      </c>
    </row>
    <row r="910" spans="1:14" x14ac:dyDescent="0.25">
      <c r="A910" t="s">
        <v>2766</v>
      </c>
      <c r="B910" s="1">
        <v>45983</v>
      </c>
      <c r="C910" t="s">
        <v>2767</v>
      </c>
      <c r="D910" t="s">
        <v>2768</v>
      </c>
      <c r="E910" s="14">
        <v>923342278560</v>
      </c>
      <c r="F910" t="s">
        <v>106</v>
      </c>
      <c r="G910" t="s">
        <v>18</v>
      </c>
      <c r="H910" t="s">
        <v>39</v>
      </c>
      <c r="I910">
        <v>4</v>
      </c>
      <c r="J910">
        <v>2176</v>
      </c>
      <c r="K910">
        <v>8704</v>
      </c>
      <c r="L910" t="s">
        <v>26</v>
      </c>
      <c r="M910" t="s">
        <v>27</v>
      </c>
      <c r="N910" t="s">
        <v>28</v>
      </c>
    </row>
    <row r="911" spans="1:14" x14ac:dyDescent="0.25">
      <c r="A911" t="s">
        <v>2769</v>
      </c>
      <c r="B911" s="1">
        <v>45950</v>
      </c>
      <c r="C911" t="s">
        <v>2770</v>
      </c>
      <c r="D911" t="s">
        <v>2771</v>
      </c>
      <c r="E911" s="14">
        <v>923276463807</v>
      </c>
      <c r="F911" t="s">
        <v>92</v>
      </c>
      <c r="G911" t="s">
        <v>18</v>
      </c>
      <c r="H911" t="s">
        <v>59</v>
      </c>
      <c r="I911">
        <v>1</v>
      </c>
      <c r="J911">
        <v>1070</v>
      </c>
      <c r="K911">
        <v>1070</v>
      </c>
      <c r="L911" t="s">
        <v>63</v>
      </c>
      <c r="M911" t="s">
        <v>45</v>
      </c>
      <c r="N911" t="s">
        <v>35</v>
      </c>
    </row>
    <row r="912" spans="1:14" x14ac:dyDescent="0.25">
      <c r="A912" t="s">
        <v>2772</v>
      </c>
      <c r="B912" s="1">
        <v>45754</v>
      </c>
      <c r="C912" t="s">
        <v>2773</v>
      </c>
      <c r="D912" t="s">
        <v>2774</v>
      </c>
      <c r="E912" s="14">
        <v>923204959288</v>
      </c>
      <c r="F912" t="s">
        <v>54</v>
      </c>
      <c r="G912" t="s">
        <v>18</v>
      </c>
      <c r="H912" t="s">
        <v>33</v>
      </c>
      <c r="I912">
        <v>3</v>
      </c>
      <c r="J912">
        <v>11924</v>
      </c>
      <c r="K912">
        <v>35772</v>
      </c>
      <c r="L912" t="s">
        <v>68</v>
      </c>
      <c r="M912" t="s">
        <v>34</v>
      </c>
      <c r="N912" t="s">
        <v>28</v>
      </c>
    </row>
    <row r="913" spans="1:14" x14ac:dyDescent="0.25">
      <c r="A913" t="s">
        <v>2775</v>
      </c>
      <c r="B913" s="1">
        <v>46034</v>
      </c>
      <c r="C913" t="s">
        <v>2776</v>
      </c>
      <c r="D913" t="s">
        <v>2777</v>
      </c>
      <c r="E913" s="14">
        <v>923236254089</v>
      </c>
      <c r="F913" t="s">
        <v>49</v>
      </c>
      <c r="G913" t="s">
        <v>18</v>
      </c>
      <c r="H913" t="s">
        <v>59</v>
      </c>
      <c r="I913">
        <v>2</v>
      </c>
      <c r="J913">
        <v>6782</v>
      </c>
      <c r="K913">
        <v>13564</v>
      </c>
      <c r="L913" t="s">
        <v>63</v>
      </c>
      <c r="M913" t="s">
        <v>21</v>
      </c>
      <c r="N913" t="s">
        <v>35</v>
      </c>
    </row>
    <row r="914" spans="1:14" x14ac:dyDescent="0.25">
      <c r="A914" t="s">
        <v>2778</v>
      </c>
      <c r="B914" s="1">
        <v>45731</v>
      </c>
      <c r="C914" t="s">
        <v>2779</v>
      </c>
      <c r="D914" t="s">
        <v>2780</v>
      </c>
      <c r="E914" s="14">
        <v>923336665693</v>
      </c>
      <c r="F914" t="s">
        <v>49</v>
      </c>
      <c r="G914" t="s">
        <v>18</v>
      </c>
      <c r="H914" t="s">
        <v>33</v>
      </c>
      <c r="I914">
        <v>4</v>
      </c>
      <c r="J914">
        <v>3037</v>
      </c>
      <c r="K914">
        <v>12148</v>
      </c>
      <c r="L914" t="s">
        <v>78</v>
      </c>
      <c r="M914" t="s">
        <v>27</v>
      </c>
      <c r="N914" t="s">
        <v>22</v>
      </c>
    </row>
    <row r="915" spans="1:14" x14ac:dyDescent="0.25">
      <c r="A915" t="s">
        <v>2781</v>
      </c>
      <c r="B915" s="1">
        <v>45973</v>
      </c>
      <c r="C915" t="s">
        <v>2782</v>
      </c>
      <c r="D915" t="s">
        <v>2783</v>
      </c>
      <c r="E915" s="14">
        <v>923460378172</v>
      </c>
      <c r="F915" t="s">
        <v>54</v>
      </c>
      <c r="G915" t="s">
        <v>18</v>
      </c>
      <c r="H915" t="s">
        <v>33</v>
      </c>
      <c r="I915">
        <v>3</v>
      </c>
      <c r="J915">
        <v>3418</v>
      </c>
      <c r="K915">
        <v>10254</v>
      </c>
      <c r="L915" t="s">
        <v>78</v>
      </c>
      <c r="M915" t="s">
        <v>55</v>
      </c>
      <c r="N915" t="s">
        <v>22</v>
      </c>
    </row>
    <row r="916" spans="1:14" x14ac:dyDescent="0.25">
      <c r="A916" t="s">
        <v>2784</v>
      </c>
      <c r="B916" s="1">
        <v>46024</v>
      </c>
      <c r="C916" t="s">
        <v>2785</v>
      </c>
      <c r="D916" t="s">
        <v>2786</v>
      </c>
      <c r="E916" s="14">
        <v>923025522238</v>
      </c>
      <c r="F916" t="s">
        <v>32</v>
      </c>
      <c r="G916" t="s">
        <v>18</v>
      </c>
      <c r="H916" t="s">
        <v>59</v>
      </c>
      <c r="I916">
        <v>3</v>
      </c>
      <c r="J916">
        <v>3091</v>
      </c>
      <c r="K916">
        <v>9273</v>
      </c>
      <c r="L916" t="s">
        <v>63</v>
      </c>
      <c r="M916" t="s">
        <v>21</v>
      </c>
      <c r="N916" t="s">
        <v>28</v>
      </c>
    </row>
    <row r="917" spans="1:14" x14ac:dyDescent="0.25">
      <c r="A917" t="s">
        <v>2787</v>
      </c>
      <c r="B917" s="1">
        <v>45858</v>
      </c>
      <c r="C917" t="s">
        <v>2788</v>
      </c>
      <c r="D917" t="s">
        <v>2789</v>
      </c>
      <c r="E917" s="14">
        <v>923329359079</v>
      </c>
      <c r="F917" t="s">
        <v>122</v>
      </c>
      <c r="G917" t="s">
        <v>18</v>
      </c>
      <c r="H917" t="s">
        <v>59</v>
      </c>
      <c r="I917">
        <v>3</v>
      </c>
      <c r="J917">
        <v>1575</v>
      </c>
      <c r="K917">
        <v>4725</v>
      </c>
      <c r="L917" t="s">
        <v>78</v>
      </c>
      <c r="M917" t="s">
        <v>82</v>
      </c>
      <c r="N917" t="s">
        <v>28</v>
      </c>
    </row>
    <row r="918" spans="1:14" x14ac:dyDescent="0.25">
      <c r="A918" t="s">
        <v>2790</v>
      </c>
      <c r="B918" s="1">
        <v>45821</v>
      </c>
      <c r="C918" t="s">
        <v>2791</v>
      </c>
      <c r="D918" t="s">
        <v>2792</v>
      </c>
      <c r="E918" s="14">
        <v>923071176005</v>
      </c>
      <c r="F918" t="s">
        <v>106</v>
      </c>
      <c r="G918" t="s">
        <v>18</v>
      </c>
      <c r="H918" t="s">
        <v>59</v>
      </c>
      <c r="I918">
        <v>4</v>
      </c>
      <c r="J918">
        <v>10044</v>
      </c>
      <c r="K918">
        <v>40176</v>
      </c>
      <c r="L918" t="s">
        <v>78</v>
      </c>
      <c r="M918" t="s">
        <v>21</v>
      </c>
      <c r="N918" t="s">
        <v>69</v>
      </c>
    </row>
    <row r="919" spans="1:14" x14ac:dyDescent="0.25">
      <c r="A919" t="s">
        <v>2793</v>
      </c>
      <c r="B919" s="1">
        <v>45803</v>
      </c>
      <c r="C919" t="s">
        <v>2794</v>
      </c>
      <c r="D919" t="s">
        <v>2795</v>
      </c>
      <c r="E919" s="14">
        <v>923317272787</v>
      </c>
      <c r="F919" t="s">
        <v>32</v>
      </c>
      <c r="G919" t="s">
        <v>18</v>
      </c>
      <c r="H919" t="s">
        <v>50</v>
      </c>
      <c r="I919">
        <v>2</v>
      </c>
      <c r="J919">
        <v>2993</v>
      </c>
      <c r="K919">
        <v>5986</v>
      </c>
      <c r="L919" t="s">
        <v>68</v>
      </c>
      <c r="M919" t="s">
        <v>55</v>
      </c>
      <c r="N919" t="s">
        <v>69</v>
      </c>
    </row>
    <row r="920" spans="1:14" x14ac:dyDescent="0.25">
      <c r="A920" t="s">
        <v>2796</v>
      </c>
      <c r="B920" s="1">
        <v>45942</v>
      </c>
      <c r="C920" t="s">
        <v>2797</v>
      </c>
      <c r="D920" t="s">
        <v>2798</v>
      </c>
      <c r="E920" s="14">
        <v>923269309068</v>
      </c>
      <c r="F920" t="s">
        <v>17</v>
      </c>
      <c r="G920" t="s">
        <v>18</v>
      </c>
      <c r="H920" t="s">
        <v>33</v>
      </c>
      <c r="I920">
        <v>3</v>
      </c>
      <c r="J920">
        <v>9241</v>
      </c>
      <c r="K920">
        <v>27723</v>
      </c>
      <c r="L920" t="s">
        <v>20</v>
      </c>
      <c r="M920" t="s">
        <v>55</v>
      </c>
      <c r="N920" t="s">
        <v>22</v>
      </c>
    </row>
    <row r="921" spans="1:14" x14ac:dyDescent="0.25">
      <c r="A921" t="s">
        <v>2799</v>
      </c>
      <c r="B921" s="1">
        <v>45741</v>
      </c>
      <c r="C921" t="s">
        <v>2800</v>
      </c>
      <c r="D921" t="s">
        <v>2801</v>
      </c>
      <c r="E921" s="14">
        <v>923038717147</v>
      </c>
      <c r="F921" t="s">
        <v>92</v>
      </c>
      <c r="G921" t="s">
        <v>18</v>
      </c>
      <c r="H921" t="s">
        <v>33</v>
      </c>
      <c r="I921">
        <v>4</v>
      </c>
      <c r="J921">
        <v>2679</v>
      </c>
      <c r="K921">
        <v>10716</v>
      </c>
      <c r="L921" t="s">
        <v>40</v>
      </c>
      <c r="M921" t="s">
        <v>93</v>
      </c>
      <c r="N921" t="s">
        <v>69</v>
      </c>
    </row>
    <row r="922" spans="1:14" x14ac:dyDescent="0.25">
      <c r="A922" t="s">
        <v>2802</v>
      </c>
      <c r="B922" s="1">
        <v>45808</v>
      </c>
      <c r="C922" t="s">
        <v>2803</v>
      </c>
      <c r="D922" t="s">
        <v>2804</v>
      </c>
      <c r="E922" s="14">
        <v>923327698000</v>
      </c>
      <c r="F922" t="s">
        <v>54</v>
      </c>
      <c r="G922" t="s">
        <v>18</v>
      </c>
      <c r="H922" t="s">
        <v>33</v>
      </c>
      <c r="I922">
        <v>5</v>
      </c>
      <c r="J922">
        <v>5474</v>
      </c>
      <c r="K922">
        <v>27370</v>
      </c>
      <c r="L922" t="s">
        <v>78</v>
      </c>
      <c r="M922" t="s">
        <v>45</v>
      </c>
      <c r="N922" t="s">
        <v>35</v>
      </c>
    </row>
    <row r="923" spans="1:14" x14ac:dyDescent="0.25">
      <c r="A923" t="s">
        <v>2805</v>
      </c>
      <c r="B923" s="1">
        <v>45996</v>
      </c>
      <c r="C923" t="s">
        <v>2806</v>
      </c>
      <c r="D923" t="s">
        <v>2807</v>
      </c>
      <c r="E923" s="14">
        <v>923120517736</v>
      </c>
      <c r="F923" t="s">
        <v>122</v>
      </c>
      <c r="G923" t="s">
        <v>18</v>
      </c>
      <c r="H923" t="s">
        <v>33</v>
      </c>
      <c r="I923">
        <v>3</v>
      </c>
      <c r="J923">
        <v>3621</v>
      </c>
      <c r="K923">
        <v>10863</v>
      </c>
      <c r="L923" t="s">
        <v>63</v>
      </c>
      <c r="M923" t="s">
        <v>45</v>
      </c>
      <c r="N923" t="s">
        <v>69</v>
      </c>
    </row>
    <row r="924" spans="1:14" x14ac:dyDescent="0.25">
      <c r="A924" t="s">
        <v>2808</v>
      </c>
      <c r="B924" s="1">
        <v>45977</v>
      </c>
      <c r="C924" t="s">
        <v>2809</v>
      </c>
      <c r="D924" t="s">
        <v>2810</v>
      </c>
      <c r="E924" s="14">
        <v>923444274429</v>
      </c>
      <c r="F924" t="s">
        <v>106</v>
      </c>
      <c r="G924" t="s">
        <v>18</v>
      </c>
      <c r="H924" t="s">
        <v>19</v>
      </c>
      <c r="I924">
        <v>2</v>
      </c>
      <c r="J924">
        <v>6791</v>
      </c>
      <c r="K924">
        <v>13582</v>
      </c>
      <c r="L924" t="s">
        <v>20</v>
      </c>
      <c r="M924" t="s">
        <v>27</v>
      </c>
      <c r="N924" t="s">
        <v>22</v>
      </c>
    </row>
    <row r="925" spans="1:14" x14ac:dyDescent="0.25">
      <c r="A925" t="s">
        <v>2811</v>
      </c>
      <c r="B925" s="1">
        <v>45868</v>
      </c>
      <c r="C925" t="s">
        <v>2812</v>
      </c>
      <c r="D925" t="s">
        <v>2813</v>
      </c>
      <c r="E925" s="14">
        <v>923189456495</v>
      </c>
      <c r="F925" t="s">
        <v>17</v>
      </c>
      <c r="G925" t="s">
        <v>18</v>
      </c>
      <c r="H925" t="s">
        <v>73</v>
      </c>
      <c r="I925">
        <v>3</v>
      </c>
      <c r="J925">
        <v>6495</v>
      </c>
      <c r="K925">
        <v>19485</v>
      </c>
      <c r="L925" t="s">
        <v>68</v>
      </c>
      <c r="M925" t="s">
        <v>93</v>
      </c>
      <c r="N925" t="s">
        <v>69</v>
      </c>
    </row>
    <row r="926" spans="1:14" x14ac:dyDescent="0.25">
      <c r="A926" t="s">
        <v>2814</v>
      </c>
      <c r="B926" s="1">
        <v>45997</v>
      </c>
      <c r="C926" t="s">
        <v>2815</v>
      </c>
      <c r="D926" t="s">
        <v>2816</v>
      </c>
      <c r="E926" s="14">
        <v>923040185570</v>
      </c>
      <c r="F926" t="s">
        <v>17</v>
      </c>
      <c r="G926" t="s">
        <v>18</v>
      </c>
      <c r="H926" t="s">
        <v>33</v>
      </c>
      <c r="I926">
        <v>5</v>
      </c>
      <c r="J926">
        <v>8148</v>
      </c>
      <c r="K926">
        <v>40740</v>
      </c>
      <c r="L926" t="s">
        <v>63</v>
      </c>
      <c r="M926" t="s">
        <v>55</v>
      </c>
      <c r="N926" t="s">
        <v>69</v>
      </c>
    </row>
    <row r="927" spans="1:14" x14ac:dyDescent="0.25">
      <c r="A927" t="s">
        <v>2817</v>
      </c>
      <c r="B927" s="1">
        <v>45948</v>
      </c>
      <c r="C927" t="s">
        <v>2818</v>
      </c>
      <c r="D927" t="s">
        <v>2819</v>
      </c>
      <c r="E927" s="14">
        <v>923382822291</v>
      </c>
      <c r="F927" t="s">
        <v>32</v>
      </c>
      <c r="G927" t="s">
        <v>18</v>
      </c>
      <c r="H927" t="s">
        <v>33</v>
      </c>
      <c r="I927">
        <v>2</v>
      </c>
      <c r="J927">
        <v>3700</v>
      </c>
      <c r="K927">
        <v>7400</v>
      </c>
      <c r="L927" t="s">
        <v>20</v>
      </c>
      <c r="M927" t="s">
        <v>27</v>
      </c>
      <c r="N927" t="s">
        <v>28</v>
      </c>
    </row>
    <row r="928" spans="1:14" x14ac:dyDescent="0.25">
      <c r="A928" t="s">
        <v>2820</v>
      </c>
      <c r="B928" s="1">
        <v>45953</v>
      </c>
      <c r="C928" t="s">
        <v>2821</v>
      </c>
      <c r="D928" t="s">
        <v>2822</v>
      </c>
      <c r="E928" s="14">
        <v>923493363569</v>
      </c>
      <c r="F928" t="s">
        <v>44</v>
      </c>
      <c r="G928" t="s">
        <v>18</v>
      </c>
      <c r="H928" t="s">
        <v>73</v>
      </c>
      <c r="I928">
        <v>1</v>
      </c>
      <c r="J928">
        <v>12723</v>
      </c>
      <c r="K928">
        <v>12723</v>
      </c>
      <c r="L928" t="s">
        <v>26</v>
      </c>
      <c r="M928" t="s">
        <v>21</v>
      </c>
      <c r="N928" t="s">
        <v>69</v>
      </c>
    </row>
    <row r="929" spans="1:14" x14ac:dyDescent="0.25">
      <c r="A929" t="s">
        <v>2823</v>
      </c>
      <c r="B929" s="1">
        <v>45892</v>
      </c>
      <c r="C929" t="s">
        <v>2824</v>
      </c>
      <c r="D929" t="s">
        <v>2825</v>
      </c>
      <c r="E929" s="14">
        <v>923473588463</v>
      </c>
      <c r="F929" t="s">
        <v>106</v>
      </c>
      <c r="G929" t="s">
        <v>18</v>
      </c>
      <c r="H929" t="s">
        <v>59</v>
      </c>
      <c r="I929">
        <v>4</v>
      </c>
      <c r="J929">
        <v>13260</v>
      </c>
      <c r="K929">
        <v>53040</v>
      </c>
      <c r="L929" t="s">
        <v>40</v>
      </c>
      <c r="M929" t="s">
        <v>45</v>
      </c>
      <c r="N929" t="s">
        <v>69</v>
      </c>
    </row>
    <row r="930" spans="1:14" x14ac:dyDescent="0.25">
      <c r="A930" t="s">
        <v>2826</v>
      </c>
      <c r="B930" s="1">
        <v>45886</v>
      </c>
      <c r="C930" t="s">
        <v>2827</v>
      </c>
      <c r="D930" t="s">
        <v>2828</v>
      </c>
      <c r="E930" s="14">
        <v>923237350634</v>
      </c>
      <c r="F930" t="s">
        <v>92</v>
      </c>
      <c r="G930" t="s">
        <v>18</v>
      </c>
      <c r="H930" t="s">
        <v>33</v>
      </c>
      <c r="I930">
        <v>3</v>
      </c>
      <c r="J930">
        <v>2027</v>
      </c>
      <c r="K930">
        <v>6081</v>
      </c>
      <c r="L930" t="s">
        <v>40</v>
      </c>
      <c r="M930" t="s">
        <v>135</v>
      </c>
      <c r="N930" t="s">
        <v>35</v>
      </c>
    </row>
    <row r="931" spans="1:14" x14ac:dyDescent="0.25">
      <c r="A931" t="s">
        <v>2829</v>
      </c>
      <c r="B931" s="1">
        <v>45732</v>
      </c>
      <c r="C931" t="s">
        <v>2830</v>
      </c>
      <c r="D931" t="s">
        <v>2831</v>
      </c>
      <c r="E931" s="14">
        <v>923487809820</v>
      </c>
      <c r="F931" t="s">
        <v>17</v>
      </c>
      <c r="G931" t="s">
        <v>18</v>
      </c>
      <c r="H931" t="s">
        <v>19</v>
      </c>
      <c r="I931">
        <v>1</v>
      </c>
      <c r="J931">
        <v>7203</v>
      </c>
      <c r="K931">
        <v>7203</v>
      </c>
      <c r="L931" t="s">
        <v>40</v>
      </c>
      <c r="M931" t="s">
        <v>93</v>
      </c>
      <c r="N931" t="s">
        <v>35</v>
      </c>
    </row>
    <row r="932" spans="1:14" x14ac:dyDescent="0.25">
      <c r="A932" t="s">
        <v>2832</v>
      </c>
      <c r="B932" s="1">
        <v>45957</v>
      </c>
      <c r="C932" t="s">
        <v>2833</v>
      </c>
      <c r="D932" t="s">
        <v>2834</v>
      </c>
      <c r="E932" s="14">
        <v>923475035991</v>
      </c>
      <c r="F932" t="s">
        <v>54</v>
      </c>
      <c r="G932" t="s">
        <v>18</v>
      </c>
      <c r="H932" t="s">
        <v>19</v>
      </c>
      <c r="I932">
        <v>1</v>
      </c>
      <c r="J932">
        <v>6951</v>
      </c>
      <c r="K932">
        <v>6951</v>
      </c>
      <c r="L932" t="s">
        <v>63</v>
      </c>
      <c r="M932" t="s">
        <v>45</v>
      </c>
      <c r="N932" t="s">
        <v>69</v>
      </c>
    </row>
    <row r="933" spans="1:14" x14ac:dyDescent="0.25">
      <c r="A933" t="s">
        <v>2835</v>
      </c>
      <c r="B933" s="1">
        <v>45977</v>
      </c>
      <c r="C933" t="s">
        <v>2836</v>
      </c>
      <c r="D933" t="s">
        <v>2837</v>
      </c>
      <c r="E933" s="14">
        <v>923141399703</v>
      </c>
      <c r="F933" t="s">
        <v>106</v>
      </c>
      <c r="G933" t="s">
        <v>18</v>
      </c>
      <c r="H933" t="s">
        <v>39</v>
      </c>
      <c r="I933">
        <v>3</v>
      </c>
      <c r="J933">
        <v>13242</v>
      </c>
      <c r="K933">
        <v>39726</v>
      </c>
      <c r="L933" t="s">
        <v>68</v>
      </c>
      <c r="M933" t="s">
        <v>93</v>
      </c>
      <c r="N933" t="s">
        <v>22</v>
      </c>
    </row>
    <row r="934" spans="1:14" x14ac:dyDescent="0.25">
      <c r="A934" t="s">
        <v>2838</v>
      </c>
      <c r="B934" s="1">
        <v>45808</v>
      </c>
      <c r="C934" t="s">
        <v>2839</v>
      </c>
      <c r="D934" t="s">
        <v>2840</v>
      </c>
      <c r="E934" s="14">
        <v>923294429999</v>
      </c>
      <c r="F934" t="s">
        <v>122</v>
      </c>
      <c r="G934" t="s">
        <v>18</v>
      </c>
      <c r="H934" t="s">
        <v>73</v>
      </c>
      <c r="I934">
        <v>5</v>
      </c>
      <c r="J934">
        <v>7363</v>
      </c>
      <c r="K934">
        <v>36815</v>
      </c>
      <c r="L934" t="s">
        <v>78</v>
      </c>
      <c r="M934" t="s">
        <v>34</v>
      </c>
      <c r="N934" t="s">
        <v>35</v>
      </c>
    </row>
    <row r="935" spans="1:14" x14ac:dyDescent="0.25">
      <c r="A935" t="s">
        <v>2841</v>
      </c>
      <c r="B935" s="1">
        <v>45812</v>
      </c>
      <c r="C935" t="s">
        <v>2842</v>
      </c>
      <c r="D935" t="s">
        <v>2843</v>
      </c>
      <c r="E935" s="14">
        <v>923009242319</v>
      </c>
      <c r="F935" t="s">
        <v>49</v>
      </c>
      <c r="G935" t="s">
        <v>18</v>
      </c>
      <c r="H935" t="s">
        <v>59</v>
      </c>
      <c r="I935">
        <v>3</v>
      </c>
      <c r="J935">
        <v>10581</v>
      </c>
      <c r="K935">
        <v>31743</v>
      </c>
      <c r="L935" t="s">
        <v>20</v>
      </c>
      <c r="M935" t="s">
        <v>55</v>
      </c>
      <c r="N935" t="s">
        <v>28</v>
      </c>
    </row>
    <row r="936" spans="1:14" x14ac:dyDescent="0.25">
      <c r="A936" t="s">
        <v>2844</v>
      </c>
      <c r="B936" s="1">
        <v>45912</v>
      </c>
      <c r="C936" t="s">
        <v>2845</v>
      </c>
      <c r="D936" t="s">
        <v>2846</v>
      </c>
      <c r="E936" s="14">
        <v>923094478123</v>
      </c>
      <c r="F936" t="s">
        <v>106</v>
      </c>
      <c r="G936" t="s">
        <v>18</v>
      </c>
      <c r="H936" t="s">
        <v>19</v>
      </c>
      <c r="I936">
        <v>1</v>
      </c>
      <c r="J936">
        <v>5035</v>
      </c>
      <c r="K936">
        <v>5035</v>
      </c>
      <c r="L936" t="s">
        <v>26</v>
      </c>
      <c r="M936" t="s">
        <v>21</v>
      </c>
      <c r="N936" t="s">
        <v>22</v>
      </c>
    </row>
    <row r="937" spans="1:14" x14ac:dyDescent="0.25">
      <c r="A937" t="s">
        <v>2847</v>
      </c>
      <c r="B937" s="1">
        <v>45969</v>
      </c>
      <c r="C937" t="s">
        <v>2848</v>
      </c>
      <c r="D937" t="s">
        <v>2849</v>
      </c>
      <c r="E937" s="14">
        <v>923428326187</v>
      </c>
      <c r="F937" t="s">
        <v>54</v>
      </c>
      <c r="G937" t="s">
        <v>18</v>
      </c>
      <c r="H937" t="s">
        <v>50</v>
      </c>
      <c r="I937">
        <v>4</v>
      </c>
      <c r="J937">
        <v>5669</v>
      </c>
      <c r="K937">
        <v>22676</v>
      </c>
      <c r="L937" t="s">
        <v>26</v>
      </c>
      <c r="M937" t="s">
        <v>82</v>
      </c>
      <c r="N937" t="s">
        <v>22</v>
      </c>
    </row>
    <row r="938" spans="1:14" x14ac:dyDescent="0.25">
      <c r="A938" t="s">
        <v>2850</v>
      </c>
      <c r="B938" s="1">
        <v>45858</v>
      </c>
      <c r="C938" t="s">
        <v>2851</v>
      </c>
      <c r="D938" t="s">
        <v>2852</v>
      </c>
      <c r="E938" s="14">
        <v>923343257595</v>
      </c>
      <c r="F938" t="s">
        <v>32</v>
      </c>
      <c r="G938" t="s">
        <v>18</v>
      </c>
      <c r="H938" t="s">
        <v>33</v>
      </c>
      <c r="I938">
        <v>5</v>
      </c>
      <c r="J938">
        <v>12983</v>
      </c>
      <c r="K938">
        <v>64915</v>
      </c>
      <c r="L938" t="s">
        <v>40</v>
      </c>
      <c r="M938" t="s">
        <v>27</v>
      </c>
      <c r="N938" t="s">
        <v>69</v>
      </c>
    </row>
    <row r="939" spans="1:14" x14ac:dyDescent="0.25">
      <c r="A939" t="s">
        <v>2853</v>
      </c>
      <c r="B939" s="1">
        <v>45758</v>
      </c>
      <c r="C939" t="s">
        <v>2854</v>
      </c>
      <c r="D939" t="s">
        <v>2855</v>
      </c>
      <c r="E939" s="14">
        <v>923349957597</v>
      </c>
      <c r="F939" t="s">
        <v>92</v>
      </c>
      <c r="G939" t="s">
        <v>18</v>
      </c>
      <c r="H939" t="s">
        <v>50</v>
      </c>
      <c r="I939">
        <v>3</v>
      </c>
      <c r="J939">
        <v>1362</v>
      </c>
      <c r="K939">
        <v>4086</v>
      </c>
      <c r="L939" t="s">
        <v>68</v>
      </c>
      <c r="M939" t="s">
        <v>93</v>
      </c>
      <c r="N939" t="s">
        <v>22</v>
      </c>
    </row>
    <row r="940" spans="1:14" x14ac:dyDescent="0.25">
      <c r="A940" t="s">
        <v>2856</v>
      </c>
      <c r="B940" s="1">
        <v>45867</v>
      </c>
      <c r="C940" t="s">
        <v>2857</v>
      </c>
      <c r="D940" t="s">
        <v>2858</v>
      </c>
      <c r="E940" s="14">
        <v>923268931844</v>
      </c>
      <c r="F940" t="s">
        <v>122</v>
      </c>
      <c r="G940" t="s">
        <v>18</v>
      </c>
      <c r="H940" t="s">
        <v>73</v>
      </c>
      <c r="I940">
        <v>3</v>
      </c>
      <c r="J940">
        <v>4871</v>
      </c>
      <c r="K940">
        <v>14613</v>
      </c>
      <c r="L940" t="s">
        <v>63</v>
      </c>
      <c r="M940" t="s">
        <v>45</v>
      </c>
      <c r="N940" t="s">
        <v>69</v>
      </c>
    </row>
    <row r="941" spans="1:14" x14ac:dyDescent="0.25">
      <c r="A941" t="s">
        <v>2859</v>
      </c>
      <c r="B941" s="1">
        <v>45733</v>
      </c>
      <c r="C941" t="s">
        <v>2860</v>
      </c>
      <c r="D941" t="s">
        <v>2861</v>
      </c>
      <c r="E941" s="14">
        <v>923108793232</v>
      </c>
      <c r="F941" t="s">
        <v>49</v>
      </c>
      <c r="G941" t="s">
        <v>18</v>
      </c>
      <c r="H941" t="s">
        <v>59</v>
      </c>
      <c r="I941">
        <v>4</v>
      </c>
      <c r="J941">
        <v>3857</v>
      </c>
      <c r="K941">
        <v>15428</v>
      </c>
      <c r="L941" t="s">
        <v>26</v>
      </c>
      <c r="M941" t="s">
        <v>21</v>
      </c>
      <c r="N941" t="s">
        <v>22</v>
      </c>
    </row>
    <row r="942" spans="1:14" x14ac:dyDescent="0.25">
      <c r="A942" t="s">
        <v>2862</v>
      </c>
      <c r="B942" s="1">
        <v>45940</v>
      </c>
      <c r="C942" t="s">
        <v>2863</v>
      </c>
      <c r="D942" t="s">
        <v>2864</v>
      </c>
      <c r="E942" s="14">
        <v>923425259412</v>
      </c>
      <c r="F942" t="s">
        <v>122</v>
      </c>
      <c r="G942" t="s">
        <v>18</v>
      </c>
      <c r="H942" t="s">
        <v>73</v>
      </c>
      <c r="I942">
        <v>4</v>
      </c>
      <c r="J942">
        <v>13248</v>
      </c>
      <c r="K942">
        <v>52992</v>
      </c>
      <c r="L942" t="s">
        <v>68</v>
      </c>
      <c r="M942" t="s">
        <v>45</v>
      </c>
      <c r="N942" t="s">
        <v>69</v>
      </c>
    </row>
    <row r="943" spans="1:14" x14ac:dyDescent="0.25">
      <c r="A943" t="s">
        <v>2865</v>
      </c>
      <c r="B943" s="1">
        <v>45723</v>
      </c>
      <c r="C943" t="s">
        <v>2866</v>
      </c>
      <c r="D943" t="s">
        <v>2867</v>
      </c>
      <c r="E943" s="14">
        <v>923060954926</v>
      </c>
      <c r="F943" t="s">
        <v>32</v>
      </c>
      <c r="G943" t="s">
        <v>18</v>
      </c>
      <c r="H943" t="s">
        <v>39</v>
      </c>
      <c r="I943">
        <v>1</v>
      </c>
      <c r="J943">
        <v>10407</v>
      </c>
      <c r="K943">
        <v>10407</v>
      </c>
      <c r="L943" t="s">
        <v>40</v>
      </c>
      <c r="M943" t="s">
        <v>21</v>
      </c>
      <c r="N943" t="s">
        <v>28</v>
      </c>
    </row>
    <row r="944" spans="1:14" x14ac:dyDescent="0.25">
      <c r="A944" t="s">
        <v>2868</v>
      </c>
      <c r="B944" s="1">
        <v>45885</v>
      </c>
      <c r="C944" t="s">
        <v>2869</v>
      </c>
      <c r="D944" t="s">
        <v>2870</v>
      </c>
      <c r="E944" s="14">
        <v>923306582243</v>
      </c>
      <c r="F944" t="s">
        <v>17</v>
      </c>
      <c r="G944" t="s">
        <v>18</v>
      </c>
      <c r="H944" t="s">
        <v>19</v>
      </c>
      <c r="I944">
        <v>5</v>
      </c>
      <c r="J944">
        <v>6275</v>
      </c>
      <c r="K944">
        <v>31375</v>
      </c>
      <c r="L944" t="s">
        <v>26</v>
      </c>
      <c r="M944" t="s">
        <v>21</v>
      </c>
      <c r="N944" t="s">
        <v>35</v>
      </c>
    </row>
    <row r="945" spans="1:14" x14ac:dyDescent="0.25">
      <c r="A945" t="s">
        <v>2871</v>
      </c>
      <c r="B945" s="1">
        <v>46064</v>
      </c>
      <c r="C945" t="s">
        <v>2872</v>
      </c>
      <c r="D945" t="s">
        <v>2873</v>
      </c>
      <c r="E945" s="14">
        <v>923322244635</v>
      </c>
      <c r="F945" t="s">
        <v>44</v>
      </c>
      <c r="G945" t="s">
        <v>18</v>
      </c>
      <c r="H945" t="s">
        <v>59</v>
      </c>
      <c r="I945">
        <v>2</v>
      </c>
      <c r="J945">
        <v>1314</v>
      </c>
      <c r="K945">
        <v>2628</v>
      </c>
      <c r="L945" t="s">
        <v>20</v>
      </c>
      <c r="M945" t="s">
        <v>45</v>
      </c>
      <c r="N945" t="s">
        <v>28</v>
      </c>
    </row>
    <row r="946" spans="1:14" x14ac:dyDescent="0.25">
      <c r="A946" t="s">
        <v>2874</v>
      </c>
      <c r="B946" s="1">
        <v>45724</v>
      </c>
      <c r="C946" t="s">
        <v>2875</v>
      </c>
      <c r="D946" t="s">
        <v>2876</v>
      </c>
      <c r="E946" s="14">
        <v>923366928693</v>
      </c>
      <c r="F946" t="s">
        <v>17</v>
      </c>
      <c r="G946" t="s">
        <v>18</v>
      </c>
      <c r="H946" t="s">
        <v>33</v>
      </c>
      <c r="I946">
        <v>2</v>
      </c>
      <c r="J946">
        <v>2081</v>
      </c>
      <c r="K946">
        <v>4162</v>
      </c>
      <c r="L946" t="s">
        <v>63</v>
      </c>
      <c r="M946" t="s">
        <v>45</v>
      </c>
      <c r="N946" t="s">
        <v>35</v>
      </c>
    </row>
    <row r="947" spans="1:14" x14ac:dyDescent="0.25">
      <c r="A947" t="s">
        <v>2877</v>
      </c>
      <c r="B947" s="1">
        <v>45917</v>
      </c>
      <c r="C947" t="s">
        <v>733</v>
      </c>
      <c r="D947" t="s">
        <v>2878</v>
      </c>
      <c r="E947" s="14">
        <v>923182297009</v>
      </c>
      <c r="F947" t="s">
        <v>122</v>
      </c>
      <c r="G947" t="s">
        <v>18</v>
      </c>
      <c r="H947" t="s">
        <v>33</v>
      </c>
      <c r="I947">
        <v>3</v>
      </c>
      <c r="J947">
        <v>1654</v>
      </c>
      <c r="K947">
        <v>4962</v>
      </c>
      <c r="L947" t="s">
        <v>78</v>
      </c>
      <c r="M947" t="s">
        <v>45</v>
      </c>
      <c r="N947" t="s">
        <v>28</v>
      </c>
    </row>
    <row r="948" spans="1:14" x14ac:dyDescent="0.25">
      <c r="A948" t="s">
        <v>2879</v>
      </c>
      <c r="B948" s="1">
        <v>45935</v>
      </c>
      <c r="C948" t="s">
        <v>2880</v>
      </c>
      <c r="D948" t="s">
        <v>2881</v>
      </c>
      <c r="E948" s="14">
        <v>923172022275</v>
      </c>
      <c r="F948" t="s">
        <v>49</v>
      </c>
      <c r="G948" t="s">
        <v>18</v>
      </c>
      <c r="H948" t="s">
        <v>39</v>
      </c>
      <c r="I948">
        <v>5</v>
      </c>
      <c r="J948">
        <v>4328</v>
      </c>
      <c r="K948">
        <v>21640</v>
      </c>
      <c r="L948" t="s">
        <v>68</v>
      </c>
      <c r="M948" t="s">
        <v>34</v>
      </c>
      <c r="N948" t="s">
        <v>28</v>
      </c>
    </row>
    <row r="949" spans="1:14" x14ac:dyDescent="0.25">
      <c r="A949" t="s">
        <v>2882</v>
      </c>
      <c r="B949" s="1">
        <v>45943</v>
      </c>
      <c r="C949" t="s">
        <v>2883</v>
      </c>
      <c r="D949" t="s">
        <v>2884</v>
      </c>
      <c r="E949" s="14">
        <v>923288875965</v>
      </c>
      <c r="F949" t="s">
        <v>122</v>
      </c>
      <c r="G949" t="s">
        <v>18</v>
      </c>
      <c r="H949" t="s">
        <v>33</v>
      </c>
      <c r="I949">
        <v>2</v>
      </c>
      <c r="J949">
        <v>1241</v>
      </c>
      <c r="K949">
        <v>2482</v>
      </c>
      <c r="L949" t="s">
        <v>20</v>
      </c>
      <c r="M949" t="s">
        <v>21</v>
      </c>
      <c r="N949" t="s">
        <v>22</v>
      </c>
    </row>
    <row r="950" spans="1:14" x14ac:dyDescent="0.25">
      <c r="A950" t="s">
        <v>2885</v>
      </c>
      <c r="B950" s="1">
        <v>45877</v>
      </c>
      <c r="C950" t="s">
        <v>2886</v>
      </c>
      <c r="D950" t="s">
        <v>2887</v>
      </c>
      <c r="E950" s="14">
        <v>923486854785</v>
      </c>
      <c r="F950" t="s">
        <v>67</v>
      </c>
      <c r="G950" t="s">
        <v>18</v>
      </c>
      <c r="H950" t="s">
        <v>73</v>
      </c>
      <c r="I950">
        <v>1</v>
      </c>
      <c r="J950">
        <v>12111</v>
      </c>
      <c r="K950">
        <v>12111</v>
      </c>
      <c r="L950" t="s">
        <v>78</v>
      </c>
      <c r="M950" t="s">
        <v>34</v>
      </c>
      <c r="N950" t="s">
        <v>35</v>
      </c>
    </row>
    <row r="951" spans="1:14" x14ac:dyDescent="0.25">
      <c r="A951" t="s">
        <v>2888</v>
      </c>
      <c r="B951" s="1">
        <v>45806</v>
      </c>
      <c r="C951" t="s">
        <v>2889</v>
      </c>
      <c r="D951" t="s">
        <v>2890</v>
      </c>
      <c r="E951" s="14">
        <v>923447564430</v>
      </c>
      <c r="F951" t="s">
        <v>106</v>
      </c>
      <c r="G951" t="s">
        <v>18</v>
      </c>
      <c r="H951" t="s">
        <v>50</v>
      </c>
      <c r="I951">
        <v>4</v>
      </c>
      <c r="J951">
        <v>8609</v>
      </c>
      <c r="K951">
        <v>34436</v>
      </c>
      <c r="L951" t="s">
        <v>68</v>
      </c>
      <c r="M951" t="s">
        <v>27</v>
      </c>
      <c r="N951" t="s">
        <v>35</v>
      </c>
    </row>
    <row r="952" spans="1:14" x14ac:dyDescent="0.25">
      <c r="A952" t="s">
        <v>2891</v>
      </c>
      <c r="B952" s="1">
        <v>45928</v>
      </c>
      <c r="C952" t="s">
        <v>2892</v>
      </c>
      <c r="D952" t="s">
        <v>2893</v>
      </c>
      <c r="E952" s="14">
        <v>923217475486</v>
      </c>
      <c r="F952" t="s">
        <v>77</v>
      </c>
      <c r="G952" t="s">
        <v>18</v>
      </c>
      <c r="H952" t="s">
        <v>59</v>
      </c>
      <c r="I952">
        <v>1</v>
      </c>
      <c r="J952">
        <v>11755</v>
      </c>
      <c r="K952">
        <v>11755</v>
      </c>
      <c r="L952" t="s">
        <v>26</v>
      </c>
      <c r="M952" t="s">
        <v>45</v>
      </c>
      <c r="N952" t="s">
        <v>35</v>
      </c>
    </row>
    <row r="953" spans="1:14" x14ac:dyDescent="0.25">
      <c r="A953" t="s">
        <v>2894</v>
      </c>
      <c r="B953" s="1">
        <v>45992</v>
      </c>
      <c r="C953" t="s">
        <v>2895</v>
      </c>
      <c r="D953" t="s">
        <v>2896</v>
      </c>
      <c r="E953" s="14">
        <v>923315057701</v>
      </c>
      <c r="F953" t="s">
        <v>77</v>
      </c>
      <c r="G953" t="s">
        <v>18</v>
      </c>
      <c r="H953" t="s">
        <v>59</v>
      </c>
      <c r="I953">
        <v>5</v>
      </c>
      <c r="J953">
        <v>7507</v>
      </c>
      <c r="K953">
        <v>37535</v>
      </c>
      <c r="L953" t="s">
        <v>78</v>
      </c>
      <c r="M953" t="s">
        <v>55</v>
      </c>
      <c r="N953" t="s">
        <v>69</v>
      </c>
    </row>
    <row r="954" spans="1:14" x14ac:dyDescent="0.25">
      <c r="A954" t="s">
        <v>2897</v>
      </c>
      <c r="B954" s="1">
        <v>46069</v>
      </c>
      <c r="C954" t="s">
        <v>2898</v>
      </c>
      <c r="D954" t="s">
        <v>2899</v>
      </c>
      <c r="E954" s="14">
        <v>923410749293</v>
      </c>
      <c r="F954" t="s">
        <v>54</v>
      </c>
      <c r="G954" t="s">
        <v>18</v>
      </c>
      <c r="H954" t="s">
        <v>50</v>
      </c>
      <c r="I954">
        <v>3</v>
      </c>
      <c r="J954">
        <v>1540</v>
      </c>
      <c r="K954">
        <v>4620</v>
      </c>
      <c r="L954" t="s">
        <v>63</v>
      </c>
      <c r="M954" t="s">
        <v>55</v>
      </c>
      <c r="N954" t="s">
        <v>35</v>
      </c>
    </row>
    <row r="955" spans="1:14" x14ac:dyDescent="0.25">
      <c r="A955" t="s">
        <v>2900</v>
      </c>
      <c r="B955" s="1">
        <v>46011</v>
      </c>
      <c r="C955" t="s">
        <v>2901</v>
      </c>
      <c r="D955" t="s">
        <v>2902</v>
      </c>
      <c r="E955" s="14">
        <v>923140463765</v>
      </c>
      <c r="F955" t="s">
        <v>92</v>
      </c>
      <c r="G955" t="s">
        <v>18</v>
      </c>
      <c r="H955" t="s">
        <v>59</v>
      </c>
      <c r="I955">
        <v>3</v>
      </c>
      <c r="J955">
        <v>10438</v>
      </c>
      <c r="K955">
        <v>31314</v>
      </c>
      <c r="L955" t="s">
        <v>68</v>
      </c>
      <c r="M955" t="s">
        <v>27</v>
      </c>
      <c r="N955" t="s">
        <v>28</v>
      </c>
    </row>
    <row r="956" spans="1:14" x14ac:dyDescent="0.25">
      <c r="A956" t="s">
        <v>2903</v>
      </c>
      <c r="B956" s="1">
        <v>46032</v>
      </c>
      <c r="C956" t="s">
        <v>2904</v>
      </c>
      <c r="D956" t="s">
        <v>2905</v>
      </c>
      <c r="E956" s="14">
        <v>923364977803</v>
      </c>
      <c r="F956" t="s">
        <v>122</v>
      </c>
      <c r="G956" t="s">
        <v>18</v>
      </c>
      <c r="H956" t="s">
        <v>39</v>
      </c>
      <c r="I956">
        <v>1</v>
      </c>
      <c r="J956">
        <v>2917</v>
      </c>
      <c r="K956">
        <v>2917</v>
      </c>
      <c r="L956" t="s">
        <v>68</v>
      </c>
      <c r="M956" t="s">
        <v>55</v>
      </c>
      <c r="N956" t="s">
        <v>35</v>
      </c>
    </row>
    <row r="957" spans="1:14" x14ac:dyDescent="0.25">
      <c r="A957" t="s">
        <v>2906</v>
      </c>
      <c r="B957" s="1">
        <v>46034</v>
      </c>
      <c r="C957" t="s">
        <v>2907</v>
      </c>
      <c r="D957" t="s">
        <v>2908</v>
      </c>
      <c r="E957" s="14">
        <v>923140453601</v>
      </c>
      <c r="F957" t="s">
        <v>32</v>
      </c>
      <c r="G957" t="s">
        <v>18</v>
      </c>
      <c r="H957" t="s">
        <v>33</v>
      </c>
      <c r="I957">
        <v>5</v>
      </c>
      <c r="J957">
        <v>6137</v>
      </c>
      <c r="K957">
        <v>30685</v>
      </c>
      <c r="L957" t="s">
        <v>68</v>
      </c>
      <c r="M957" t="s">
        <v>27</v>
      </c>
      <c r="N957" t="s">
        <v>35</v>
      </c>
    </row>
    <row r="958" spans="1:14" x14ac:dyDescent="0.25">
      <c r="A958" t="s">
        <v>2909</v>
      </c>
      <c r="B958" s="1">
        <v>45751</v>
      </c>
      <c r="C958" t="s">
        <v>2910</v>
      </c>
      <c r="D958" t="s">
        <v>2911</v>
      </c>
      <c r="E958" s="14">
        <v>923475906711</v>
      </c>
      <c r="F958" t="s">
        <v>122</v>
      </c>
      <c r="G958" t="s">
        <v>18</v>
      </c>
      <c r="H958" t="s">
        <v>33</v>
      </c>
      <c r="I958">
        <v>1</v>
      </c>
      <c r="J958">
        <v>8064</v>
      </c>
      <c r="K958">
        <v>8064</v>
      </c>
      <c r="L958" t="s">
        <v>68</v>
      </c>
      <c r="M958" t="s">
        <v>93</v>
      </c>
      <c r="N958" t="s">
        <v>22</v>
      </c>
    </row>
    <row r="959" spans="1:14" x14ac:dyDescent="0.25">
      <c r="A959" t="s">
        <v>2912</v>
      </c>
      <c r="B959" s="1">
        <v>45710</v>
      </c>
      <c r="C959" t="s">
        <v>2913</v>
      </c>
      <c r="D959" t="s">
        <v>2914</v>
      </c>
      <c r="E959" s="14">
        <v>923194255615</v>
      </c>
      <c r="F959" t="s">
        <v>54</v>
      </c>
      <c r="G959" t="s">
        <v>18</v>
      </c>
      <c r="H959" t="s">
        <v>39</v>
      </c>
      <c r="I959">
        <v>4</v>
      </c>
      <c r="J959">
        <v>11723</v>
      </c>
      <c r="K959">
        <v>46892</v>
      </c>
      <c r="L959" t="s">
        <v>68</v>
      </c>
      <c r="M959" t="s">
        <v>135</v>
      </c>
      <c r="N959" t="s">
        <v>69</v>
      </c>
    </row>
    <row r="960" spans="1:14" x14ac:dyDescent="0.25">
      <c r="A960" t="s">
        <v>2915</v>
      </c>
      <c r="B960" s="1">
        <v>45821</v>
      </c>
      <c r="C960" t="s">
        <v>2916</v>
      </c>
      <c r="D960" t="s">
        <v>2917</v>
      </c>
      <c r="E960" s="14">
        <v>923254349036</v>
      </c>
      <c r="F960" t="s">
        <v>32</v>
      </c>
      <c r="G960" t="s">
        <v>18</v>
      </c>
      <c r="H960" t="s">
        <v>59</v>
      </c>
      <c r="I960">
        <v>4</v>
      </c>
      <c r="J960">
        <v>4779</v>
      </c>
      <c r="K960">
        <v>19116</v>
      </c>
      <c r="L960" t="s">
        <v>20</v>
      </c>
      <c r="M960" t="s">
        <v>82</v>
      </c>
      <c r="N960" t="s">
        <v>28</v>
      </c>
    </row>
    <row r="961" spans="1:14" x14ac:dyDescent="0.25">
      <c r="A961" t="s">
        <v>2918</v>
      </c>
      <c r="B961" s="1">
        <v>46036</v>
      </c>
      <c r="C961" t="s">
        <v>2919</v>
      </c>
      <c r="D961" t="s">
        <v>2920</v>
      </c>
      <c r="E961" s="14">
        <v>923314391725</v>
      </c>
      <c r="F961" t="s">
        <v>49</v>
      </c>
      <c r="G961" t="s">
        <v>18</v>
      </c>
      <c r="H961" t="s">
        <v>33</v>
      </c>
      <c r="I961">
        <v>3</v>
      </c>
      <c r="J961">
        <v>3128</v>
      </c>
      <c r="K961">
        <v>9384</v>
      </c>
      <c r="L961" t="s">
        <v>20</v>
      </c>
      <c r="M961" t="s">
        <v>55</v>
      </c>
      <c r="N961" t="s">
        <v>22</v>
      </c>
    </row>
    <row r="962" spans="1:14" x14ac:dyDescent="0.25">
      <c r="A962" t="s">
        <v>2921</v>
      </c>
      <c r="B962" s="1">
        <v>45848</v>
      </c>
      <c r="C962" t="s">
        <v>2922</v>
      </c>
      <c r="D962" t="s">
        <v>2923</v>
      </c>
      <c r="E962" s="14">
        <v>923033962598</v>
      </c>
      <c r="F962" t="s">
        <v>49</v>
      </c>
      <c r="G962" t="s">
        <v>18</v>
      </c>
      <c r="H962" t="s">
        <v>50</v>
      </c>
      <c r="I962">
        <v>4</v>
      </c>
      <c r="J962">
        <v>9642</v>
      </c>
      <c r="K962">
        <v>38568</v>
      </c>
      <c r="L962" t="s">
        <v>78</v>
      </c>
      <c r="M962" t="s">
        <v>21</v>
      </c>
      <c r="N962" t="s">
        <v>28</v>
      </c>
    </row>
    <row r="963" spans="1:14" x14ac:dyDescent="0.25">
      <c r="A963" t="s">
        <v>2924</v>
      </c>
      <c r="B963" s="1">
        <v>45893</v>
      </c>
      <c r="C963" t="s">
        <v>2925</v>
      </c>
      <c r="D963" t="s">
        <v>2926</v>
      </c>
      <c r="E963" s="14">
        <v>923058991626</v>
      </c>
      <c r="F963" t="s">
        <v>17</v>
      </c>
      <c r="G963" t="s">
        <v>18</v>
      </c>
      <c r="H963" t="s">
        <v>73</v>
      </c>
      <c r="I963">
        <v>4</v>
      </c>
      <c r="J963">
        <v>8630</v>
      </c>
      <c r="K963">
        <v>34520</v>
      </c>
      <c r="L963" t="s">
        <v>78</v>
      </c>
      <c r="M963" t="s">
        <v>45</v>
      </c>
      <c r="N963" t="s">
        <v>69</v>
      </c>
    </row>
    <row r="964" spans="1:14" x14ac:dyDescent="0.25">
      <c r="A964" t="s">
        <v>2927</v>
      </c>
      <c r="B964" s="1">
        <v>45826</v>
      </c>
      <c r="C964" t="s">
        <v>2928</v>
      </c>
      <c r="D964" t="s">
        <v>2929</v>
      </c>
      <c r="E964" s="14">
        <v>923126332267</v>
      </c>
      <c r="F964" t="s">
        <v>122</v>
      </c>
      <c r="G964" t="s">
        <v>18</v>
      </c>
      <c r="H964" t="s">
        <v>19</v>
      </c>
      <c r="I964">
        <v>4</v>
      </c>
      <c r="J964">
        <v>5884</v>
      </c>
      <c r="K964">
        <v>23536</v>
      </c>
      <c r="L964" t="s">
        <v>26</v>
      </c>
      <c r="M964" t="s">
        <v>27</v>
      </c>
      <c r="N964" t="s">
        <v>35</v>
      </c>
    </row>
    <row r="965" spans="1:14" x14ac:dyDescent="0.25">
      <c r="A965" t="s">
        <v>2930</v>
      </c>
      <c r="B965" s="1">
        <v>45968</v>
      </c>
      <c r="C965" t="s">
        <v>1509</v>
      </c>
      <c r="D965" t="s">
        <v>2931</v>
      </c>
      <c r="E965" s="14">
        <v>923020742857</v>
      </c>
      <c r="F965" t="s">
        <v>92</v>
      </c>
      <c r="G965" t="s">
        <v>18</v>
      </c>
      <c r="H965" t="s">
        <v>39</v>
      </c>
      <c r="I965">
        <v>5</v>
      </c>
      <c r="J965">
        <v>1413</v>
      </c>
      <c r="K965">
        <v>7065</v>
      </c>
      <c r="L965" t="s">
        <v>26</v>
      </c>
      <c r="M965" t="s">
        <v>21</v>
      </c>
      <c r="N965" t="s">
        <v>35</v>
      </c>
    </row>
    <row r="966" spans="1:14" x14ac:dyDescent="0.25">
      <c r="A966" t="s">
        <v>2932</v>
      </c>
      <c r="B966" s="1">
        <v>45953</v>
      </c>
      <c r="C966" t="s">
        <v>2933</v>
      </c>
      <c r="D966" t="s">
        <v>2934</v>
      </c>
      <c r="E966" s="14">
        <v>923432399423</v>
      </c>
      <c r="F966" t="s">
        <v>92</v>
      </c>
      <c r="G966" t="s">
        <v>18</v>
      </c>
      <c r="H966" t="s">
        <v>73</v>
      </c>
      <c r="I966">
        <v>3</v>
      </c>
      <c r="J966">
        <v>4348</v>
      </c>
      <c r="K966">
        <v>13044</v>
      </c>
      <c r="L966" t="s">
        <v>68</v>
      </c>
      <c r="M966" t="s">
        <v>45</v>
      </c>
      <c r="N966" t="s">
        <v>28</v>
      </c>
    </row>
    <row r="967" spans="1:14" x14ac:dyDescent="0.25">
      <c r="A967" t="s">
        <v>2935</v>
      </c>
      <c r="B967" s="1">
        <v>45858</v>
      </c>
      <c r="C967" t="s">
        <v>2936</v>
      </c>
      <c r="D967" t="s">
        <v>2937</v>
      </c>
      <c r="E967" s="14">
        <v>923459364102</v>
      </c>
      <c r="F967" t="s">
        <v>77</v>
      </c>
      <c r="G967" t="s">
        <v>18</v>
      </c>
      <c r="H967" t="s">
        <v>50</v>
      </c>
      <c r="I967">
        <v>2</v>
      </c>
      <c r="J967">
        <v>6401</v>
      </c>
      <c r="K967">
        <v>12802</v>
      </c>
      <c r="L967" t="s">
        <v>63</v>
      </c>
      <c r="M967" t="s">
        <v>27</v>
      </c>
      <c r="N967" t="s">
        <v>35</v>
      </c>
    </row>
    <row r="968" spans="1:14" x14ac:dyDescent="0.25">
      <c r="A968" t="s">
        <v>2938</v>
      </c>
      <c r="B968" s="1">
        <v>46066</v>
      </c>
      <c r="C968" t="s">
        <v>2939</v>
      </c>
      <c r="D968" t="s">
        <v>2940</v>
      </c>
      <c r="E968" s="14">
        <v>923227504818</v>
      </c>
      <c r="F968" t="s">
        <v>106</v>
      </c>
      <c r="G968" t="s">
        <v>18</v>
      </c>
      <c r="H968" t="s">
        <v>73</v>
      </c>
      <c r="I968">
        <v>2</v>
      </c>
      <c r="J968">
        <v>2247</v>
      </c>
      <c r="K968">
        <v>4494</v>
      </c>
      <c r="L968" t="s">
        <v>40</v>
      </c>
      <c r="M968" t="s">
        <v>34</v>
      </c>
      <c r="N968" t="s">
        <v>22</v>
      </c>
    </row>
    <row r="969" spans="1:14" x14ac:dyDescent="0.25">
      <c r="A969" t="s">
        <v>2941</v>
      </c>
      <c r="B969" s="1">
        <v>45908</v>
      </c>
      <c r="C969" t="s">
        <v>2942</v>
      </c>
      <c r="D969" t="s">
        <v>2943</v>
      </c>
      <c r="E969" s="14">
        <v>923223033918</v>
      </c>
      <c r="F969" t="s">
        <v>67</v>
      </c>
      <c r="G969" t="s">
        <v>18</v>
      </c>
      <c r="H969" t="s">
        <v>73</v>
      </c>
      <c r="I969">
        <v>4</v>
      </c>
      <c r="J969">
        <v>8487</v>
      </c>
      <c r="K969">
        <v>33948</v>
      </c>
      <c r="L969" t="s">
        <v>20</v>
      </c>
      <c r="M969" t="s">
        <v>93</v>
      </c>
      <c r="N969" t="s">
        <v>22</v>
      </c>
    </row>
    <row r="970" spans="1:14" x14ac:dyDescent="0.25">
      <c r="A970" t="s">
        <v>2944</v>
      </c>
      <c r="B970" s="1">
        <v>45907</v>
      </c>
      <c r="C970" t="s">
        <v>2945</v>
      </c>
      <c r="D970" t="s">
        <v>2946</v>
      </c>
      <c r="E970" s="14">
        <v>923330574618</v>
      </c>
      <c r="F970" t="s">
        <v>106</v>
      </c>
      <c r="G970" t="s">
        <v>18</v>
      </c>
      <c r="H970" t="s">
        <v>50</v>
      </c>
      <c r="I970">
        <v>5</v>
      </c>
      <c r="J970">
        <v>9167</v>
      </c>
      <c r="K970">
        <v>45835</v>
      </c>
      <c r="L970" t="s">
        <v>26</v>
      </c>
      <c r="M970" t="s">
        <v>55</v>
      </c>
      <c r="N970" t="s">
        <v>35</v>
      </c>
    </row>
    <row r="971" spans="1:14" x14ac:dyDescent="0.25">
      <c r="A971" t="s">
        <v>2947</v>
      </c>
      <c r="B971" s="1">
        <v>45706</v>
      </c>
      <c r="C971" t="s">
        <v>2948</v>
      </c>
      <c r="D971" t="s">
        <v>2949</v>
      </c>
      <c r="E971" s="14">
        <v>923287915028</v>
      </c>
      <c r="F971" t="s">
        <v>49</v>
      </c>
      <c r="G971" t="s">
        <v>18</v>
      </c>
      <c r="H971" t="s">
        <v>73</v>
      </c>
      <c r="I971">
        <v>1</v>
      </c>
      <c r="J971">
        <v>9564</v>
      </c>
      <c r="K971">
        <v>9564</v>
      </c>
      <c r="L971" t="s">
        <v>40</v>
      </c>
      <c r="M971" t="s">
        <v>135</v>
      </c>
      <c r="N971" t="s">
        <v>28</v>
      </c>
    </row>
    <row r="972" spans="1:14" x14ac:dyDescent="0.25">
      <c r="A972" t="s">
        <v>2950</v>
      </c>
      <c r="B972" s="1">
        <v>45707</v>
      </c>
      <c r="C972" t="s">
        <v>2951</v>
      </c>
      <c r="D972" t="s">
        <v>2952</v>
      </c>
      <c r="E972" s="14">
        <v>923209260608</v>
      </c>
      <c r="F972" t="s">
        <v>44</v>
      </c>
      <c r="G972" t="s">
        <v>18</v>
      </c>
      <c r="H972" t="s">
        <v>19</v>
      </c>
      <c r="I972">
        <v>4</v>
      </c>
      <c r="J972">
        <v>9306</v>
      </c>
      <c r="K972">
        <v>37224</v>
      </c>
      <c r="L972" t="s">
        <v>40</v>
      </c>
      <c r="M972" t="s">
        <v>21</v>
      </c>
      <c r="N972" t="s">
        <v>35</v>
      </c>
    </row>
    <row r="973" spans="1:14" x14ac:dyDescent="0.25">
      <c r="A973" t="s">
        <v>2953</v>
      </c>
      <c r="B973" s="1">
        <v>45982</v>
      </c>
      <c r="C973" t="s">
        <v>2954</v>
      </c>
      <c r="D973" t="s">
        <v>2955</v>
      </c>
      <c r="E973" s="14">
        <v>923067162181</v>
      </c>
      <c r="F973" t="s">
        <v>77</v>
      </c>
      <c r="G973" t="s">
        <v>18</v>
      </c>
      <c r="H973" t="s">
        <v>33</v>
      </c>
      <c r="I973">
        <v>5</v>
      </c>
      <c r="J973">
        <v>12984</v>
      </c>
      <c r="K973">
        <v>64920</v>
      </c>
      <c r="L973" t="s">
        <v>20</v>
      </c>
      <c r="M973" t="s">
        <v>45</v>
      </c>
      <c r="N973" t="s">
        <v>28</v>
      </c>
    </row>
    <row r="974" spans="1:14" x14ac:dyDescent="0.25">
      <c r="A974" t="s">
        <v>2956</v>
      </c>
      <c r="B974" s="1">
        <v>45750</v>
      </c>
      <c r="C974" t="s">
        <v>2957</v>
      </c>
      <c r="D974" t="s">
        <v>2958</v>
      </c>
      <c r="E974" s="14">
        <v>923087743479</v>
      </c>
      <c r="F974" t="s">
        <v>49</v>
      </c>
      <c r="G974" t="s">
        <v>18</v>
      </c>
      <c r="H974" t="s">
        <v>19</v>
      </c>
      <c r="I974">
        <v>2</v>
      </c>
      <c r="J974">
        <v>13965</v>
      </c>
      <c r="K974">
        <v>27930</v>
      </c>
      <c r="L974" t="s">
        <v>40</v>
      </c>
      <c r="M974" t="s">
        <v>82</v>
      </c>
      <c r="N974" t="s">
        <v>22</v>
      </c>
    </row>
    <row r="975" spans="1:14" x14ac:dyDescent="0.25">
      <c r="A975" t="s">
        <v>2959</v>
      </c>
      <c r="B975" s="1">
        <v>45766</v>
      </c>
      <c r="C975" t="s">
        <v>2960</v>
      </c>
      <c r="D975" t="s">
        <v>2961</v>
      </c>
      <c r="E975" s="14">
        <v>923321031426</v>
      </c>
      <c r="F975" t="s">
        <v>17</v>
      </c>
      <c r="G975" t="s">
        <v>18</v>
      </c>
      <c r="H975" t="s">
        <v>33</v>
      </c>
      <c r="I975">
        <v>1</v>
      </c>
      <c r="J975">
        <v>14974</v>
      </c>
      <c r="K975">
        <v>14974</v>
      </c>
      <c r="L975" t="s">
        <v>63</v>
      </c>
      <c r="M975" t="s">
        <v>82</v>
      </c>
      <c r="N975" t="s">
        <v>28</v>
      </c>
    </row>
    <row r="976" spans="1:14" x14ac:dyDescent="0.25">
      <c r="A976" t="s">
        <v>2962</v>
      </c>
      <c r="B976" s="1">
        <v>46001</v>
      </c>
      <c r="C976" t="s">
        <v>2963</v>
      </c>
      <c r="D976" t="s">
        <v>2964</v>
      </c>
      <c r="E976" s="14">
        <v>923323709527</v>
      </c>
      <c r="F976" t="s">
        <v>44</v>
      </c>
      <c r="G976" t="s">
        <v>18</v>
      </c>
      <c r="H976" t="s">
        <v>19</v>
      </c>
      <c r="I976">
        <v>5</v>
      </c>
      <c r="J976">
        <v>9588</v>
      </c>
      <c r="K976">
        <v>47940</v>
      </c>
      <c r="L976" t="s">
        <v>26</v>
      </c>
      <c r="M976" t="s">
        <v>82</v>
      </c>
      <c r="N976" t="s">
        <v>69</v>
      </c>
    </row>
    <row r="977" spans="1:14" x14ac:dyDescent="0.25">
      <c r="A977" t="s">
        <v>2965</v>
      </c>
      <c r="B977" s="1">
        <v>45982</v>
      </c>
      <c r="C977" t="s">
        <v>2966</v>
      </c>
      <c r="D977" t="s">
        <v>2967</v>
      </c>
      <c r="E977" s="14">
        <v>923152050708</v>
      </c>
      <c r="F977" t="s">
        <v>77</v>
      </c>
      <c r="G977" t="s">
        <v>18</v>
      </c>
      <c r="H977" t="s">
        <v>33</v>
      </c>
      <c r="I977">
        <v>3</v>
      </c>
      <c r="J977">
        <v>3889</v>
      </c>
      <c r="K977">
        <v>11667</v>
      </c>
      <c r="L977" t="s">
        <v>68</v>
      </c>
      <c r="M977" t="s">
        <v>93</v>
      </c>
      <c r="N977" t="s">
        <v>69</v>
      </c>
    </row>
    <row r="978" spans="1:14" x14ac:dyDescent="0.25">
      <c r="A978" t="s">
        <v>2968</v>
      </c>
      <c r="B978" s="1">
        <v>45799</v>
      </c>
      <c r="C978" t="s">
        <v>2969</v>
      </c>
      <c r="D978" t="s">
        <v>2970</v>
      </c>
      <c r="E978" s="14">
        <v>923017427536</v>
      </c>
      <c r="F978" t="s">
        <v>92</v>
      </c>
      <c r="G978" t="s">
        <v>18</v>
      </c>
      <c r="H978" t="s">
        <v>73</v>
      </c>
      <c r="I978">
        <v>2</v>
      </c>
      <c r="J978">
        <v>1804</v>
      </c>
      <c r="K978">
        <v>3608</v>
      </c>
      <c r="L978" t="s">
        <v>63</v>
      </c>
      <c r="M978" t="s">
        <v>93</v>
      </c>
      <c r="N978" t="s">
        <v>69</v>
      </c>
    </row>
    <row r="979" spans="1:14" x14ac:dyDescent="0.25">
      <c r="A979" t="s">
        <v>2971</v>
      </c>
      <c r="B979" s="1">
        <v>45903</v>
      </c>
      <c r="C979" t="s">
        <v>2972</v>
      </c>
      <c r="D979" t="s">
        <v>2973</v>
      </c>
      <c r="E979" s="14">
        <v>923170710379</v>
      </c>
      <c r="F979" t="s">
        <v>44</v>
      </c>
      <c r="G979" t="s">
        <v>18</v>
      </c>
      <c r="H979" t="s">
        <v>59</v>
      </c>
      <c r="I979">
        <v>4</v>
      </c>
      <c r="J979">
        <v>14680</v>
      </c>
      <c r="K979">
        <v>58720</v>
      </c>
      <c r="L979" t="s">
        <v>63</v>
      </c>
      <c r="M979" t="s">
        <v>55</v>
      </c>
      <c r="N979" t="s">
        <v>22</v>
      </c>
    </row>
    <row r="980" spans="1:14" x14ac:dyDescent="0.25">
      <c r="A980" t="s">
        <v>2974</v>
      </c>
      <c r="B980" s="1">
        <v>45862</v>
      </c>
      <c r="C980" t="s">
        <v>2975</v>
      </c>
      <c r="D980" t="s">
        <v>2976</v>
      </c>
      <c r="E980" s="14">
        <v>923359061910</v>
      </c>
      <c r="F980" t="s">
        <v>54</v>
      </c>
      <c r="G980" t="s">
        <v>18</v>
      </c>
      <c r="H980" t="s">
        <v>39</v>
      </c>
      <c r="I980">
        <v>5</v>
      </c>
      <c r="J980">
        <v>6102</v>
      </c>
      <c r="K980">
        <v>30510</v>
      </c>
      <c r="L980" t="s">
        <v>78</v>
      </c>
      <c r="M980" t="s">
        <v>34</v>
      </c>
      <c r="N980" t="s">
        <v>35</v>
      </c>
    </row>
    <row r="981" spans="1:14" x14ac:dyDescent="0.25">
      <c r="A981" t="s">
        <v>2977</v>
      </c>
      <c r="B981" s="1">
        <v>45744</v>
      </c>
      <c r="C981" t="s">
        <v>2978</v>
      </c>
      <c r="D981" t="s">
        <v>2979</v>
      </c>
      <c r="E981" s="14">
        <v>923114697627</v>
      </c>
      <c r="F981" t="s">
        <v>67</v>
      </c>
      <c r="G981" t="s">
        <v>18</v>
      </c>
      <c r="H981" t="s">
        <v>33</v>
      </c>
      <c r="I981">
        <v>4</v>
      </c>
      <c r="J981">
        <v>2893</v>
      </c>
      <c r="K981">
        <v>11572</v>
      </c>
      <c r="L981" t="s">
        <v>20</v>
      </c>
      <c r="M981" t="s">
        <v>93</v>
      </c>
      <c r="N981" t="s">
        <v>35</v>
      </c>
    </row>
    <row r="982" spans="1:14" x14ac:dyDescent="0.25">
      <c r="A982" t="s">
        <v>2980</v>
      </c>
      <c r="B982" s="1">
        <v>46036</v>
      </c>
      <c r="C982" t="s">
        <v>2981</v>
      </c>
      <c r="D982" t="s">
        <v>2982</v>
      </c>
      <c r="E982" s="14">
        <v>923491372163</v>
      </c>
      <c r="F982" t="s">
        <v>92</v>
      </c>
      <c r="G982" t="s">
        <v>18</v>
      </c>
      <c r="H982" t="s">
        <v>50</v>
      </c>
      <c r="I982">
        <v>4</v>
      </c>
      <c r="J982">
        <v>9140</v>
      </c>
      <c r="K982">
        <v>36560</v>
      </c>
      <c r="L982" t="s">
        <v>40</v>
      </c>
      <c r="M982" t="s">
        <v>82</v>
      </c>
      <c r="N982" t="s">
        <v>28</v>
      </c>
    </row>
    <row r="983" spans="1:14" x14ac:dyDescent="0.25">
      <c r="A983" t="s">
        <v>2983</v>
      </c>
      <c r="B983" s="1">
        <v>45846</v>
      </c>
      <c r="C983" t="s">
        <v>2984</v>
      </c>
      <c r="D983" t="s">
        <v>2985</v>
      </c>
      <c r="E983" s="14">
        <v>923399615729</v>
      </c>
      <c r="F983" t="s">
        <v>92</v>
      </c>
      <c r="G983" t="s">
        <v>18</v>
      </c>
      <c r="H983" t="s">
        <v>59</v>
      </c>
      <c r="I983">
        <v>4</v>
      </c>
      <c r="J983">
        <v>1167</v>
      </c>
      <c r="K983">
        <v>4668</v>
      </c>
      <c r="L983" t="s">
        <v>68</v>
      </c>
      <c r="M983" t="s">
        <v>21</v>
      </c>
      <c r="N983" t="s">
        <v>35</v>
      </c>
    </row>
    <row r="984" spans="1:14" x14ac:dyDescent="0.25">
      <c r="A984" t="s">
        <v>2986</v>
      </c>
      <c r="B984" s="1">
        <v>45736</v>
      </c>
      <c r="C984" t="s">
        <v>2987</v>
      </c>
      <c r="D984" t="s">
        <v>2988</v>
      </c>
      <c r="E984" s="14">
        <v>923014940494</v>
      </c>
      <c r="F984" t="s">
        <v>106</v>
      </c>
      <c r="G984" t="s">
        <v>18</v>
      </c>
      <c r="H984" t="s">
        <v>19</v>
      </c>
      <c r="I984">
        <v>1</v>
      </c>
      <c r="J984">
        <v>14115</v>
      </c>
      <c r="K984">
        <v>14115</v>
      </c>
      <c r="L984" t="s">
        <v>40</v>
      </c>
      <c r="M984" t="s">
        <v>21</v>
      </c>
      <c r="N984" t="s">
        <v>28</v>
      </c>
    </row>
    <row r="985" spans="1:14" x14ac:dyDescent="0.25">
      <c r="A985" t="s">
        <v>2989</v>
      </c>
      <c r="B985" s="1">
        <v>45739</v>
      </c>
      <c r="C985" t="s">
        <v>2990</v>
      </c>
      <c r="D985" t="s">
        <v>2991</v>
      </c>
      <c r="E985" s="14">
        <v>923280198193</v>
      </c>
      <c r="F985" t="s">
        <v>54</v>
      </c>
      <c r="G985" t="s">
        <v>18</v>
      </c>
      <c r="H985" t="s">
        <v>73</v>
      </c>
      <c r="I985">
        <v>3</v>
      </c>
      <c r="J985">
        <v>6016</v>
      </c>
      <c r="K985">
        <v>18048</v>
      </c>
      <c r="L985" t="s">
        <v>78</v>
      </c>
      <c r="M985" t="s">
        <v>55</v>
      </c>
      <c r="N985" t="s">
        <v>35</v>
      </c>
    </row>
    <row r="986" spans="1:14" x14ac:dyDescent="0.25">
      <c r="A986" t="s">
        <v>2992</v>
      </c>
      <c r="B986" s="1">
        <v>45929</v>
      </c>
      <c r="C986" t="s">
        <v>2993</v>
      </c>
      <c r="D986" t="s">
        <v>2994</v>
      </c>
      <c r="E986" s="14">
        <v>923165950949</v>
      </c>
      <c r="F986" t="s">
        <v>67</v>
      </c>
      <c r="G986" t="s">
        <v>18</v>
      </c>
      <c r="H986" t="s">
        <v>33</v>
      </c>
      <c r="I986">
        <v>2</v>
      </c>
      <c r="J986">
        <v>7531</v>
      </c>
      <c r="K986">
        <v>15062</v>
      </c>
      <c r="L986" t="s">
        <v>20</v>
      </c>
      <c r="M986" t="s">
        <v>82</v>
      </c>
      <c r="N986" t="s">
        <v>22</v>
      </c>
    </row>
    <row r="987" spans="1:14" x14ac:dyDescent="0.25">
      <c r="A987" t="s">
        <v>2995</v>
      </c>
      <c r="B987" s="1">
        <v>45777</v>
      </c>
      <c r="C987" t="s">
        <v>2996</v>
      </c>
      <c r="D987" t="s">
        <v>2997</v>
      </c>
      <c r="E987" s="14">
        <v>923480280806</v>
      </c>
      <c r="F987" t="s">
        <v>44</v>
      </c>
      <c r="G987" t="s">
        <v>18</v>
      </c>
      <c r="H987" t="s">
        <v>19</v>
      </c>
      <c r="I987">
        <v>1</v>
      </c>
      <c r="J987">
        <v>1280</v>
      </c>
      <c r="K987">
        <v>1280</v>
      </c>
      <c r="L987" t="s">
        <v>40</v>
      </c>
      <c r="M987" t="s">
        <v>34</v>
      </c>
      <c r="N987" t="s">
        <v>22</v>
      </c>
    </row>
    <row r="988" spans="1:14" x14ac:dyDescent="0.25">
      <c r="A988" t="s">
        <v>2998</v>
      </c>
      <c r="B988" s="1">
        <v>46064</v>
      </c>
      <c r="C988" t="s">
        <v>2999</v>
      </c>
      <c r="D988" t="s">
        <v>3000</v>
      </c>
      <c r="E988" s="14">
        <v>923350253108</v>
      </c>
      <c r="F988" t="s">
        <v>49</v>
      </c>
      <c r="G988" t="s">
        <v>18</v>
      </c>
      <c r="H988" t="s">
        <v>59</v>
      </c>
      <c r="I988">
        <v>3</v>
      </c>
      <c r="J988">
        <v>11739</v>
      </c>
      <c r="K988">
        <v>35217</v>
      </c>
      <c r="L988" t="s">
        <v>20</v>
      </c>
      <c r="M988" t="s">
        <v>93</v>
      </c>
      <c r="N988" t="s">
        <v>28</v>
      </c>
    </row>
    <row r="989" spans="1:14" x14ac:dyDescent="0.25">
      <c r="A989" t="s">
        <v>3001</v>
      </c>
      <c r="B989" s="1">
        <v>45942</v>
      </c>
      <c r="C989" t="s">
        <v>3002</v>
      </c>
      <c r="D989" t="s">
        <v>3003</v>
      </c>
      <c r="E989" s="14">
        <v>923002377615</v>
      </c>
      <c r="F989" t="s">
        <v>67</v>
      </c>
      <c r="G989" t="s">
        <v>18</v>
      </c>
      <c r="H989" t="s">
        <v>33</v>
      </c>
      <c r="I989">
        <v>2</v>
      </c>
      <c r="J989">
        <v>11036</v>
      </c>
      <c r="K989">
        <v>22072</v>
      </c>
      <c r="L989" t="s">
        <v>40</v>
      </c>
      <c r="M989" t="s">
        <v>93</v>
      </c>
      <c r="N989" t="s">
        <v>28</v>
      </c>
    </row>
    <row r="990" spans="1:14" x14ac:dyDescent="0.25">
      <c r="A990" t="s">
        <v>3004</v>
      </c>
      <c r="B990" s="1">
        <v>45994</v>
      </c>
      <c r="C990" t="s">
        <v>3005</v>
      </c>
      <c r="D990" t="s">
        <v>3006</v>
      </c>
      <c r="E990" s="14">
        <v>923039690127</v>
      </c>
      <c r="F990" t="s">
        <v>49</v>
      </c>
      <c r="G990" t="s">
        <v>18</v>
      </c>
      <c r="H990" t="s">
        <v>59</v>
      </c>
      <c r="I990">
        <v>4</v>
      </c>
      <c r="J990">
        <v>3725</v>
      </c>
      <c r="K990">
        <v>14900</v>
      </c>
      <c r="L990" t="s">
        <v>20</v>
      </c>
      <c r="M990" t="s">
        <v>34</v>
      </c>
      <c r="N990" t="s">
        <v>69</v>
      </c>
    </row>
    <row r="991" spans="1:14" x14ac:dyDescent="0.25">
      <c r="A991" t="s">
        <v>3007</v>
      </c>
      <c r="B991" s="1">
        <v>45786</v>
      </c>
      <c r="C991" t="s">
        <v>3008</v>
      </c>
      <c r="D991" t="s">
        <v>3009</v>
      </c>
      <c r="E991" s="14">
        <v>923455924276</v>
      </c>
      <c r="F991" t="s">
        <v>32</v>
      </c>
      <c r="G991" t="s">
        <v>18</v>
      </c>
      <c r="H991" t="s">
        <v>19</v>
      </c>
      <c r="I991">
        <v>2</v>
      </c>
      <c r="J991">
        <v>1255</v>
      </c>
      <c r="K991">
        <v>2510</v>
      </c>
      <c r="L991" t="s">
        <v>26</v>
      </c>
      <c r="M991" t="s">
        <v>55</v>
      </c>
      <c r="N991" t="s">
        <v>28</v>
      </c>
    </row>
    <row r="992" spans="1:14" x14ac:dyDescent="0.25">
      <c r="A992" t="s">
        <v>3010</v>
      </c>
      <c r="B992" s="1">
        <v>45980</v>
      </c>
      <c r="C992" t="s">
        <v>3011</v>
      </c>
      <c r="D992" t="s">
        <v>3012</v>
      </c>
      <c r="E992" s="14">
        <v>923400531357</v>
      </c>
      <c r="F992" t="s">
        <v>44</v>
      </c>
      <c r="G992" t="s">
        <v>18</v>
      </c>
      <c r="H992" t="s">
        <v>59</v>
      </c>
      <c r="I992">
        <v>1</v>
      </c>
      <c r="J992">
        <v>14781</v>
      </c>
      <c r="K992">
        <v>14781</v>
      </c>
      <c r="L992" t="s">
        <v>20</v>
      </c>
      <c r="M992" t="s">
        <v>55</v>
      </c>
      <c r="N992" t="s">
        <v>69</v>
      </c>
    </row>
    <row r="993" spans="1:14" x14ac:dyDescent="0.25">
      <c r="A993" t="s">
        <v>3013</v>
      </c>
      <c r="B993" s="1">
        <v>45733</v>
      </c>
      <c r="C993" t="s">
        <v>3014</v>
      </c>
      <c r="D993" t="s">
        <v>3015</v>
      </c>
      <c r="E993" s="14">
        <v>923251084044</v>
      </c>
      <c r="F993" t="s">
        <v>106</v>
      </c>
      <c r="G993" t="s">
        <v>18</v>
      </c>
      <c r="H993" t="s">
        <v>33</v>
      </c>
      <c r="I993">
        <v>2</v>
      </c>
      <c r="J993">
        <v>7390</v>
      </c>
      <c r="K993">
        <v>14780</v>
      </c>
      <c r="L993" t="s">
        <v>26</v>
      </c>
      <c r="M993" t="s">
        <v>21</v>
      </c>
      <c r="N993" t="s">
        <v>69</v>
      </c>
    </row>
    <row r="994" spans="1:14" x14ac:dyDescent="0.25">
      <c r="A994" t="s">
        <v>3016</v>
      </c>
      <c r="B994" s="1">
        <v>45745</v>
      </c>
      <c r="C994" t="s">
        <v>3017</v>
      </c>
      <c r="D994" t="s">
        <v>3018</v>
      </c>
      <c r="E994" s="14">
        <v>923359767070</v>
      </c>
      <c r="F994" t="s">
        <v>77</v>
      </c>
      <c r="G994" t="s">
        <v>18</v>
      </c>
      <c r="H994" t="s">
        <v>59</v>
      </c>
      <c r="I994">
        <v>2</v>
      </c>
      <c r="J994">
        <v>14735</v>
      </c>
      <c r="K994">
        <v>29470</v>
      </c>
      <c r="L994" t="s">
        <v>63</v>
      </c>
      <c r="M994" t="s">
        <v>93</v>
      </c>
      <c r="N994" t="s">
        <v>35</v>
      </c>
    </row>
    <row r="995" spans="1:14" x14ac:dyDescent="0.25">
      <c r="A995" t="s">
        <v>3019</v>
      </c>
      <c r="B995" s="1">
        <v>45869</v>
      </c>
      <c r="C995" t="s">
        <v>3020</v>
      </c>
      <c r="D995" t="s">
        <v>3021</v>
      </c>
      <c r="E995" s="14">
        <v>923225363198</v>
      </c>
      <c r="F995" t="s">
        <v>67</v>
      </c>
      <c r="G995" t="s">
        <v>18</v>
      </c>
      <c r="H995" t="s">
        <v>50</v>
      </c>
      <c r="I995">
        <v>4</v>
      </c>
      <c r="J995">
        <v>3424</v>
      </c>
      <c r="K995">
        <v>13696</v>
      </c>
      <c r="L995" t="s">
        <v>78</v>
      </c>
      <c r="M995" t="s">
        <v>45</v>
      </c>
      <c r="N995" t="s">
        <v>35</v>
      </c>
    </row>
    <row r="996" spans="1:14" x14ac:dyDescent="0.25">
      <c r="A996" t="s">
        <v>3022</v>
      </c>
      <c r="B996" s="1">
        <v>45927</v>
      </c>
      <c r="C996" t="s">
        <v>3023</v>
      </c>
      <c r="D996" t="s">
        <v>3024</v>
      </c>
      <c r="E996" s="14">
        <v>923254686838</v>
      </c>
      <c r="F996" t="s">
        <v>54</v>
      </c>
      <c r="G996" t="s">
        <v>18</v>
      </c>
      <c r="H996" t="s">
        <v>73</v>
      </c>
      <c r="I996">
        <v>1</v>
      </c>
      <c r="J996">
        <v>14348</v>
      </c>
      <c r="K996">
        <v>14348</v>
      </c>
      <c r="L996" t="s">
        <v>68</v>
      </c>
      <c r="M996" t="s">
        <v>55</v>
      </c>
      <c r="N996" t="s">
        <v>28</v>
      </c>
    </row>
    <row r="997" spans="1:14" x14ac:dyDescent="0.25">
      <c r="A997" t="s">
        <v>3025</v>
      </c>
      <c r="B997" s="1">
        <v>45845</v>
      </c>
      <c r="C997" t="s">
        <v>3026</v>
      </c>
      <c r="D997" t="s">
        <v>3027</v>
      </c>
      <c r="E997" s="14">
        <v>923116502446</v>
      </c>
      <c r="F997" t="s">
        <v>54</v>
      </c>
      <c r="G997" t="s">
        <v>18</v>
      </c>
      <c r="H997" t="s">
        <v>50</v>
      </c>
      <c r="I997">
        <v>4</v>
      </c>
      <c r="J997">
        <v>7910</v>
      </c>
      <c r="K997">
        <v>31640</v>
      </c>
      <c r="L997" t="s">
        <v>78</v>
      </c>
      <c r="M997" t="s">
        <v>82</v>
      </c>
      <c r="N997" t="s">
        <v>28</v>
      </c>
    </row>
    <row r="998" spans="1:14" x14ac:dyDescent="0.25">
      <c r="A998" t="s">
        <v>3028</v>
      </c>
      <c r="B998" s="1">
        <v>45885</v>
      </c>
      <c r="C998" t="s">
        <v>3029</v>
      </c>
      <c r="D998" t="s">
        <v>3030</v>
      </c>
      <c r="E998" s="14">
        <v>923173552292</v>
      </c>
      <c r="F998" t="s">
        <v>77</v>
      </c>
      <c r="G998" t="s">
        <v>18</v>
      </c>
      <c r="H998" t="s">
        <v>59</v>
      </c>
      <c r="I998">
        <v>2</v>
      </c>
      <c r="J998">
        <v>10113</v>
      </c>
      <c r="K998">
        <v>20226</v>
      </c>
      <c r="L998" t="s">
        <v>78</v>
      </c>
      <c r="M998" t="s">
        <v>55</v>
      </c>
      <c r="N998" t="s">
        <v>69</v>
      </c>
    </row>
    <row r="999" spans="1:14" x14ac:dyDescent="0.25">
      <c r="A999" t="s">
        <v>3031</v>
      </c>
      <c r="B999" s="1">
        <v>45889</v>
      </c>
      <c r="C999" t="s">
        <v>3032</v>
      </c>
      <c r="D999" t="s">
        <v>3033</v>
      </c>
      <c r="E999" s="14">
        <v>923023550804</v>
      </c>
      <c r="F999" t="s">
        <v>92</v>
      </c>
      <c r="G999" t="s">
        <v>18</v>
      </c>
      <c r="H999" t="s">
        <v>59</v>
      </c>
      <c r="I999">
        <v>1</v>
      </c>
      <c r="J999">
        <v>9225</v>
      </c>
      <c r="K999">
        <v>9225</v>
      </c>
      <c r="L999" t="s">
        <v>40</v>
      </c>
      <c r="M999" t="s">
        <v>135</v>
      </c>
      <c r="N999" t="s">
        <v>28</v>
      </c>
    </row>
    <row r="1000" spans="1:14" x14ac:dyDescent="0.25">
      <c r="A1000" t="s">
        <v>3034</v>
      </c>
      <c r="B1000" s="1">
        <v>45918</v>
      </c>
      <c r="C1000" t="s">
        <v>3035</v>
      </c>
      <c r="D1000" t="s">
        <v>3036</v>
      </c>
      <c r="E1000" s="14">
        <v>923356904777</v>
      </c>
      <c r="F1000" t="s">
        <v>67</v>
      </c>
      <c r="G1000" t="s">
        <v>18</v>
      </c>
      <c r="H1000" t="s">
        <v>50</v>
      </c>
      <c r="I1000">
        <v>5</v>
      </c>
      <c r="J1000">
        <v>11531</v>
      </c>
      <c r="K1000">
        <v>57655</v>
      </c>
      <c r="L1000" t="s">
        <v>63</v>
      </c>
      <c r="M1000" t="s">
        <v>34</v>
      </c>
      <c r="N1000" t="s">
        <v>35</v>
      </c>
    </row>
    <row r="1001" spans="1:14" x14ac:dyDescent="0.25">
      <c r="A1001" t="s">
        <v>3037</v>
      </c>
      <c r="B1001" s="1">
        <v>45867</v>
      </c>
      <c r="C1001" t="s">
        <v>3038</v>
      </c>
      <c r="D1001" t="s">
        <v>3039</v>
      </c>
      <c r="E1001" s="14">
        <v>923292872720</v>
      </c>
      <c r="F1001" t="s">
        <v>49</v>
      </c>
      <c r="G1001" t="s">
        <v>18</v>
      </c>
      <c r="H1001" t="s">
        <v>19</v>
      </c>
      <c r="I1001">
        <v>3</v>
      </c>
      <c r="J1001">
        <v>6148</v>
      </c>
      <c r="K1001">
        <v>18444</v>
      </c>
      <c r="L1001" t="s">
        <v>26</v>
      </c>
      <c r="M1001" t="s">
        <v>93</v>
      </c>
      <c r="N1001" t="s">
        <v>28</v>
      </c>
    </row>
    <row r="1002" spans="1:14" x14ac:dyDescent="0.25">
      <c r="A1002" t="s">
        <v>3040</v>
      </c>
      <c r="B1002" s="1">
        <v>45991</v>
      </c>
      <c r="C1002" t="s">
        <v>3041</v>
      </c>
      <c r="D1002" t="s">
        <v>3042</v>
      </c>
      <c r="E1002" s="14">
        <v>923103641983</v>
      </c>
      <c r="F1002" t="s">
        <v>54</v>
      </c>
      <c r="G1002" t="s">
        <v>18</v>
      </c>
      <c r="H1002" t="s">
        <v>73</v>
      </c>
      <c r="I1002">
        <v>2</v>
      </c>
      <c r="J1002">
        <v>8385</v>
      </c>
      <c r="K1002">
        <v>16770</v>
      </c>
      <c r="L1002" t="s">
        <v>68</v>
      </c>
      <c r="M1002" t="s">
        <v>93</v>
      </c>
      <c r="N1002" t="s">
        <v>28</v>
      </c>
    </row>
    <row r="1003" spans="1:14" x14ac:dyDescent="0.25">
      <c r="A1003" t="s">
        <v>3043</v>
      </c>
      <c r="B1003" s="1">
        <v>45901</v>
      </c>
      <c r="C1003" t="s">
        <v>3044</v>
      </c>
      <c r="D1003" t="s">
        <v>3045</v>
      </c>
      <c r="E1003" s="14">
        <v>923324069701</v>
      </c>
      <c r="F1003" t="s">
        <v>67</v>
      </c>
      <c r="G1003" t="s">
        <v>18</v>
      </c>
      <c r="H1003" t="s">
        <v>59</v>
      </c>
      <c r="I1003">
        <v>4</v>
      </c>
      <c r="J1003">
        <v>7941</v>
      </c>
      <c r="K1003">
        <v>31764</v>
      </c>
      <c r="L1003" t="s">
        <v>63</v>
      </c>
      <c r="M1003" t="s">
        <v>27</v>
      </c>
      <c r="N1003" t="s">
        <v>28</v>
      </c>
    </row>
    <row r="1004" spans="1:14" x14ac:dyDescent="0.25">
      <c r="A1004" t="s">
        <v>3046</v>
      </c>
      <c r="B1004" s="1">
        <v>45956</v>
      </c>
      <c r="C1004" t="s">
        <v>3047</v>
      </c>
      <c r="D1004" t="s">
        <v>3048</v>
      </c>
      <c r="E1004" s="14">
        <v>923013178493</v>
      </c>
      <c r="F1004" t="s">
        <v>44</v>
      </c>
      <c r="G1004" t="s">
        <v>18</v>
      </c>
      <c r="H1004" t="s">
        <v>50</v>
      </c>
      <c r="I1004">
        <v>2</v>
      </c>
      <c r="J1004">
        <v>4759</v>
      </c>
      <c r="K1004">
        <v>9518</v>
      </c>
      <c r="L1004" t="s">
        <v>78</v>
      </c>
      <c r="M1004" t="s">
        <v>27</v>
      </c>
      <c r="N1004" t="s">
        <v>28</v>
      </c>
    </row>
    <row r="1005" spans="1:14" x14ac:dyDescent="0.25">
      <c r="A1005" t="s">
        <v>3049</v>
      </c>
      <c r="B1005" s="1">
        <v>46034</v>
      </c>
      <c r="C1005" t="s">
        <v>3050</v>
      </c>
      <c r="D1005" t="s">
        <v>3051</v>
      </c>
      <c r="E1005" s="14">
        <v>923443857630</v>
      </c>
      <c r="F1005" t="s">
        <v>44</v>
      </c>
      <c r="G1005" t="s">
        <v>18</v>
      </c>
      <c r="H1005" t="s">
        <v>50</v>
      </c>
      <c r="I1005">
        <v>4</v>
      </c>
      <c r="J1005">
        <v>2267</v>
      </c>
      <c r="K1005">
        <v>9068</v>
      </c>
      <c r="L1005" t="s">
        <v>63</v>
      </c>
      <c r="M1005" t="s">
        <v>55</v>
      </c>
      <c r="N1005" t="s">
        <v>28</v>
      </c>
    </row>
    <row r="1006" spans="1:14" x14ac:dyDescent="0.25">
      <c r="A1006" t="s">
        <v>3052</v>
      </c>
      <c r="B1006" s="1">
        <v>45919</v>
      </c>
      <c r="C1006" t="s">
        <v>3053</v>
      </c>
      <c r="D1006" t="s">
        <v>3054</v>
      </c>
      <c r="E1006" s="14">
        <v>923237003690</v>
      </c>
      <c r="F1006" t="s">
        <v>106</v>
      </c>
      <c r="G1006" t="s">
        <v>18</v>
      </c>
      <c r="H1006" t="s">
        <v>50</v>
      </c>
      <c r="I1006">
        <v>1</v>
      </c>
      <c r="J1006">
        <v>13037</v>
      </c>
      <c r="K1006">
        <v>13037</v>
      </c>
      <c r="L1006" t="s">
        <v>26</v>
      </c>
      <c r="M1006" t="s">
        <v>93</v>
      </c>
      <c r="N1006" t="s">
        <v>35</v>
      </c>
    </row>
    <row r="1007" spans="1:14" x14ac:dyDescent="0.25">
      <c r="A1007" t="s">
        <v>3055</v>
      </c>
      <c r="B1007" s="1">
        <v>45856</v>
      </c>
      <c r="C1007" t="s">
        <v>3056</v>
      </c>
      <c r="D1007" t="s">
        <v>3057</v>
      </c>
      <c r="E1007" s="14">
        <v>923308860955</v>
      </c>
      <c r="F1007" t="s">
        <v>106</v>
      </c>
      <c r="G1007" t="s">
        <v>18</v>
      </c>
      <c r="H1007" t="s">
        <v>39</v>
      </c>
      <c r="I1007">
        <v>1</v>
      </c>
      <c r="J1007">
        <v>5084</v>
      </c>
      <c r="K1007">
        <v>5084</v>
      </c>
      <c r="L1007" t="s">
        <v>78</v>
      </c>
      <c r="M1007" t="s">
        <v>135</v>
      </c>
      <c r="N1007" t="s">
        <v>28</v>
      </c>
    </row>
    <row r="1008" spans="1:14" x14ac:dyDescent="0.25">
      <c r="A1008" t="s">
        <v>3058</v>
      </c>
      <c r="B1008" s="1">
        <v>46030</v>
      </c>
      <c r="C1008" t="s">
        <v>3059</v>
      </c>
      <c r="D1008" t="s">
        <v>3060</v>
      </c>
      <c r="E1008" s="14">
        <v>923005544282</v>
      </c>
      <c r="F1008" t="s">
        <v>17</v>
      </c>
      <c r="G1008" t="s">
        <v>18</v>
      </c>
      <c r="H1008" t="s">
        <v>50</v>
      </c>
      <c r="I1008">
        <v>3</v>
      </c>
      <c r="J1008">
        <v>11054</v>
      </c>
      <c r="K1008">
        <v>33162</v>
      </c>
      <c r="L1008" t="s">
        <v>68</v>
      </c>
      <c r="M1008" t="s">
        <v>34</v>
      </c>
      <c r="N1008" t="s">
        <v>69</v>
      </c>
    </row>
    <row r="1009" spans="1:14" x14ac:dyDescent="0.25">
      <c r="A1009" t="s">
        <v>3061</v>
      </c>
      <c r="B1009" s="1">
        <v>45765</v>
      </c>
      <c r="C1009" t="s">
        <v>3062</v>
      </c>
      <c r="D1009" t="s">
        <v>3063</v>
      </c>
      <c r="E1009" s="14">
        <v>923138453470</v>
      </c>
      <c r="F1009" t="s">
        <v>106</v>
      </c>
      <c r="G1009" t="s">
        <v>18</v>
      </c>
      <c r="H1009" t="s">
        <v>39</v>
      </c>
      <c r="I1009">
        <v>5</v>
      </c>
      <c r="J1009">
        <v>5393</v>
      </c>
      <c r="K1009">
        <v>26965</v>
      </c>
      <c r="L1009" t="s">
        <v>78</v>
      </c>
      <c r="M1009" t="s">
        <v>27</v>
      </c>
      <c r="N1009" t="s">
        <v>28</v>
      </c>
    </row>
    <row r="1010" spans="1:14" x14ac:dyDescent="0.25">
      <c r="A1010" t="s">
        <v>3064</v>
      </c>
      <c r="B1010" s="1">
        <v>45870</v>
      </c>
      <c r="C1010" t="s">
        <v>3065</v>
      </c>
      <c r="D1010" t="s">
        <v>3066</v>
      </c>
      <c r="E1010" s="14">
        <v>923132656374</v>
      </c>
      <c r="F1010" t="s">
        <v>77</v>
      </c>
      <c r="G1010" t="s">
        <v>18</v>
      </c>
      <c r="H1010" t="s">
        <v>39</v>
      </c>
      <c r="I1010">
        <v>1</v>
      </c>
      <c r="J1010">
        <v>12443</v>
      </c>
      <c r="K1010">
        <v>12443</v>
      </c>
      <c r="L1010" t="s">
        <v>78</v>
      </c>
      <c r="M1010" t="s">
        <v>34</v>
      </c>
      <c r="N1010" t="s">
        <v>69</v>
      </c>
    </row>
    <row r="1011" spans="1:14" x14ac:dyDescent="0.25">
      <c r="A1011" t="s">
        <v>3067</v>
      </c>
      <c r="B1011" s="1">
        <v>46016</v>
      </c>
      <c r="C1011" t="s">
        <v>3068</v>
      </c>
      <c r="D1011" t="s">
        <v>3069</v>
      </c>
      <c r="E1011" s="14">
        <v>923190495519</v>
      </c>
      <c r="F1011" t="s">
        <v>49</v>
      </c>
      <c r="G1011" t="s">
        <v>18</v>
      </c>
      <c r="H1011" t="s">
        <v>59</v>
      </c>
      <c r="I1011">
        <v>5</v>
      </c>
      <c r="J1011">
        <v>1075</v>
      </c>
      <c r="K1011">
        <v>5375</v>
      </c>
      <c r="L1011" t="s">
        <v>40</v>
      </c>
      <c r="M1011" t="s">
        <v>82</v>
      </c>
      <c r="N1011" t="s">
        <v>69</v>
      </c>
    </row>
    <row r="1012" spans="1:14" x14ac:dyDescent="0.25">
      <c r="A1012" t="s">
        <v>3070</v>
      </c>
      <c r="B1012" s="1">
        <v>45888</v>
      </c>
      <c r="C1012" t="s">
        <v>3071</v>
      </c>
      <c r="D1012" t="s">
        <v>3072</v>
      </c>
      <c r="E1012" s="14">
        <v>923388073119</v>
      </c>
      <c r="F1012" t="s">
        <v>106</v>
      </c>
      <c r="G1012" t="s">
        <v>18</v>
      </c>
      <c r="H1012" t="s">
        <v>50</v>
      </c>
      <c r="I1012">
        <v>2</v>
      </c>
      <c r="J1012">
        <v>4396</v>
      </c>
      <c r="K1012">
        <v>8792</v>
      </c>
      <c r="L1012" t="s">
        <v>68</v>
      </c>
      <c r="M1012" t="s">
        <v>82</v>
      </c>
      <c r="N1012" t="s">
        <v>28</v>
      </c>
    </row>
    <row r="1013" spans="1:14" x14ac:dyDescent="0.25">
      <c r="A1013" t="s">
        <v>3073</v>
      </c>
      <c r="B1013" s="1">
        <v>45822</v>
      </c>
      <c r="C1013" t="s">
        <v>3074</v>
      </c>
      <c r="D1013" t="s">
        <v>3075</v>
      </c>
      <c r="E1013" s="14">
        <v>923112923145</v>
      </c>
      <c r="F1013" t="s">
        <v>106</v>
      </c>
      <c r="G1013" t="s">
        <v>18</v>
      </c>
      <c r="H1013" t="s">
        <v>33</v>
      </c>
      <c r="I1013">
        <v>5</v>
      </c>
      <c r="J1013">
        <v>1072</v>
      </c>
      <c r="K1013">
        <v>5360</v>
      </c>
      <c r="L1013" t="s">
        <v>78</v>
      </c>
      <c r="M1013" t="s">
        <v>27</v>
      </c>
      <c r="N1013" t="s">
        <v>22</v>
      </c>
    </row>
    <row r="1014" spans="1:14" x14ac:dyDescent="0.25">
      <c r="A1014" t="s">
        <v>3076</v>
      </c>
      <c r="B1014" s="1">
        <v>45878</v>
      </c>
      <c r="C1014" t="s">
        <v>3077</v>
      </c>
      <c r="D1014" t="s">
        <v>3078</v>
      </c>
      <c r="E1014" s="14">
        <v>923102550826</v>
      </c>
      <c r="F1014" t="s">
        <v>67</v>
      </c>
      <c r="G1014" t="s">
        <v>18</v>
      </c>
      <c r="H1014" t="s">
        <v>39</v>
      </c>
      <c r="I1014">
        <v>1</v>
      </c>
      <c r="J1014">
        <v>12926</v>
      </c>
      <c r="K1014">
        <v>12926</v>
      </c>
      <c r="L1014" t="s">
        <v>20</v>
      </c>
      <c r="M1014" t="s">
        <v>82</v>
      </c>
      <c r="N1014" t="s">
        <v>69</v>
      </c>
    </row>
    <row r="1015" spans="1:14" x14ac:dyDescent="0.25">
      <c r="A1015" t="s">
        <v>3079</v>
      </c>
      <c r="B1015" s="1">
        <v>45830</v>
      </c>
      <c r="C1015" t="s">
        <v>3080</v>
      </c>
      <c r="D1015" t="s">
        <v>3081</v>
      </c>
      <c r="E1015" s="14">
        <v>923485930549</v>
      </c>
      <c r="F1015" t="s">
        <v>44</v>
      </c>
      <c r="G1015" t="s">
        <v>18</v>
      </c>
      <c r="H1015" t="s">
        <v>19</v>
      </c>
      <c r="I1015">
        <v>3</v>
      </c>
      <c r="J1015">
        <v>7672</v>
      </c>
      <c r="K1015">
        <v>23016</v>
      </c>
      <c r="L1015" t="s">
        <v>63</v>
      </c>
      <c r="M1015" t="s">
        <v>93</v>
      </c>
      <c r="N1015" t="s">
        <v>35</v>
      </c>
    </row>
    <row r="1016" spans="1:14" x14ac:dyDescent="0.25">
      <c r="A1016" t="s">
        <v>3082</v>
      </c>
      <c r="B1016" s="1">
        <v>45929</v>
      </c>
      <c r="C1016" t="s">
        <v>3083</v>
      </c>
      <c r="D1016" t="s">
        <v>3084</v>
      </c>
      <c r="E1016" s="14">
        <v>923476269562</v>
      </c>
      <c r="F1016" t="s">
        <v>32</v>
      </c>
      <c r="G1016" t="s">
        <v>18</v>
      </c>
      <c r="H1016" t="s">
        <v>50</v>
      </c>
      <c r="I1016">
        <v>4</v>
      </c>
      <c r="J1016">
        <v>3713</v>
      </c>
      <c r="K1016">
        <v>14852</v>
      </c>
      <c r="L1016" t="s">
        <v>40</v>
      </c>
      <c r="M1016" t="s">
        <v>82</v>
      </c>
      <c r="N1016" t="s">
        <v>69</v>
      </c>
    </row>
    <row r="1017" spans="1:14" x14ac:dyDescent="0.25">
      <c r="A1017" t="s">
        <v>3085</v>
      </c>
      <c r="B1017" s="1">
        <v>45948</v>
      </c>
      <c r="C1017" t="s">
        <v>3086</v>
      </c>
      <c r="D1017" t="s">
        <v>3087</v>
      </c>
      <c r="E1017" s="14">
        <v>923423980210</v>
      </c>
      <c r="F1017" t="s">
        <v>44</v>
      </c>
      <c r="G1017" t="s">
        <v>18</v>
      </c>
      <c r="H1017" t="s">
        <v>39</v>
      </c>
      <c r="I1017">
        <v>5</v>
      </c>
      <c r="J1017">
        <v>7237</v>
      </c>
      <c r="K1017">
        <v>36185</v>
      </c>
      <c r="L1017" t="s">
        <v>26</v>
      </c>
      <c r="M1017" t="s">
        <v>27</v>
      </c>
      <c r="N1017" t="s">
        <v>28</v>
      </c>
    </row>
    <row r="1018" spans="1:14" x14ac:dyDescent="0.25">
      <c r="A1018" t="s">
        <v>3088</v>
      </c>
      <c r="B1018" s="1">
        <v>45829</v>
      </c>
      <c r="C1018" t="s">
        <v>3089</v>
      </c>
      <c r="D1018" t="s">
        <v>3090</v>
      </c>
      <c r="E1018" s="14">
        <v>923446850734</v>
      </c>
      <c r="F1018" t="s">
        <v>67</v>
      </c>
      <c r="G1018" t="s">
        <v>18</v>
      </c>
      <c r="H1018" t="s">
        <v>39</v>
      </c>
      <c r="I1018">
        <v>1</v>
      </c>
      <c r="J1018">
        <v>1534</v>
      </c>
      <c r="K1018">
        <v>1534</v>
      </c>
      <c r="L1018" t="s">
        <v>68</v>
      </c>
      <c r="M1018" t="s">
        <v>21</v>
      </c>
      <c r="N1018" t="s">
        <v>35</v>
      </c>
    </row>
    <row r="1019" spans="1:14" x14ac:dyDescent="0.25">
      <c r="A1019" t="s">
        <v>3091</v>
      </c>
      <c r="B1019" s="1">
        <v>45766</v>
      </c>
      <c r="C1019" t="s">
        <v>3092</v>
      </c>
      <c r="D1019" t="s">
        <v>3093</v>
      </c>
      <c r="E1019" s="14">
        <v>923384121474</v>
      </c>
      <c r="F1019" t="s">
        <v>92</v>
      </c>
      <c r="G1019" t="s">
        <v>18</v>
      </c>
      <c r="H1019" t="s">
        <v>39</v>
      </c>
      <c r="I1019">
        <v>1</v>
      </c>
      <c r="J1019">
        <v>4569</v>
      </c>
      <c r="K1019">
        <v>4569</v>
      </c>
      <c r="L1019" t="s">
        <v>40</v>
      </c>
      <c r="M1019" t="s">
        <v>135</v>
      </c>
      <c r="N1019" t="s">
        <v>35</v>
      </c>
    </row>
    <row r="1020" spans="1:14" x14ac:dyDescent="0.25">
      <c r="A1020" t="s">
        <v>3094</v>
      </c>
      <c r="B1020" s="1">
        <v>45713</v>
      </c>
      <c r="C1020" t="s">
        <v>3095</v>
      </c>
      <c r="D1020" t="s">
        <v>3096</v>
      </c>
      <c r="E1020" s="14">
        <v>923113834456</v>
      </c>
      <c r="F1020" t="s">
        <v>77</v>
      </c>
      <c r="G1020" t="s">
        <v>18</v>
      </c>
      <c r="H1020" t="s">
        <v>73</v>
      </c>
      <c r="I1020">
        <v>1</v>
      </c>
      <c r="J1020">
        <v>4776</v>
      </c>
      <c r="K1020">
        <v>4776</v>
      </c>
      <c r="L1020" t="s">
        <v>40</v>
      </c>
      <c r="M1020" t="s">
        <v>82</v>
      </c>
      <c r="N1020" t="s">
        <v>69</v>
      </c>
    </row>
    <row r="1021" spans="1:14" x14ac:dyDescent="0.25">
      <c r="A1021" t="s">
        <v>3097</v>
      </c>
      <c r="B1021" s="1">
        <v>45854</v>
      </c>
      <c r="C1021" t="s">
        <v>3098</v>
      </c>
      <c r="D1021" t="s">
        <v>3099</v>
      </c>
      <c r="E1021" s="14">
        <v>923106785260</v>
      </c>
      <c r="F1021" t="s">
        <v>106</v>
      </c>
      <c r="G1021" t="s">
        <v>18</v>
      </c>
      <c r="H1021" t="s">
        <v>50</v>
      </c>
      <c r="I1021">
        <v>3</v>
      </c>
      <c r="J1021">
        <v>8152</v>
      </c>
      <c r="K1021">
        <v>24456</v>
      </c>
      <c r="L1021" t="s">
        <v>63</v>
      </c>
      <c r="M1021" t="s">
        <v>34</v>
      </c>
      <c r="N1021" t="s">
        <v>69</v>
      </c>
    </row>
    <row r="1022" spans="1:14" x14ac:dyDescent="0.25">
      <c r="A1022" t="s">
        <v>3100</v>
      </c>
      <c r="B1022" s="1">
        <v>45988</v>
      </c>
      <c r="C1022" t="s">
        <v>3101</v>
      </c>
      <c r="D1022" t="s">
        <v>3102</v>
      </c>
      <c r="E1022" s="14">
        <v>923221415277</v>
      </c>
      <c r="F1022" t="s">
        <v>17</v>
      </c>
      <c r="G1022" t="s">
        <v>18</v>
      </c>
      <c r="H1022" t="s">
        <v>33</v>
      </c>
      <c r="I1022">
        <v>5</v>
      </c>
      <c r="J1022">
        <v>14859</v>
      </c>
      <c r="K1022">
        <v>74295</v>
      </c>
      <c r="L1022" t="s">
        <v>78</v>
      </c>
      <c r="M1022" t="s">
        <v>34</v>
      </c>
      <c r="N1022" t="s">
        <v>28</v>
      </c>
    </row>
    <row r="1023" spans="1:14" x14ac:dyDescent="0.25">
      <c r="A1023" t="s">
        <v>3103</v>
      </c>
      <c r="B1023" s="1">
        <v>45863</v>
      </c>
      <c r="C1023" t="s">
        <v>3104</v>
      </c>
      <c r="D1023" t="s">
        <v>3105</v>
      </c>
      <c r="E1023" s="14">
        <v>923173212058</v>
      </c>
      <c r="F1023" t="s">
        <v>54</v>
      </c>
      <c r="G1023" t="s">
        <v>18</v>
      </c>
      <c r="H1023" t="s">
        <v>50</v>
      </c>
      <c r="I1023">
        <v>4</v>
      </c>
      <c r="J1023">
        <v>13440</v>
      </c>
      <c r="K1023">
        <v>53760</v>
      </c>
      <c r="L1023" t="s">
        <v>78</v>
      </c>
      <c r="M1023" t="s">
        <v>27</v>
      </c>
      <c r="N1023" t="s">
        <v>22</v>
      </c>
    </row>
    <row r="1024" spans="1:14" x14ac:dyDescent="0.25">
      <c r="A1024" t="s">
        <v>3106</v>
      </c>
      <c r="B1024" s="1">
        <v>45766</v>
      </c>
      <c r="C1024" t="s">
        <v>3107</v>
      </c>
      <c r="D1024" t="s">
        <v>3108</v>
      </c>
      <c r="E1024" s="14">
        <v>923107388365</v>
      </c>
      <c r="F1024" t="s">
        <v>44</v>
      </c>
      <c r="G1024" t="s">
        <v>18</v>
      </c>
      <c r="H1024" t="s">
        <v>39</v>
      </c>
      <c r="I1024">
        <v>1</v>
      </c>
      <c r="J1024">
        <v>4094</v>
      </c>
      <c r="K1024">
        <v>4094</v>
      </c>
      <c r="L1024" t="s">
        <v>63</v>
      </c>
      <c r="M1024" t="s">
        <v>93</v>
      </c>
      <c r="N1024" t="s">
        <v>35</v>
      </c>
    </row>
    <row r="1025" spans="1:14" x14ac:dyDescent="0.25">
      <c r="A1025" t="s">
        <v>3109</v>
      </c>
      <c r="B1025" s="1">
        <v>45775</v>
      </c>
      <c r="C1025" t="s">
        <v>3110</v>
      </c>
      <c r="D1025" t="s">
        <v>3111</v>
      </c>
      <c r="E1025" s="14">
        <v>923025479767</v>
      </c>
      <c r="F1025" t="s">
        <v>17</v>
      </c>
      <c r="G1025" t="s">
        <v>18</v>
      </c>
      <c r="H1025" t="s">
        <v>39</v>
      </c>
      <c r="I1025">
        <v>5</v>
      </c>
      <c r="J1025">
        <v>11268</v>
      </c>
      <c r="K1025">
        <v>56340</v>
      </c>
      <c r="L1025" t="s">
        <v>26</v>
      </c>
      <c r="M1025" t="s">
        <v>21</v>
      </c>
      <c r="N1025" t="s">
        <v>28</v>
      </c>
    </row>
    <row r="1026" spans="1:14" x14ac:dyDescent="0.25">
      <c r="A1026" t="s">
        <v>3112</v>
      </c>
      <c r="B1026" s="1">
        <v>45889</v>
      </c>
      <c r="C1026" t="s">
        <v>3113</v>
      </c>
      <c r="D1026" t="s">
        <v>3114</v>
      </c>
      <c r="E1026" s="14">
        <v>923470433688</v>
      </c>
      <c r="F1026" t="s">
        <v>67</v>
      </c>
      <c r="G1026" t="s">
        <v>18</v>
      </c>
      <c r="H1026" t="s">
        <v>73</v>
      </c>
      <c r="I1026">
        <v>1</v>
      </c>
      <c r="J1026">
        <v>1879</v>
      </c>
      <c r="K1026">
        <v>1879</v>
      </c>
      <c r="L1026" t="s">
        <v>68</v>
      </c>
      <c r="M1026" t="s">
        <v>21</v>
      </c>
      <c r="N1026" t="s">
        <v>69</v>
      </c>
    </row>
    <row r="1027" spans="1:14" x14ac:dyDescent="0.25">
      <c r="A1027" t="s">
        <v>3115</v>
      </c>
      <c r="B1027" s="1">
        <v>46027</v>
      </c>
      <c r="C1027" t="s">
        <v>3116</v>
      </c>
      <c r="D1027" t="s">
        <v>3117</v>
      </c>
      <c r="E1027" s="14">
        <v>923020270034</v>
      </c>
      <c r="F1027" t="s">
        <v>67</v>
      </c>
      <c r="G1027" t="s">
        <v>18</v>
      </c>
      <c r="H1027" t="s">
        <v>73</v>
      </c>
      <c r="I1027">
        <v>1</v>
      </c>
      <c r="J1027">
        <v>9560</v>
      </c>
      <c r="K1027">
        <v>9560</v>
      </c>
      <c r="L1027" t="s">
        <v>20</v>
      </c>
      <c r="M1027" t="s">
        <v>55</v>
      </c>
      <c r="N1027" t="s">
        <v>35</v>
      </c>
    </row>
    <row r="1028" spans="1:14" x14ac:dyDescent="0.25">
      <c r="A1028" t="s">
        <v>3118</v>
      </c>
      <c r="B1028" s="1">
        <v>45890</v>
      </c>
      <c r="C1028" t="s">
        <v>3119</v>
      </c>
      <c r="D1028" t="s">
        <v>3120</v>
      </c>
      <c r="E1028" s="14">
        <v>923484449009</v>
      </c>
      <c r="F1028" t="s">
        <v>122</v>
      </c>
      <c r="G1028" t="s">
        <v>18</v>
      </c>
      <c r="H1028" t="s">
        <v>19</v>
      </c>
      <c r="I1028">
        <v>2</v>
      </c>
      <c r="J1028">
        <v>8497</v>
      </c>
      <c r="K1028">
        <v>16994</v>
      </c>
      <c r="L1028" t="s">
        <v>63</v>
      </c>
      <c r="M1028" t="s">
        <v>45</v>
      </c>
      <c r="N1028" t="s">
        <v>28</v>
      </c>
    </row>
    <row r="1029" spans="1:14" x14ac:dyDescent="0.25">
      <c r="A1029" t="s">
        <v>3121</v>
      </c>
      <c r="B1029" s="1">
        <v>45919</v>
      </c>
      <c r="C1029" t="s">
        <v>3122</v>
      </c>
      <c r="D1029" t="s">
        <v>3123</v>
      </c>
      <c r="E1029" s="14">
        <v>923099125526</v>
      </c>
      <c r="F1029" t="s">
        <v>44</v>
      </c>
      <c r="G1029" t="s">
        <v>18</v>
      </c>
      <c r="H1029" t="s">
        <v>59</v>
      </c>
      <c r="I1029">
        <v>1</v>
      </c>
      <c r="J1029">
        <v>7264</v>
      </c>
      <c r="K1029">
        <v>7264</v>
      </c>
      <c r="L1029" t="s">
        <v>40</v>
      </c>
      <c r="M1029" t="s">
        <v>21</v>
      </c>
      <c r="N1029" t="s">
        <v>28</v>
      </c>
    </row>
    <row r="1030" spans="1:14" x14ac:dyDescent="0.25">
      <c r="A1030" t="s">
        <v>3124</v>
      </c>
      <c r="B1030" s="1">
        <v>45818</v>
      </c>
      <c r="C1030" t="s">
        <v>3125</v>
      </c>
      <c r="D1030" t="s">
        <v>3126</v>
      </c>
      <c r="E1030" s="14">
        <v>923384062516</v>
      </c>
      <c r="F1030" t="s">
        <v>92</v>
      </c>
      <c r="G1030" t="s">
        <v>18</v>
      </c>
      <c r="H1030" t="s">
        <v>39</v>
      </c>
      <c r="I1030">
        <v>2</v>
      </c>
      <c r="J1030">
        <v>7769</v>
      </c>
      <c r="K1030">
        <v>15538</v>
      </c>
      <c r="L1030" t="s">
        <v>78</v>
      </c>
      <c r="M1030" t="s">
        <v>135</v>
      </c>
      <c r="N1030" t="s">
        <v>22</v>
      </c>
    </row>
    <row r="1031" spans="1:14" x14ac:dyDescent="0.25">
      <c r="A1031" t="s">
        <v>3127</v>
      </c>
      <c r="B1031" s="1">
        <v>46043</v>
      </c>
      <c r="C1031" t="s">
        <v>3128</v>
      </c>
      <c r="D1031" t="s">
        <v>3129</v>
      </c>
      <c r="E1031" s="14">
        <v>923130580175</v>
      </c>
      <c r="F1031" t="s">
        <v>106</v>
      </c>
      <c r="G1031" t="s">
        <v>18</v>
      </c>
      <c r="H1031" t="s">
        <v>73</v>
      </c>
      <c r="I1031">
        <v>2</v>
      </c>
      <c r="J1031">
        <v>13205</v>
      </c>
      <c r="K1031">
        <v>26410</v>
      </c>
      <c r="L1031" t="s">
        <v>68</v>
      </c>
      <c r="M1031" t="s">
        <v>55</v>
      </c>
      <c r="N1031" t="s">
        <v>28</v>
      </c>
    </row>
    <row r="1032" spans="1:14" x14ac:dyDescent="0.25">
      <c r="A1032" t="s">
        <v>3130</v>
      </c>
      <c r="B1032" s="1">
        <v>45891</v>
      </c>
      <c r="C1032" t="s">
        <v>3131</v>
      </c>
      <c r="D1032" t="s">
        <v>3132</v>
      </c>
      <c r="E1032" s="14">
        <v>923430795507</v>
      </c>
      <c r="F1032" t="s">
        <v>17</v>
      </c>
      <c r="G1032" t="s">
        <v>18</v>
      </c>
      <c r="H1032" t="s">
        <v>59</v>
      </c>
      <c r="I1032">
        <v>4</v>
      </c>
      <c r="J1032">
        <v>6132</v>
      </c>
      <c r="K1032">
        <v>24528</v>
      </c>
      <c r="L1032" t="s">
        <v>68</v>
      </c>
      <c r="M1032" t="s">
        <v>82</v>
      </c>
      <c r="N1032" t="s">
        <v>35</v>
      </c>
    </row>
    <row r="1033" spans="1:14" x14ac:dyDescent="0.25">
      <c r="A1033" t="s">
        <v>3133</v>
      </c>
      <c r="B1033" s="1">
        <v>45733</v>
      </c>
      <c r="C1033" t="s">
        <v>3134</v>
      </c>
      <c r="D1033" t="s">
        <v>3135</v>
      </c>
      <c r="E1033" s="14">
        <v>923194932090</v>
      </c>
      <c r="F1033" t="s">
        <v>122</v>
      </c>
      <c r="G1033" t="s">
        <v>18</v>
      </c>
      <c r="H1033" t="s">
        <v>33</v>
      </c>
      <c r="I1033">
        <v>5</v>
      </c>
      <c r="J1033">
        <v>1523</v>
      </c>
      <c r="K1033">
        <v>7615</v>
      </c>
      <c r="L1033" t="s">
        <v>68</v>
      </c>
      <c r="M1033" t="s">
        <v>93</v>
      </c>
      <c r="N1033" t="s">
        <v>35</v>
      </c>
    </row>
    <row r="1034" spans="1:14" x14ac:dyDescent="0.25">
      <c r="A1034" t="s">
        <v>3136</v>
      </c>
      <c r="B1034" s="1">
        <v>45973</v>
      </c>
      <c r="C1034" t="s">
        <v>3137</v>
      </c>
      <c r="D1034" t="s">
        <v>3138</v>
      </c>
      <c r="E1034" s="14">
        <v>923127197088</v>
      </c>
      <c r="F1034" t="s">
        <v>49</v>
      </c>
      <c r="G1034" t="s">
        <v>18</v>
      </c>
      <c r="H1034" t="s">
        <v>39</v>
      </c>
      <c r="I1034">
        <v>5</v>
      </c>
      <c r="J1034">
        <v>7974</v>
      </c>
      <c r="K1034">
        <v>39870</v>
      </c>
      <c r="L1034" t="s">
        <v>78</v>
      </c>
      <c r="M1034" t="s">
        <v>55</v>
      </c>
      <c r="N1034" t="s">
        <v>22</v>
      </c>
    </row>
    <row r="1035" spans="1:14" x14ac:dyDescent="0.25">
      <c r="A1035" t="s">
        <v>3139</v>
      </c>
      <c r="B1035" s="1">
        <v>45738</v>
      </c>
      <c r="C1035" t="s">
        <v>3140</v>
      </c>
      <c r="D1035" t="s">
        <v>3141</v>
      </c>
      <c r="E1035" s="14">
        <v>923229687687</v>
      </c>
      <c r="F1035" t="s">
        <v>54</v>
      </c>
      <c r="G1035" t="s">
        <v>18</v>
      </c>
      <c r="H1035" t="s">
        <v>39</v>
      </c>
      <c r="I1035">
        <v>2</v>
      </c>
      <c r="J1035">
        <v>5186</v>
      </c>
      <c r="K1035">
        <v>10372</v>
      </c>
      <c r="L1035" t="s">
        <v>20</v>
      </c>
      <c r="M1035" t="s">
        <v>93</v>
      </c>
      <c r="N1035" t="s">
        <v>69</v>
      </c>
    </row>
    <row r="1036" spans="1:14" x14ac:dyDescent="0.25">
      <c r="A1036" t="s">
        <v>3142</v>
      </c>
      <c r="B1036" s="1">
        <v>45907</v>
      </c>
      <c r="C1036" t="s">
        <v>3143</v>
      </c>
      <c r="D1036" t="s">
        <v>3144</v>
      </c>
      <c r="E1036" s="14">
        <v>923358114882</v>
      </c>
      <c r="F1036" t="s">
        <v>44</v>
      </c>
      <c r="G1036" t="s">
        <v>18</v>
      </c>
      <c r="H1036" t="s">
        <v>73</v>
      </c>
      <c r="I1036">
        <v>2</v>
      </c>
      <c r="J1036">
        <v>5321</v>
      </c>
      <c r="K1036">
        <v>10642</v>
      </c>
      <c r="L1036" t="s">
        <v>20</v>
      </c>
      <c r="M1036" t="s">
        <v>21</v>
      </c>
      <c r="N1036" t="s">
        <v>22</v>
      </c>
    </row>
    <row r="1037" spans="1:14" x14ac:dyDescent="0.25">
      <c r="A1037" t="s">
        <v>3145</v>
      </c>
      <c r="B1037" s="1">
        <v>45745</v>
      </c>
      <c r="C1037" t="s">
        <v>3146</v>
      </c>
      <c r="D1037" t="s">
        <v>3147</v>
      </c>
      <c r="E1037" s="14">
        <v>923219641645</v>
      </c>
      <c r="F1037" t="s">
        <v>106</v>
      </c>
      <c r="G1037" t="s">
        <v>18</v>
      </c>
      <c r="H1037" t="s">
        <v>39</v>
      </c>
      <c r="I1037">
        <v>4</v>
      </c>
      <c r="J1037">
        <v>8217</v>
      </c>
      <c r="K1037">
        <v>32868</v>
      </c>
      <c r="L1037" t="s">
        <v>26</v>
      </c>
      <c r="M1037" t="s">
        <v>93</v>
      </c>
      <c r="N1037" t="s">
        <v>35</v>
      </c>
    </row>
    <row r="1038" spans="1:14" x14ac:dyDescent="0.25">
      <c r="A1038" t="s">
        <v>3148</v>
      </c>
      <c r="B1038" s="1">
        <v>45990</v>
      </c>
      <c r="C1038" t="s">
        <v>3149</v>
      </c>
      <c r="D1038" t="s">
        <v>3150</v>
      </c>
      <c r="E1038" s="14">
        <v>923463648220</v>
      </c>
      <c r="F1038" t="s">
        <v>106</v>
      </c>
      <c r="G1038" t="s">
        <v>18</v>
      </c>
      <c r="H1038" t="s">
        <v>39</v>
      </c>
      <c r="I1038">
        <v>1</v>
      </c>
      <c r="J1038">
        <v>14687</v>
      </c>
      <c r="K1038">
        <v>14687</v>
      </c>
      <c r="L1038" t="s">
        <v>26</v>
      </c>
      <c r="M1038" t="s">
        <v>45</v>
      </c>
      <c r="N1038" t="s">
        <v>69</v>
      </c>
    </row>
    <row r="1039" spans="1:14" x14ac:dyDescent="0.25">
      <c r="A1039" t="s">
        <v>3151</v>
      </c>
      <c r="B1039" s="1">
        <v>45922</v>
      </c>
      <c r="C1039" t="s">
        <v>3152</v>
      </c>
      <c r="D1039" t="s">
        <v>3153</v>
      </c>
      <c r="E1039" s="14">
        <v>923441505860</v>
      </c>
      <c r="F1039" t="s">
        <v>44</v>
      </c>
      <c r="G1039" t="s">
        <v>18</v>
      </c>
      <c r="H1039" t="s">
        <v>19</v>
      </c>
      <c r="I1039">
        <v>1</v>
      </c>
      <c r="J1039">
        <v>1954</v>
      </c>
      <c r="K1039">
        <v>1954</v>
      </c>
      <c r="L1039" t="s">
        <v>63</v>
      </c>
      <c r="M1039" t="s">
        <v>93</v>
      </c>
      <c r="N1039" t="s">
        <v>35</v>
      </c>
    </row>
    <row r="1040" spans="1:14" x14ac:dyDescent="0.25">
      <c r="A1040" t="s">
        <v>3154</v>
      </c>
      <c r="B1040" s="1">
        <v>45734</v>
      </c>
      <c r="C1040" t="s">
        <v>3155</v>
      </c>
      <c r="D1040" t="s">
        <v>3156</v>
      </c>
      <c r="E1040" s="14">
        <v>923359542499</v>
      </c>
      <c r="F1040" t="s">
        <v>122</v>
      </c>
      <c r="G1040" t="s">
        <v>18</v>
      </c>
      <c r="H1040" t="s">
        <v>50</v>
      </c>
      <c r="I1040">
        <v>2</v>
      </c>
      <c r="J1040">
        <v>2793</v>
      </c>
      <c r="K1040">
        <v>5586</v>
      </c>
      <c r="L1040" t="s">
        <v>78</v>
      </c>
      <c r="M1040" t="s">
        <v>34</v>
      </c>
      <c r="N1040" t="s">
        <v>69</v>
      </c>
    </row>
    <row r="1041" spans="1:14" x14ac:dyDescent="0.25">
      <c r="A1041" t="s">
        <v>3157</v>
      </c>
      <c r="B1041" s="1">
        <v>45710</v>
      </c>
      <c r="C1041" t="s">
        <v>3158</v>
      </c>
      <c r="D1041" t="s">
        <v>3159</v>
      </c>
      <c r="E1041" s="14">
        <v>923290378615</v>
      </c>
      <c r="F1041" t="s">
        <v>32</v>
      </c>
      <c r="G1041" t="s">
        <v>18</v>
      </c>
      <c r="H1041" t="s">
        <v>59</v>
      </c>
      <c r="I1041">
        <v>4</v>
      </c>
      <c r="J1041">
        <v>1094</v>
      </c>
      <c r="K1041">
        <v>4376</v>
      </c>
      <c r="L1041" t="s">
        <v>68</v>
      </c>
      <c r="M1041" t="s">
        <v>82</v>
      </c>
      <c r="N1041" t="s">
        <v>28</v>
      </c>
    </row>
    <row r="1042" spans="1:14" x14ac:dyDescent="0.25">
      <c r="A1042" t="s">
        <v>3160</v>
      </c>
      <c r="B1042" s="1">
        <v>46021</v>
      </c>
      <c r="C1042" t="s">
        <v>3161</v>
      </c>
      <c r="D1042" t="s">
        <v>3162</v>
      </c>
      <c r="E1042" s="14">
        <v>923477788101</v>
      </c>
      <c r="F1042" t="s">
        <v>77</v>
      </c>
      <c r="G1042" t="s">
        <v>18</v>
      </c>
      <c r="H1042" t="s">
        <v>73</v>
      </c>
      <c r="I1042">
        <v>5</v>
      </c>
      <c r="J1042">
        <v>1543</v>
      </c>
      <c r="K1042">
        <v>7715</v>
      </c>
      <c r="L1042" t="s">
        <v>68</v>
      </c>
      <c r="M1042" t="s">
        <v>21</v>
      </c>
      <c r="N1042" t="s">
        <v>69</v>
      </c>
    </row>
    <row r="1043" spans="1:14" x14ac:dyDescent="0.25">
      <c r="A1043" t="s">
        <v>3163</v>
      </c>
      <c r="B1043" s="1">
        <v>45986</v>
      </c>
      <c r="C1043" t="s">
        <v>3164</v>
      </c>
      <c r="D1043" t="s">
        <v>3165</v>
      </c>
      <c r="E1043" s="14">
        <v>923320672038</v>
      </c>
      <c r="F1043" t="s">
        <v>17</v>
      </c>
      <c r="G1043" t="s">
        <v>18</v>
      </c>
      <c r="H1043" t="s">
        <v>59</v>
      </c>
      <c r="I1043">
        <v>1</v>
      </c>
      <c r="J1043">
        <v>2415</v>
      </c>
      <c r="K1043">
        <v>2415</v>
      </c>
      <c r="L1043" t="s">
        <v>78</v>
      </c>
      <c r="M1043" t="s">
        <v>34</v>
      </c>
      <c r="N1043" t="s">
        <v>22</v>
      </c>
    </row>
    <row r="1044" spans="1:14" x14ac:dyDescent="0.25">
      <c r="A1044" t="s">
        <v>3166</v>
      </c>
      <c r="B1044" s="1">
        <v>45787</v>
      </c>
      <c r="C1044" t="s">
        <v>3167</v>
      </c>
      <c r="D1044" t="s">
        <v>3168</v>
      </c>
      <c r="E1044" s="14">
        <v>923377806455</v>
      </c>
      <c r="F1044" t="s">
        <v>67</v>
      </c>
      <c r="G1044" t="s">
        <v>18</v>
      </c>
      <c r="H1044" t="s">
        <v>33</v>
      </c>
      <c r="I1044">
        <v>1</v>
      </c>
      <c r="J1044">
        <v>2850</v>
      </c>
      <c r="K1044">
        <v>2850</v>
      </c>
      <c r="L1044" t="s">
        <v>26</v>
      </c>
      <c r="M1044" t="s">
        <v>82</v>
      </c>
      <c r="N1044" t="s">
        <v>35</v>
      </c>
    </row>
    <row r="1045" spans="1:14" x14ac:dyDescent="0.25">
      <c r="A1045" t="s">
        <v>3169</v>
      </c>
      <c r="B1045" s="1">
        <v>45987</v>
      </c>
      <c r="C1045" t="s">
        <v>3170</v>
      </c>
      <c r="D1045" t="s">
        <v>3171</v>
      </c>
      <c r="E1045" s="14">
        <v>923131463334</v>
      </c>
      <c r="F1045" t="s">
        <v>106</v>
      </c>
      <c r="G1045" t="s">
        <v>18</v>
      </c>
      <c r="H1045" t="s">
        <v>50</v>
      </c>
      <c r="I1045">
        <v>2</v>
      </c>
      <c r="J1045">
        <v>11215</v>
      </c>
      <c r="K1045">
        <v>22430</v>
      </c>
      <c r="L1045" t="s">
        <v>40</v>
      </c>
      <c r="M1045" t="s">
        <v>34</v>
      </c>
      <c r="N1045" t="s">
        <v>22</v>
      </c>
    </row>
    <row r="1046" spans="1:14" x14ac:dyDescent="0.25">
      <c r="A1046" t="s">
        <v>3172</v>
      </c>
      <c r="B1046" s="1">
        <v>45723</v>
      </c>
      <c r="C1046" t="s">
        <v>3173</v>
      </c>
      <c r="D1046" t="s">
        <v>3174</v>
      </c>
      <c r="E1046" s="14">
        <v>923252799049</v>
      </c>
      <c r="F1046" t="s">
        <v>32</v>
      </c>
      <c r="G1046" t="s">
        <v>18</v>
      </c>
      <c r="H1046" t="s">
        <v>33</v>
      </c>
      <c r="I1046">
        <v>2</v>
      </c>
      <c r="J1046">
        <v>13368</v>
      </c>
      <c r="K1046">
        <v>26736</v>
      </c>
      <c r="L1046" t="s">
        <v>26</v>
      </c>
      <c r="M1046" t="s">
        <v>34</v>
      </c>
      <c r="N1046" t="s">
        <v>69</v>
      </c>
    </row>
    <row r="1047" spans="1:14" x14ac:dyDescent="0.25">
      <c r="A1047" t="s">
        <v>3175</v>
      </c>
      <c r="B1047" s="1">
        <v>45880</v>
      </c>
      <c r="C1047" t="s">
        <v>3176</v>
      </c>
      <c r="D1047" t="s">
        <v>3177</v>
      </c>
      <c r="E1047" s="14">
        <v>923135550666</v>
      </c>
      <c r="F1047" t="s">
        <v>122</v>
      </c>
      <c r="G1047" t="s">
        <v>18</v>
      </c>
      <c r="H1047" t="s">
        <v>50</v>
      </c>
      <c r="I1047">
        <v>2</v>
      </c>
      <c r="J1047">
        <v>1689</v>
      </c>
      <c r="K1047">
        <v>3378</v>
      </c>
      <c r="L1047" t="s">
        <v>40</v>
      </c>
      <c r="M1047" t="s">
        <v>45</v>
      </c>
      <c r="N1047" t="s">
        <v>69</v>
      </c>
    </row>
    <row r="1048" spans="1:14" x14ac:dyDescent="0.25">
      <c r="A1048" t="s">
        <v>3178</v>
      </c>
      <c r="B1048" s="1">
        <v>45995</v>
      </c>
      <c r="C1048" t="s">
        <v>3179</v>
      </c>
      <c r="D1048" t="s">
        <v>3180</v>
      </c>
      <c r="E1048" s="14">
        <v>923254034796</v>
      </c>
      <c r="F1048" t="s">
        <v>92</v>
      </c>
      <c r="G1048" t="s">
        <v>18</v>
      </c>
      <c r="H1048" t="s">
        <v>50</v>
      </c>
      <c r="I1048">
        <v>3</v>
      </c>
      <c r="J1048">
        <v>8168</v>
      </c>
      <c r="K1048">
        <v>24504</v>
      </c>
      <c r="L1048" t="s">
        <v>40</v>
      </c>
      <c r="M1048" t="s">
        <v>45</v>
      </c>
      <c r="N1048" t="s">
        <v>69</v>
      </c>
    </row>
    <row r="1049" spans="1:14" x14ac:dyDescent="0.25">
      <c r="A1049" t="s">
        <v>3181</v>
      </c>
      <c r="B1049" s="1">
        <v>46041</v>
      </c>
      <c r="C1049" t="s">
        <v>3182</v>
      </c>
      <c r="D1049" t="s">
        <v>3183</v>
      </c>
      <c r="E1049" s="14">
        <v>923498213883</v>
      </c>
      <c r="F1049" t="s">
        <v>49</v>
      </c>
      <c r="G1049" t="s">
        <v>18</v>
      </c>
      <c r="H1049" t="s">
        <v>39</v>
      </c>
      <c r="I1049">
        <v>3</v>
      </c>
      <c r="J1049">
        <v>2469</v>
      </c>
      <c r="K1049">
        <v>7407</v>
      </c>
      <c r="L1049" t="s">
        <v>26</v>
      </c>
      <c r="M1049" t="s">
        <v>34</v>
      </c>
      <c r="N1049" t="s">
        <v>35</v>
      </c>
    </row>
    <row r="1050" spans="1:14" x14ac:dyDescent="0.25">
      <c r="A1050" t="s">
        <v>3184</v>
      </c>
      <c r="B1050" s="1">
        <v>45851</v>
      </c>
      <c r="C1050" t="s">
        <v>3185</v>
      </c>
      <c r="D1050" t="s">
        <v>3186</v>
      </c>
      <c r="E1050" s="14">
        <v>923115465454</v>
      </c>
      <c r="F1050" t="s">
        <v>54</v>
      </c>
      <c r="G1050" t="s">
        <v>18</v>
      </c>
      <c r="H1050" t="s">
        <v>39</v>
      </c>
      <c r="I1050">
        <v>4</v>
      </c>
      <c r="J1050">
        <v>5968</v>
      </c>
      <c r="K1050">
        <v>23872</v>
      </c>
      <c r="L1050" t="s">
        <v>63</v>
      </c>
      <c r="M1050" t="s">
        <v>45</v>
      </c>
      <c r="N1050" t="s">
        <v>28</v>
      </c>
    </row>
    <row r="1051" spans="1:14" x14ac:dyDescent="0.25">
      <c r="A1051" t="s">
        <v>3187</v>
      </c>
      <c r="B1051" s="1">
        <v>45771</v>
      </c>
      <c r="C1051" t="s">
        <v>3188</v>
      </c>
      <c r="D1051" t="s">
        <v>3189</v>
      </c>
      <c r="E1051" s="14">
        <v>923254672073</v>
      </c>
      <c r="F1051" t="s">
        <v>67</v>
      </c>
      <c r="G1051" t="s">
        <v>18</v>
      </c>
      <c r="H1051" t="s">
        <v>19</v>
      </c>
      <c r="I1051">
        <v>5</v>
      </c>
      <c r="J1051">
        <v>1272</v>
      </c>
      <c r="K1051">
        <v>6360</v>
      </c>
      <c r="L1051" t="s">
        <v>78</v>
      </c>
      <c r="M1051" t="s">
        <v>21</v>
      </c>
      <c r="N1051" t="s">
        <v>22</v>
      </c>
    </row>
    <row r="1052" spans="1:14" x14ac:dyDescent="0.25">
      <c r="A1052" t="s">
        <v>3190</v>
      </c>
      <c r="B1052" s="1">
        <v>45705</v>
      </c>
      <c r="C1052" t="s">
        <v>482</v>
      </c>
      <c r="D1052" t="s">
        <v>3191</v>
      </c>
      <c r="E1052" s="14">
        <v>923283374537</v>
      </c>
      <c r="F1052" t="s">
        <v>77</v>
      </c>
      <c r="G1052" t="s">
        <v>18</v>
      </c>
      <c r="H1052" t="s">
        <v>33</v>
      </c>
      <c r="I1052">
        <v>4</v>
      </c>
      <c r="J1052">
        <v>9411</v>
      </c>
      <c r="K1052">
        <v>37644</v>
      </c>
      <c r="L1052" t="s">
        <v>78</v>
      </c>
      <c r="M1052" t="s">
        <v>135</v>
      </c>
      <c r="N1052" t="s">
        <v>28</v>
      </c>
    </row>
    <row r="1053" spans="1:14" x14ac:dyDescent="0.25">
      <c r="A1053" t="s">
        <v>3192</v>
      </c>
      <c r="B1053" s="1">
        <v>45752</v>
      </c>
      <c r="C1053" t="s">
        <v>3193</v>
      </c>
      <c r="D1053" t="s">
        <v>3194</v>
      </c>
      <c r="E1053" s="14">
        <v>923489618051</v>
      </c>
      <c r="F1053" t="s">
        <v>92</v>
      </c>
      <c r="G1053" t="s">
        <v>18</v>
      </c>
      <c r="H1053" t="s">
        <v>19</v>
      </c>
      <c r="I1053">
        <v>3</v>
      </c>
      <c r="J1053">
        <v>9819</v>
      </c>
      <c r="K1053">
        <v>29457</v>
      </c>
      <c r="L1053" t="s">
        <v>40</v>
      </c>
      <c r="M1053" t="s">
        <v>93</v>
      </c>
      <c r="N1053" t="s">
        <v>22</v>
      </c>
    </row>
    <row r="1054" spans="1:14" x14ac:dyDescent="0.25">
      <c r="A1054" t="s">
        <v>3195</v>
      </c>
      <c r="B1054" s="1">
        <v>45798</v>
      </c>
      <c r="C1054" t="s">
        <v>3196</v>
      </c>
      <c r="D1054" t="s">
        <v>3197</v>
      </c>
      <c r="E1054" s="14">
        <v>923173010622</v>
      </c>
      <c r="F1054" t="s">
        <v>106</v>
      </c>
      <c r="G1054" t="s">
        <v>18</v>
      </c>
      <c r="H1054" t="s">
        <v>50</v>
      </c>
      <c r="I1054">
        <v>1</v>
      </c>
      <c r="J1054">
        <v>7607</v>
      </c>
      <c r="K1054">
        <v>7607</v>
      </c>
      <c r="L1054" t="s">
        <v>40</v>
      </c>
      <c r="M1054" t="s">
        <v>45</v>
      </c>
      <c r="N1054" t="s">
        <v>35</v>
      </c>
    </row>
    <row r="1055" spans="1:14" x14ac:dyDescent="0.25">
      <c r="A1055" t="s">
        <v>3198</v>
      </c>
      <c r="B1055" s="1">
        <v>45796</v>
      </c>
      <c r="C1055" t="s">
        <v>3199</v>
      </c>
      <c r="D1055" t="s">
        <v>3200</v>
      </c>
      <c r="E1055" s="14">
        <v>923211484180</v>
      </c>
      <c r="F1055" t="s">
        <v>32</v>
      </c>
      <c r="G1055" t="s">
        <v>18</v>
      </c>
      <c r="H1055" t="s">
        <v>39</v>
      </c>
      <c r="I1055">
        <v>4</v>
      </c>
      <c r="J1055">
        <v>2496</v>
      </c>
      <c r="K1055">
        <v>9984</v>
      </c>
      <c r="L1055" t="s">
        <v>40</v>
      </c>
      <c r="M1055" t="s">
        <v>45</v>
      </c>
      <c r="N1055" t="s">
        <v>35</v>
      </c>
    </row>
    <row r="1056" spans="1:14" x14ac:dyDescent="0.25">
      <c r="A1056" t="s">
        <v>3201</v>
      </c>
      <c r="B1056" s="1">
        <v>45749</v>
      </c>
      <c r="C1056" t="s">
        <v>3202</v>
      </c>
      <c r="D1056" t="s">
        <v>3203</v>
      </c>
      <c r="E1056" s="14">
        <v>923120065412</v>
      </c>
      <c r="F1056" t="s">
        <v>44</v>
      </c>
      <c r="G1056" t="s">
        <v>18</v>
      </c>
      <c r="H1056" t="s">
        <v>73</v>
      </c>
      <c r="I1056">
        <v>3</v>
      </c>
      <c r="J1056">
        <v>8497</v>
      </c>
      <c r="K1056">
        <v>25491</v>
      </c>
      <c r="L1056" t="s">
        <v>63</v>
      </c>
      <c r="M1056" t="s">
        <v>93</v>
      </c>
      <c r="N1056" t="s">
        <v>22</v>
      </c>
    </row>
    <row r="1057" spans="1:14" x14ac:dyDescent="0.25">
      <c r="A1057" t="s">
        <v>3204</v>
      </c>
      <c r="B1057" s="1">
        <v>45928</v>
      </c>
      <c r="C1057" t="s">
        <v>3205</v>
      </c>
      <c r="D1057" t="s">
        <v>3206</v>
      </c>
      <c r="E1057" s="14">
        <v>923275321726</v>
      </c>
      <c r="F1057" t="s">
        <v>92</v>
      </c>
      <c r="G1057" t="s">
        <v>18</v>
      </c>
      <c r="H1057" t="s">
        <v>50</v>
      </c>
      <c r="I1057">
        <v>3</v>
      </c>
      <c r="J1057">
        <v>3877</v>
      </c>
      <c r="K1057">
        <v>11631</v>
      </c>
      <c r="L1057" t="s">
        <v>40</v>
      </c>
      <c r="M1057" t="s">
        <v>45</v>
      </c>
      <c r="N1057" t="s">
        <v>35</v>
      </c>
    </row>
    <row r="1058" spans="1:14" x14ac:dyDescent="0.25">
      <c r="A1058" t="s">
        <v>3207</v>
      </c>
      <c r="B1058" s="1">
        <v>45917</v>
      </c>
      <c r="C1058" t="s">
        <v>3208</v>
      </c>
      <c r="D1058" t="s">
        <v>3209</v>
      </c>
      <c r="E1058" s="14">
        <v>923093443452</v>
      </c>
      <c r="F1058" t="s">
        <v>92</v>
      </c>
      <c r="G1058" t="s">
        <v>18</v>
      </c>
      <c r="H1058" t="s">
        <v>39</v>
      </c>
      <c r="I1058">
        <v>2</v>
      </c>
      <c r="J1058">
        <v>10959</v>
      </c>
      <c r="K1058">
        <v>21918</v>
      </c>
      <c r="L1058" t="s">
        <v>78</v>
      </c>
      <c r="M1058" t="s">
        <v>27</v>
      </c>
      <c r="N1058" t="s">
        <v>28</v>
      </c>
    </row>
    <row r="1059" spans="1:14" x14ac:dyDescent="0.25">
      <c r="A1059" t="s">
        <v>3210</v>
      </c>
      <c r="B1059" s="1">
        <v>45868</v>
      </c>
      <c r="C1059" t="s">
        <v>3211</v>
      </c>
      <c r="D1059" t="s">
        <v>3212</v>
      </c>
      <c r="E1059" s="14">
        <v>923259083485</v>
      </c>
      <c r="F1059" t="s">
        <v>92</v>
      </c>
      <c r="G1059" t="s">
        <v>18</v>
      </c>
      <c r="H1059" t="s">
        <v>73</v>
      </c>
      <c r="I1059">
        <v>3</v>
      </c>
      <c r="J1059">
        <v>2923</v>
      </c>
      <c r="K1059">
        <v>8769</v>
      </c>
      <c r="L1059" t="s">
        <v>68</v>
      </c>
      <c r="M1059" t="s">
        <v>135</v>
      </c>
      <c r="N1059" t="s">
        <v>35</v>
      </c>
    </row>
    <row r="1060" spans="1:14" x14ac:dyDescent="0.25">
      <c r="A1060" t="s">
        <v>3213</v>
      </c>
      <c r="B1060" s="1">
        <v>45951</v>
      </c>
      <c r="C1060" t="s">
        <v>3214</v>
      </c>
      <c r="D1060" t="s">
        <v>3215</v>
      </c>
      <c r="E1060" s="14">
        <v>923122460491</v>
      </c>
      <c r="F1060" t="s">
        <v>122</v>
      </c>
      <c r="G1060" t="s">
        <v>18</v>
      </c>
      <c r="H1060" t="s">
        <v>39</v>
      </c>
      <c r="I1060">
        <v>4</v>
      </c>
      <c r="J1060">
        <v>4954</v>
      </c>
      <c r="K1060">
        <v>19816</v>
      </c>
      <c r="L1060" t="s">
        <v>68</v>
      </c>
      <c r="M1060" t="s">
        <v>93</v>
      </c>
      <c r="N1060" t="s">
        <v>69</v>
      </c>
    </row>
    <row r="1061" spans="1:14" x14ac:dyDescent="0.25">
      <c r="A1061" t="s">
        <v>3216</v>
      </c>
      <c r="B1061" s="1">
        <v>45769</v>
      </c>
      <c r="C1061" t="s">
        <v>3217</v>
      </c>
      <c r="D1061" t="s">
        <v>3218</v>
      </c>
      <c r="E1061" s="14">
        <v>923340050279</v>
      </c>
      <c r="F1061" t="s">
        <v>32</v>
      </c>
      <c r="G1061" t="s">
        <v>18</v>
      </c>
      <c r="H1061" t="s">
        <v>59</v>
      </c>
      <c r="I1061">
        <v>2</v>
      </c>
      <c r="J1061">
        <v>2467</v>
      </c>
      <c r="K1061">
        <v>4934</v>
      </c>
      <c r="L1061" t="s">
        <v>20</v>
      </c>
      <c r="M1061" t="s">
        <v>45</v>
      </c>
      <c r="N1061" t="s">
        <v>22</v>
      </c>
    </row>
    <row r="1062" spans="1:14" x14ac:dyDescent="0.25">
      <c r="A1062" t="s">
        <v>3219</v>
      </c>
      <c r="B1062" s="1">
        <v>45785</v>
      </c>
      <c r="C1062" t="s">
        <v>3220</v>
      </c>
      <c r="D1062" t="s">
        <v>3221</v>
      </c>
      <c r="E1062" s="14">
        <v>923450354455</v>
      </c>
      <c r="F1062" t="s">
        <v>49</v>
      </c>
      <c r="G1062" t="s">
        <v>18</v>
      </c>
      <c r="H1062" t="s">
        <v>50</v>
      </c>
      <c r="I1062">
        <v>1</v>
      </c>
      <c r="J1062">
        <v>12031</v>
      </c>
      <c r="K1062">
        <v>12031</v>
      </c>
      <c r="L1062" t="s">
        <v>68</v>
      </c>
      <c r="M1062" t="s">
        <v>93</v>
      </c>
      <c r="N1062" t="s">
        <v>28</v>
      </c>
    </row>
    <row r="1063" spans="1:14" x14ac:dyDescent="0.25">
      <c r="A1063" t="s">
        <v>3222</v>
      </c>
      <c r="B1063" s="1">
        <v>45984</v>
      </c>
      <c r="C1063" t="s">
        <v>3223</v>
      </c>
      <c r="D1063" t="s">
        <v>3224</v>
      </c>
      <c r="E1063" s="14">
        <v>923162926981</v>
      </c>
      <c r="F1063" t="s">
        <v>67</v>
      </c>
      <c r="G1063" t="s">
        <v>18</v>
      </c>
      <c r="H1063" t="s">
        <v>50</v>
      </c>
      <c r="I1063">
        <v>2</v>
      </c>
      <c r="J1063">
        <v>13836</v>
      </c>
      <c r="K1063">
        <v>27672</v>
      </c>
      <c r="L1063" t="s">
        <v>63</v>
      </c>
      <c r="M1063" t="s">
        <v>135</v>
      </c>
      <c r="N1063" t="s">
        <v>69</v>
      </c>
    </row>
    <row r="1064" spans="1:14" x14ac:dyDescent="0.25">
      <c r="A1064" t="s">
        <v>3225</v>
      </c>
      <c r="B1064" s="1">
        <v>46042</v>
      </c>
      <c r="C1064" t="s">
        <v>3226</v>
      </c>
      <c r="D1064" t="s">
        <v>3227</v>
      </c>
      <c r="E1064" s="14">
        <v>923219913072</v>
      </c>
      <c r="F1064" t="s">
        <v>44</v>
      </c>
      <c r="G1064" t="s">
        <v>18</v>
      </c>
      <c r="H1064" t="s">
        <v>59</v>
      </c>
      <c r="I1064">
        <v>4</v>
      </c>
      <c r="J1064">
        <v>7031</v>
      </c>
      <c r="K1064">
        <v>28124</v>
      </c>
      <c r="L1064" t="s">
        <v>40</v>
      </c>
      <c r="M1064" t="s">
        <v>55</v>
      </c>
      <c r="N1064" t="s">
        <v>35</v>
      </c>
    </row>
    <row r="1065" spans="1:14" x14ac:dyDescent="0.25">
      <c r="A1065" t="s">
        <v>3228</v>
      </c>
      <c r="B1065" s="1">
        <v>45803</v>
      </c>
      <c r="C1065" t="s">
        <v>3229</v>
      </c>
      <c r="D1065" t="s">
        <v>3230</v>
      </c>
      <c r="E1065" s="14">
        <v>923012726742</v>
      </c>
      <c r="F1065" t="s">
        <v>49</v>
      </c>
      <c r="G1065" t="s">
        <v>18</v>
      </c>
      <c r="H1065" t="s">
        <v>33</v>
      </c>
      <c r="I1065">
        <v>4</v>
      </c>
      <c r="J1065">
        <v>14573</v>
      </c>
      <c r="K1065">
        <v>58292</v>
      </c>
      <c r="L1065" t="s">
        <v>40</v>
      </c>
      <c r="M1065" t="s">
        <v>34</v>
      </c>
      <c r="N1065" t="s">
        <v>69</v>
      </c>
    </row>
    <row r="1066" spans="1:14" x14ac:dyDescent="0.25">
      <c r="A1066" t="s">
        <v>3231</v>
      </c>
      <c r="B1066" s="1">
        <v>45980</v>
      </c>
      <c r="C1066" t="s">
        <v>3232</v>
      </c>
      <c r="D1066" t="s">
        <v>3233</v>
      </c>
      <c r="E1066" s="14">
        <v>923216018784</v>
      </c>
      <c r="F1066" t="s">
        <v>77</v>
      </c>
      <c r="G1066" t="s">
        <v>18</v>
      </c>
      <c r="H1066" t="s">
        <v>19</v>
      </c>
      <c r="I1066">
        <v>4</v>
      </c>
      <c r="J1066">
        <v>12576</v>
      </c>
      <c r="K1066">
        <v>50304</v>
      </c>
      <c r="L1066" t="s">
        <v>68</v>
      </c>
      <c r="M1066" t="s">
        <v>21</v>
      </c>
      <c r="N1066" t="s">
        <v>69</v>
      </c>
    </row>
    <row r="1067" spans="1:14" x14ac:dyDescent="0.25">
      <c r="A1067" t="s">
        <v>3234</v>
      </c>
      <c r="B1067" s="1">
        <v>45741</v>
      </c>
      <c r="C1067" t="s">
        <v>3235</v>
      </c>
      <c r="D1067" t="s">
        <v>3236</v>
      </c>
      <c r="E1067" s="14">
        <v>923486494962</v>
      </c>
      <c r="F1067" t="s">
        <v>49</v>
      </c>
      <c r="G1067" t="s">
        <v>18</v>
      </c>
      <c r="H1067" t="s">
        <v>73</v>
      </c>
      <c r="I1067">
        <v>5</v>
      </c>
      <c r="J1067">
        <v>9861</v>
      </c>
      <c r="K1067">
        <v>49305</v>
      </c>
      <c r="L1067" t="s">
        <v>20</v>
      </c>
      <c r="M1067" t="s">
        <v>82</v>
      </c>
      <c r="N1067" t="s">
        <v>22</v>
      </c>
    </row>
    <row r="1068" spans="1:14" x14ac:dyDescent="0.25">
      <c r="A1068" t="s">
        <v>3237</v>
      </c>
      <c r="B1068" s="1">
        <v>45969</v>
      </c>
      <c r="C1068" t="s">
        <v>3238</v>
      </c>
      <c r="D1068" t="s">
        <v>3239</v>
      </c>
      <c r="E1068" s="14">
        <v>923380457574</v>
      </c>
      <c r="F1068" t="s">
        <v>32</v>
      </c>
      <c r="G1068" t="s">
        <v>18</v>
      </c>
      <c r="H1068" t="s">
        <v>33</v>
      </c>
      <c r="I1068">
        <v>1</v>
      </c>
      <c r="J1068">
        <v>6955</v>
      </c>
      <c r="K1068">
        <v>6955</v>
      </c>
      <c r="L1068" t="s">
        <v>63</v>
      </c>
      <c r="M1068" t="s">
        <v>21</v>
      </c>
      <c r="N1068" t="s">
        <v>22</v>
      </c>
    </row>
    <row r="1069" spans="1:14" x14ac:dyDescent="0.25">
      <c r="A1069" t="s">
        <v>3240</v>
      </c>
      <c r="B1069" s="1">
        <v>45958</v>
      </c>
      <c r="C1069" t="s">
        <v>3241</v>
      </c>
      <c r="D1069" t="s">
        <v>3242</v>
      </c>
      <c r="E1069" s="14">
        <v>923060004091</v>
      </c>
      <c r="F1069" t="s">
        <v>49</v>
      </c>
      <c r="G1069" t="s">
        <v>18</v>
      </c>
      <c r="H1069" t="s">
        <v>50</v>
      </c>
      <c r="I1069">
        <v>2</v>
      </c>
      <c r="J1069">
        <v>2813</v>
      </c>
      <c r="K1069">
        <v>5626</v>
      </c>
      <c r="L1069" t="s">
        <v>26</v>
      </c>
      <c r="M1069" t="s">
        <v>82</v>
      </c>
      <c r="N1069" t="s">
        <v>28</v>
      </c>
    </row>
    <row r="1070" spans="1:14" x14ac:dyDescent="0.25">
      <c r="A1070" t="s">
        <v>3243</v>
      </c>
      <c r="B1070" s="1">
        <v>45953</v>
      </c>
      <c r="C1070" t="s">
        <v>3244</v>
      </c>
      <c r="D1070" t="s">
        <v>3245</v>
      </c>
      <c r="E1070" s="14">
        <v>923262719954</v>
      </c>
      <c r="F1070" t="s">
        <v>122</v>
      </c>
      <c r="G1070" t="s">
        <v>18</v>
      </c>
      <c r="H1070" t="s">
        <v>73</v>
      </c>
      <c r="I1070">
        <v>1</v>
      </c>
      <c r="J1070">
        <v>3285</v>
      </c>
      <c r="K1070">
        <v>3285</v>
      </c>
      <c r="L1070" t="s">
        <v>26</v>
      </c>
      <c r="M1070" t="s">
        <v>45</v>
      </c>
      <c r="N1070" t="s">
        <v>28</v>
      </c>
    </row>
    <row r="1071" spans="1:14" x14ac:dyDescent="0.25">
      <c r="A1071" t="s">
        <v>3246</v>
      </c>
      <c r="B1071" s="1">
        <v>45725</v>
      </c>
      <c r="C1071" t="s">
        <v>3247</v>
      </c>
      <c r="D1071" t="s">
        <v>3248</v>
      </c>
      <c r="E1071" s="14">
        <v>923278108289</v>
      </c>
      <c r="F1071" t="s">
        <v>77</v>
      </c>
      <c r="G1071" t="s">
        <v>18</v>
      </c>
      <c r="H1071" t="s">
        <v>59</v>
      </c>
      <c r="I1071">
        <v>5</v>
      </c>
      <c r="J1071">
        <v>8103</v>
      </c>
      <c r="K1071">
        <v>40515</v>
      </c>
      <c r="L1071" t="s">
        <v>40</v>
      </c>
      <c r="M1071" t="s">
        <v>55</v>
      </c>
      <c r="N1071" t="s">
        <v>35</v>
      </c>
    </row>
    <row r="1072" spans="1:14" x14ac:dyDescent="0.25">
      <c r="A1072" t="s">
        <v>3249</v>
      </c>
      <c r="B1072" s="1">
        <v>45894</v>
      </c>
      <c r="C1072" t="s">
        <v>3250</v>
      </c>
      <c r="D1072" t="s">
        <v>3251</v>
      </c>
      <c r="E1072" s="14">
        <v>923348057971</v>
      </c>
      <c r="F1072" t="s">
        <v>44</v>
      </c>
      <c r="G1072" t="s">
        <v>18</v>
      </c>
      <c r="H1072" t="s">
        <v>50</v>
      </c>
      <c r="I1072">
        <v>4</v>
      </c>
      <c r="J1072">
        <v>5417</v>
      </c>
      <c r="K1072">
        <v>21668</v>
      </c>
      <c r="L1072" t="s">
        <v>26</v>
      </c>
      <c r="M1072" t="s">
        <v>93</v>
      </c>
      <c r="N1072" t="s">
        <v>35</v>
      </c>
    </row>
    <row r="1073" spans="1:14" x14ac:dyDescent="0.25">
      <c r="A1073" t="s">
        <v>3252</v>
      </c>
      <c r="B1073" s="1">
        <v>46003</v>
      </c>
      <c r="C1073" t="s">
        <v>3253</v>
      </c>
      <c r="D1073" t="s">
        <v>3254</v>
      </c>
      <c r="E1073" s="14">
        <v>923453356512</v>
      </c>
      <c r="F1073" t="s">
        <v>122</v>
      </c>
      <c r="G1073" t="s">
        <v>18</v>
      </c>
      <c r="H1073" t="s">
        <v>50</v>
      </c>
      <c r="I1073">
        <v>5</v>
      </c>
      <c r="J1073">
        <v>9556</v>
      </c>
      <c r="K1073">
        <v>47780</v>
      </c>
      <c r="L1073" t="s">
        <v>63</v>
      </c>
      <c r="M1073" t="s">
        <v>34</v>
      </c>
      <c r="N1073" t="s">
        <v>28</v>
      </c>
    </row>
    <row r="1074" spans="1:14" x14ac:dyDescent="0.25">
      <c r="A1074" t="s">
        <v>3255</v>
      </c>
      <c r="B1074" s="1">
        <v>45956</v>
      </c>
      <c r="C1074" t="s">
        <v>3256</v>
      </c>
      <c r="D1074" t="s">
        <v>3257</v>
      </c>
      <c r="E1074" s="14">
        <v>923023132082</v>
      </c>
      <c r="F1074" t="s">
        <v>67</v>
      </c>
      <c r="G1074" t="s">
        <v>18</v>
      </c>
      <c r="H1074" t="s">
        <v>39</v>
      </c>
      <c r="I1074">
        <v>1</v>
      </c>
      <c r="J1074">
        <v>7102</v>
      </c>
      <c r="K1074">
        <v>7102</v>
      </c>
      <c r="L1074" t="s">
        <v>63</v>
      </c>
      <c r="M1074" t="s">
        <v>27</v>
      </c>
      <c r="N1074" t="s">
        <v>28</v>
      </c>
    </row>
    <row r="1075" spans="1:14" x14ac:dyDescent="0.25">
      <c r="A1075" t="s">
        <v>3258</v>
      </c>
      <c r="B1075" s="1">
        <v>45955</v>
      </c>
      <c r="C1075" t="s">
        <v>3259</v>
      </c>
      <c r="D1075" t="s">
        <v>3260</v>
      </c>
      <c r="E1075" s="14">
        <v>923020559223</v>
      </c>
      <c r="F1075" t="s">
        <v>32</v>
      </c>
      <c r="G1075" t="s">
        <v>18</v>
      </c>
      <c r="H1075" t="s">
        <v>50</v>
      </c>
      <c r="I1075">
        <v>4</v>
      </c>
      <c r="J1075">
        <v>10386</v>
      </c>
      <c r="K1075">
        <v>41544</v>
      </c>
      <c r="L1075" t="s">
        <v>78</v>
      </c>
      <c r="M1075" t="s">
        <v>27</v>
      </c>
      <c r="N1075" t="s">
        <v>69</v>
      </c>
    </row>
    <row r="1076" spans="1:14" x14ac:dyDescent="0.25">
      <c r="A1076" t="s">
        <v>3261</v>
      </c>
      <c r="B1076" s="1">
        <v>45827</v>
      </c>
      <c r="C1076" t="s">
        <v>3262</v>
      </c>
      <c r="D1076" t="s">
        <v>3263</v>
      </c>
      <c r="E1076" s="14">
        <v>923345604334</v>
      </c>
      <c r="F1076" t="s">
        <v>49</v>
      </c>
      <c r="G1076" t="s">
        <v>18</v>
      </c>
      <c r="H1076" t="s">
        <v>73</v>
      </c>
      <c r="I1076">
        <v>2</v>
      </c>
      <c r="J1076">
        <v>1125</v>
      </c>
      <c r="K1076">
        <v>2250</v>
      </c>
      <c r="L1076" t="s">
        <v>68</v>
      </c>
      <c r="M1076" t="s">
        <v>34</v>
      </c>
      <c r="N1076" t="s">
        <v>69</v>
      </c>
    </row>
    <row r="1077" spans="1:14" x14ac:dyDescent="0.25">
      <c r="A1077" t="s">
        <v>3264</v>
      </c>
      <c r="B1077" s="1">
        <v>45887</v>
      </c>
      <c r="C1077" t="s">
        <v>3265</v>
      </c>
      <c r="D1077" t="s">
        <v>3266</v>
      </c>
      <c r="E1077" s="14">
        <v>923468053457</v>
      </c>
      <c r="F1077" t="s">
        <v>122</v>
      </c>
      <c r="G1077" t="s">
        <v>18</v>
      </c>
      <c r="H1077" t="s">
        <v>59</v>
      </c>
      <c r="I1077">
        <v>3</v>
      </c>
      <c r="J1077">
        <v>12166</v>
      </c>
      <c r="K1077">
        <v>36498</v>
      </c>
      <c r="L1077" t="s">
        <v>78</v>
      </c>
      <c r="M1077" t="s">
        <v>82</v>
      </c>
      <c r="N1077" t="s">
        <v>22</v>
      </c>
    </row>
    <row r="1078" spans="1:14" x14ac:dyDescent="0.25">
      <c r="A1078" t="s">
        <v>3267</v>
      </c>
      <c r="B1078" s="1">
        <v>45767</v>
      </c>
      <c r="C1078" t="s">
        <v>3268</v>
      </c>
      <c r="D1078" t="s">
        <v>3269</v>
      </c>
      <c r="E1078" s="14">
        <v>923422925148</v>
      </c>
      <c r="F1078" t="s">
        <v>67</v>
      </c>
      <c r="G1078" t="s">
        <v>18</v>
      </c>
      <c r="H1078" t="s">
        <v>33</v>
      </c>
      <c r="I1078">
        <v>3</v>
      </c>
      <c r="J1078">
        <v>9432</v>
      </c>
      <c r="K1078">
        <v>28296</v>
      </c>
      <c r="L1078" t="s">
        <v>63</v>
      </c>
      <c r="M1078" t="s">
        <v>55</v>
      </c>
      <c r="N1078" t="s">
        <v>35</v>
      </c>
    </row>
    <row r="1079" spans="1:14" x14ac:dyDescent="0.25">
      <c r="A1079" t="s">
        <v>3270</v>
      </c>
      <c r="B1079" s="1">
        <v>45904</v>
      </c>
      <c r="C1079" t="s">
        <v>3271</v>
      </c>
      <c r="D1079" t="s">
        <v>3272</v>
      </c>
      <c r="E1079" s="14">
        <v>923274933515</v>
      </c>
      <c r="F1079" t="s">
        <v>17</v>
      </c>
      <c r="G1079" t="s">
        <v>18</v>
      </c>
      <c r="H1079" t="s">
        <v>59</v>
      </c>
      <c r="I1079">
        <v>2</v>
      </c>
      <c r="J1079">
        <v>7877</v>
      </c>
      <c r="K1079">
        <v>15754</v>
      </c>
      <c r="L1079" t="s">
        <v>68</v>
      </c>
      <c r="M1079" t="s">
        <v>21</v>
      </c>
      <c r="N1079" t="s">
        <v>28</v>
      </c>
    </row>
    <row r="1080" spans="1:14" x14ac:dyDescent="0.25">
      <c r="A1080" t="s">
        <v>3273</v>
      </c>
      <c r="B1080" s="1">
        <v>45924</v>
      </c>
      <c r="C1080" t="s">
        <v>3274</v>
      </c>
      <c r="D1080" t="s">
        <v>3275</v>
      </c>
      <c r="E1080" s="14">
        <v>923260729431</v>
      </c>
      <c r="F1080" t="s">
        <v>77</v>
      </c>
      <c r="G1080" t="s">
        <v>18</v>
      </c>
      <c r="H1080" t="s">
        <v>39</v>
      </c>
      <c r="I1080">
        <v>5</v>
      </c>
      <c r="J1080">
        <v>11449</v>
      </c>
      <c r="K1080">
        <v>57245</v>
      </c>
      <c r="L1080" t="s">
        <v>78</v>
      </c>
      <c r="M1080" t="s">
        <v>27</v>
      </c>
      <c r="N1080" t="s">
        <v>22</v>
      </c>
    </row>
    <row r="1081" spans="1:14" x14ac:dyDescent="0.25">
      <c r="A1081" t="s">
        <v>3276</v>
      </c>
      <c r="B1081" s="1">
        <v>45816</v>
      </c>
      <c r="C1081" t="s">
        <v>3277</v>
      </c>
      <c r="D1081" t="s">
        <v>3278</v>
      </c>
      <c r="E1081" s="14">
        <v>923477900634</v>
      </c>
      <c r="F1081" t="s">
        <v>77</v>
      </c>
      <c r="G1081" t="s">
        <v>18</v>
      </c>
      <c r="H1081" t="s">
        <v>39</v>
      </c>
      <c r="I1081">
        <v>5</v>
      </c>
      <c r="J1081">
        <v>1933</v>
      </c>
      <c r="K1081">
        <v>9665</v>
      </c>
      <c r="L1081" t="s">
        <v>63</v>
      </c>
      <c r="M1081" t="s">
        <v>82</v>
      </c>
      <c r="N1081" t="s">
        <v>69</v>
      </c>
    </row>
    <row r="1082" spans="1:14" x14ac:dyDescent="0.25">
      <c r="A1082" t="s">
        <v>3279</v>
      </c>
      <c r="B1082" s="1">
        <v>45989</v>
      </c>
      <c r="C1082" t="s">
        <v>3280</v>
      </c>
      <c r="D1082" t="s">
        <v>3281</v>
      </c>
      <c r="E1082" s="14">
        <v>923320026304</v>
      </c>
      <c r="F1082" t="s">
        <v>32</v>
      </c>
      <c r="G1082" t="s">
        <v>18</v>
      </c>
      <c r="H1082" t="s">
        <v>33</v>
      </c>
      <c r="I1082">
        <v>3</v>
      </c>
      <c r="J1082">
        <v>1554</v>
      </c>
      <c r="K1082">
        <v>4662</v>
      </c>
      <c r="L1082" t="s">
        <v>26</v>
      </c>
      <c r="M1082" t="s">
        <v>21</v>
      </c>
      <c r="N1082" t="s">
        <v>28</v>
      </c>
    </row>
    <row r="1083" spans="1:14" x14ac:dyDescent="0.25">
      <c r="A1083" t="s">
        <v>3282</v>
      </c>
      <c r="B1083" s="1">
        <v>45750</v>
      </c>
      <c r="C1083" t="s">
        <v>3283</v>
      </c>
      <c r="D1083" t="s">
        <v>3284</v>
      </c>
      <c r="E1083" s="14">
        <v>923371911318</v>
      </c>
      <c r="F1083" t="s">
        <v>49</v>
      </c>
      <c r="G1083" t="s">
        <v>18</v>
      </c>
      <c r="H1083" t="s">
        <v>59</v>
      </c>
      <c r="I1083">
        <v>3</v>
      </c>
      <c r="J1083">
        <v>8859</v>
      </c>
      <c r="K1083">
        <v>26577</v>
      </c>
      <c r="L1083" t="s">
        <v>40</v>
      </c>
      <c r="M1083" t="s">
        <v>82</v>
      </c>
      <c r="N1083" t="s">
        <v>35</v>
      </c>
    </row>
    <row r="1084" spans="1:14" x14ac:dyDescent="0.25">
      <c r="A1084" t="s">
        <v>3285</v>
      </c>
      <c r="B1084" s="1">
        <v>45869</v>
      </c>
      <c r="C1084" t="s">
        <v>3286</v>
      </c>
      <c r="D1084" t="s">
        <v>3287</v>
      </c>
      <c r="E1084" s="14">
        <v>923207785421</v>
      </c>
      <c r="F1084" t="s">
        <v>92</v>
      </c>
      <c r="G1084" t="s">
        <v>18</v>
      </c>
      <c r="H1084" t="s">
        <v>39</v>
      </c>
      <c r="I1084">
        <v>1</v>
      </c>
      <c r="J1084">
        <v>4584</v>
      </c>
      <c r="K1084">
        <v>4584</v>
      </c>
      <c r="L1084" t="s">
        <v>68</v>
      </c>
      <c r="M1084" t="s">
        <v>45</v>
      </c>
      <c r="N1084" t="s">
        <v>35</v>
      </c>
    </row>
    <row r="1085" spans="1:14" x14ac:dyDescent="0.25">
      <c r="A1085" t="s">
        <v>3288</v>
      </c>
      <c r="B1085" s="1">
        <v>45842</v>
      </c>
      <c r="C1085" t="s">
        <v>3289</v>
      </c>
      <c r="D1085" t="s">
        <v>3290</v>
      </c>
      <c r="E1085" s="14">
        <v>923073669740</v>
      </c>
      <c r="F1085" t="s">
        <v>32</v>
      </c>
      <c r="G1085" t="s">
        <v>18</v>
      </c>
      <c r="H1085" t="s">
        <v>19</v>
      </c>
      <c r="I1085">
        <v>4</v>
      </c>
      <c r="J1085">
        <v>11204</v>
      </c>
      <c r="K1085">
        <v>44816</v>
      </c>
      <c r="L1085" t="s">
        <v>40</v>
      </c>
      <c r="M1085" t="s">
        <v>21</v>
      </c>
      <c r="N1085" t="s">
        <v>22</v>
      </c>
    </row>
    <row r="1086" spans="1:14" x14ac:dyDescent="0.25">
      <c r="A1086" t="s">
        <v>3291</v>
      </c>
      <c r="B1086" s="1">
        <v>45881</v>
      </c>
      <c r="C1086" t="s">
        <v>3292</v>
      </c>
      <c r="D1086" t="s">
        <v>3293</v>
      </c>
      <c r="E1086" s="14">
        <v>923283057973</v>
      </c>
      <c r="F1086" t="s">
        <v>92</v>
      </c>
      <c r="G1086" t="s">
        <v>18</v>
      </c>
      <c r="H1086" t="s">
        <v>73</v>
      </c>
      <c r="I1086">
        <v>2</v>
      </c>
      <c r="J1086">
        <v>1526</v>
      </c>
      <c r="K1086">
        <v>3052</v>
      </c>
      <c r="L1086" t="s">
        <v>20</v>
      </c>
      <c r="M1086" t="s">
        <v>82</v>
      </c>
      <c r="N1086" t="s">
        <v>22</v>
      </c>
    </row>
    <row r="1087" spans="1:14" x14ac:dyDescent="0.25">
      <c r="A1087" t="s">
        <v>3294</v>
      </c>
      <c r="B1087" s="1">
        <v>45762</v>
      </c>
      <c r="C1087" t="s">
        <v>3295</v>
      </c>
      <c r="D1087" t="s">
        <v>3296</v>
      </c>
      <c r="E1087" s="14">
        <v>923011458348</v>
      </c>
      <c r="F1087" t="s">
        <v>32</v>
      </c>
      <c r="G1087" t="s">
        <v>18</v>
      </c>
      <c r="H1087" t="s">
        <v>59</v>
      </c>
      <c r="I1087">
        <v>3</v>
      </c>
      <c r="J1087">
        <v>2993</v>
      </c>
      <c r="K1087">
        <v>8979</v>
      </c>
      <c r="L1087" t="s">
        <v>20</v>
      </c>
      <c r="M1087" t="s">
        <v>45</v>
      </c>
      <c r="N1087" t="s">
        <v>35</v>
      </c>
    </row>
    <row r="1088" spans="1:14" x14ac:dyDescent="0.25">
      <c r="A1088" t="s">
        <v>3297</v>
      </c>
      <c r="B1088" s="1">
        <v>45905</v>
      </c>
      <c r="C1088" t="s">
        <v>3298</v>
      </c>
      <c r="D1088" t="s">
        <v>3299</v>
      </c>
      <c r="E1088" s="14">
        <v>923108777303</v>
      </c>
      <c r="F1088" t="s">
        <v>77</v>
      </c>
      <c r="G1088" t="s">
        <v>18</v>
      </c>
      <c r="H1088" t="s">
        <v>59</v>
      </c>
      <c r="I1088">
        <v>2</v>
      </c>
      <c r="J1088">
        <v>9406</v>
      </c>
      <c r="K1088">
        <v>18812</v>
      </c>
      <c r="L1088" t="s">
        <v>63</v>
      </c>
      <c r="M1088" t="s">
        <v>135</v>
      </c>
      <c r="N1088" t="s">
        <v>69</v>
      </c>
    </row>
    <row r="1089" spans="1:14" x14ac:dyDescent="0.25">
      <c r="A1089" t="s">
        <v>3300</v>
      </c>
      <c r="B1089" s="1">
        <v>45706</v>
      </c>
      <c r="C1089" t="s">
        <v>3301</v>
      </c>
      <c r="D1089" t="s">
        <v>3302</v>
      </c>
      <c r="E1089" s="14">
        <v>923196867107</v>
      </c>
      <c r="F1089" t="s">
        <v>92</v>
      </c>
      <c r="G1089" t="s">
        <v>18</v>
      </c>
      <c r="H1089" t="s">
        <v>33</v>
      </c>
      <c r="I1089">
        <v>1</v>
      </c>
      <c r="J1089">
        <v>5446</v>
      </c>
      <c r="K1089">
        <v>5446</v>
      </c>
      <c r="L1089" t="s">
        <v>40</v>
      </c>
      <c r="M1089" t="s">
        <v>27</v>
      </c>
      <c r="N1089" t="s">
        <v>22</v>
      </c>
    </row>
    <row r="1090" spans="1:14" x14ac:dyDescent="0.25">
      <c r="A1090" t="s">
        <v>3303</v>
      </c>
      <c r="B1090" s="1">
        <v>45828</v>
      </c>
      <c r="C1090" t="s">
        <v>3304</v>
      </c>
      <c r="D1090" t="s">
        <v>3305</v>
      </c>
      <c r="E1090" s="14">
        <v>923308533253</v>
      </c>
      <c r="F1090" t="s">
        <v>106</v>
      </c>
      <c r="G1090" t="s">
        <v>18</v>
      </c>
      <c r="H1090" t="s">
        <v>73</v>
      </c>
      <c r="I1090">
        <v>2</v>
      </c>
      <c r="J1090">
        <v>5223</v>
      </c>
      <c r="K1090">
        <v>10446</v>
      </c>
      <c r="L1090" t="s">
        <v>26</v>
      </c>
      <c r="M1090" t="s">
        <v>55</v>
      </c>
      <c r="N1090" t="s">
        <v>22</v>
      </c>
    </row>
    <row r="1091" spans="1:14" x14ac:dyDescent="0.25">
      <c r="A1091" t="s">
        <v>3306</v>
      </c>
      <c r="B1091" s="1">
        <v>46015</v>
      </c>
      <c r="C1091" t="s">
        <v>3307</v>
      </c>
      <c r="D1091" t="s">
        <v>3308</v>
      </c>
      <c r="E1091" s="14">
        <v>923130728671</v>
      </c>
      <c r="F1091" t="s">
        <v>77</v>
      </c>
      <c r="G1091" t="s">
        <v>18</v>
      </c>
      <c r="H1091" t="s">
        <v>39</v>
      </c>
      <c r="I1091">
        <v>4</v>
      </c>
      <c r="J1091">
        <v>2584</v>
      </c>
      <c r="K1091">
        <v>10336</v>
      </c>
      <c r="L1091" t="s">
        <v>68</v>
      </c>
      <c r="M1091" t="s">
        <v>82</v>
      </c>
      <c r="N1091" t="s">
        <v>35</v>
      </c>
    </row>
    <row r="1092" spans="1:14" x14ac:dyDescent="0.25">
      <c r="A1092" t="s">
        <v>3309</v>
      </c>
      <c r="B1092" s="1">
        <v>45707</v>
      </c>
      <c r="C1092" t="s">
        <v>3310</v>
      </c>
      <c r="D1092" t="s">
        <v>3311</v>
      </c>
      <c r="E1092" s="14">
        <v>923474916388</v>
      </c>
      <c r="F1092" t="s">
        <v>77</v>
      </c>
      <c r="G1092" t="s">
        <v>18</v>
      </c>
      <c r="H1092" t="s">
        <v>59</v>
      </c>
      <c r="I1092">
        <v>4</v>
      </c>
      <c r="J1092">
        <v>13667</v>
      </c>
      <c r="K1092">
        <v>54668</v>
      </c>
      <c r="L1092" t="s">
        <v>78</v>
      </c>
      <c r="M1092" t="s">
        <v>34</v>
      </c>
      <c r="N1092" t="s">
        <v>28</v>
      </c>
    </row>
    <row r="1093" spans="1:14" x14ac:dyDescent="0.25">
      <c r="A1093" t="s">
        <v>3312</v>
      </c>
      <c r="B1093" s="1">
        <v>46008</v>
      </c>
      <c r="C1093" t="s">
        <v>3313</v>
      </c>
      <c r="D1093" t="s">
        <v>3314</v>
      </c>
      <c r="E1093" s="14">
        <v>923211729574</v>
      </c>
      <c r="F1093" t="s">
        <v>106</v>
      </c>
      <c r="G1093" t="s">
        <v>18</v>
      </c>
      <c r="H1093" t="s">
        <v>39</v>
      </c>
      <c r="I1093">
        <v>4</v>
      </c>
      <c r="J1093">
        <v>12804</v>
      </c>
      <c r="K1093">
        <v>51216</v>
      </c>
      <c r="L1093" t="s">
        <v>78</v>
      </c>
      <c r="M1093" t="s">
        <v>21</v>
      </c>
      <c r="N1093" t="s">
        <v>22</v>
      </c>
    </row>
    <row r="1094" spans="1:14" x14ac:dyDescent="0.25">
      <c r="A1094" t="s">
        <v>3315</v>
      </c>
      <c r="B1094" s="1">
        <v>45794</v>
      </c>
      <c r="C1094" t="s">
        <v>3316</v>
      </c>
      <c r="D1094" t="s">
        <v>3317</v>
      </c>
      <c r="E1094" s="14">
        <v>923164118724</v>
      </c>
      <c r="F1094" t="s">
        <v>106</v>
      </c>
      <c r="G1094" t="s">
        <v>18</v>
      </c>
      <c r="H1094" t="s">
        <v>59</v>
      </c>
      <c r="I1094">
        <v>4</v>
      </c>
      <c r="J1094">
        <v>4692</v>
      </c>
      <c r="K1094">
        <v>18768</v>
      </c>
      <c r="L1094" t="s">
        <v>78</v>
      </c>
      <c r="M1094" t="s">
        <v>45</v>
      </c>
      <c r="N1094" t="s">
        <v>35</v>
      </c>
    </row>
    <row r="1095" spans="1:14" x14ac:dyDescent="0.25">
      <c r="A1095" t="s">
        <v>3318</v>
      </c>
      <c r="B1095" s="1">
        <v>45999</v>
      </c>
      <c r="C1095" t="s">
        <v>3319</v>
      </c>
      <c r="D1095" t="s">
        <v>3320</v>
      </c>
      <c r="E1095" s="14">
        <v>923402967101</v>
      </c>
      <c r="F1095" t="s">
        <v>54</v>
      </c>
      <c r="G1095" t="s">
        <v>18</v>
      </c>
      <c r="H1095" t="s">
        <v>33</v>
      </c>
      <c r="I1095">
        <v>3</v>
      </c>
      <c r="J1095">
        <v>10781</v>
      </c>
      <c r="K1095">
        <v>32343</v>
      </c>
      <c r="L1095" t="s">
        <v>78</v>
      </c>
      <c r="M1095" t="s">
        <v>27</v>
      </c>
      <c r="N1095" t="s">
        <v>22</v>
      </c>
    </row>
    <row r="1096" spans="1:14" x14ac:dyDescent="0.25">
      <c r="A1096" t="s">
        <v>3321</v>
      </c>
      <c r="B1096" s="1">
        <v>45733</v>
      </c>
      <c r="C1096" t="s">
        <v>3322</v>
      </c>
      <c r="D1096" t="s">
        <v>3323</v>
      </c>
      <c r="E1096" s="14">
        <v>923228134615</v>
      </c>
      <c r="F1096" t="s">
        <v>67</v>
      </c>
      <c r="G1096" t="s">
        <v>18</v>
      </c>
      <c r="H1096" t="s">
        <v>73</v>
      </c>
      <c r="I1096">
        <v>2</v>
      </c>
      <c r="J1096">
        <v>11816</v>
      </c>
      <c r="K1096">
        <v>23632</v>
      </c>
      <c r="L1096" t="s">
        <v>78</v>
      </c>
      <c r="M1096" t="s">
        <v>82</v>
      </c>
      <c r="N1096" t="s">
        <v>28</v>
      </c>
    </row>
    <row r="1097" spans="1:14" x14ac:dyDescent="0.25">
      <c r="A1097" t="s">
        <v>3324</v>
      </c>
      <c r="B1097" s="1">
        <v>45753</v>
      </c>
      <c r="C1097" t="s">
        <v>3325</v>
      </c>
      <c r="D1097" t="s">
        <v>3326</v>
      </c>
      <c r="E1097" s="14">
        <v>923123302694</v>
      </c>
      <c r="F1097" t="s">
        <v>77</v>
      </c>
      <c r="G1097" t="s">
        <v>18</v>
      </c>
      <c r="H1097" t="s">
        <v>39</v>
      </c>
      <c r="I1097">
        <v>1</v>
      </c>
      <c r="J1097">
        <v>10257</v>
      </c>
      <c r="K1097">
        <v>10257</v>
      </c>
      <c r="L1097" t="s">
        <v>20</v>
      </c>
      <c r="M1097" t="s">
        <v>27</v>
      </c>
      <c r="N1097" t="s">
        <v>28</v>
      </c>
    </row>
    <row r="1098" spans="1:14" x14ac:dyDescent="0.25">
      <c r="A1098" t="s">
        <v>3327</v>
      </c>
      <c r="B1098" s="1">
        <v>45949</v>
      </c>
      <c r="C1098" t="s">
        <v>3328</v>
      </c>
      <c r="D1098" t="s">
        <v>3329</v>
      </c>
      <c r="E1098" s="14">
        <v>923473089923</v>
      </c>
      <c r="F1098" t="s">
        <v>54</v>
      </c>
      <c r="G1098" t="s">
        <v>18</v>
      </c>
      <c r="H1098" t="s">
        <v>73</v>
      </c>
      <c r="I1098">
        <v>5</v>
      </c>
      <c r="J1098">
        <v>3708</v>
      </c>
      <c r="K1098">
        <v>18540</v>
      </c>
      <c r="L1098" t="s">
        <v>68</v>
      </c>
      <c r="M1098" t="s">
        <v>93</v>
      </c>
      <c r="N1098" t="s">
        <v>28</v>
      </c>
    </row>
    <row r="1099" spans="1:14" x14ac:dyDescent="0.25">
      <c r="A1099" t="s">
        <v>3330</v>
      </c>
      <c r="B1099" s="1">
        <v>45806</v>
      </c>
      <c r="C1099" t="s">
        <v>3331</v>
      </c>
      <c r="D1099" t="s">
        <v>3332</v>
      </c>
      <c r="E1099" s="14">
        <v>923417751437</v>
      </c>
      <c r="F1099" t="s">
        <v>32</v>
      </c>
      <c r="G1099" t="s">
        <v>18</v>
      </c>
      <c r="H1099" t="s">
        <v>50</v>
      </c>
      <c r="I1099">
        <v>3</v>
      </c>
      <c r="J1099">
        <v>10643</v>
      </c>
      <c r="K1099">
        <v>31929</v>
      </c>
      <c r="L1099" t="s">
        <v>68</v>
      </c>
      <c r="M1099" t="s">
        <v>135</v>
      </c>
      <c r="N1099" t="s">
        <v>22</v>
      </c>
    </row>
    <row r="1100" spans="1:14" x14ac:dyDescent="0.25">
      <c r="A1100" t="s">
        <v>3333</v>
      </c>
      <c r="B1100" s="1">
        <v>45920</v>
      </c>
      <c r="C1100" t="s">
        <v>3334</v>
      </c>
      <c r="D1100" t="s">
        <v>3335</v>
      </c>
      <c r="E1100" s="14">
        <v>923320086857</v>
      </c>
      <c r="F1100" t="s">
        <v>92</v>
      </c>
      <c r="G1100" t="s">
        <v>18</v>
      </c>
      <c r="H1100" t="s">
        <v>33</v>
      </c>
      <c r="I1100">
        <v>4</v>
      </c>
      <c r="J1100">
        <v>14686</v>
      </c>
      <c r="K1100">
        <v>58744</v>
      </c>
      <c r="L1100" t="s">
        <v>78</v>
      </c>
      <c r="M1100" t="s">
        <v>82</v>
      </c>
      <c r="N1100" t="s">
        <v>22</v>
      </c>
    </row>
    <row r="1101" spans="1:14" x14ac:dyDescent="0.25">
      <c r="A1101" t="s">
        <v>3336</v>
      </c>
      <c r="B1101" s="1">
        <v>45986</v>
      </c>
      <c r="C1101" t="s">
        <v>3337</v>
      </c>
      <c r="D1101" t="s">
        <v>3338</v>
      </c>
      <c r="E1101" s="14">
        <v>923288157559</v>
      </c>
      <c r="F1101" t="s">
        <v>44</v>
      </c>
      <c r="G1101" t="s">
        <v>18</v>
      </c>
      <c r="H1101" t="s">
        <v>33</v>
      </c>
      <c r="I1101">
        <v>4</v>
      </c>
      <c r="J1101">
        <v>5157</v>
      </c>
      <c r="K1101">
        <v>20628</v>
      </c>
      <c r="L1101" t="s">
        <v>63</v>
      </c>
      <c r="M1101" t="s">
        <v>27</v>
      </c>
      <c r="N1101" t="s">
        <v>22</v>
      </c>
    </row>
    <row r="1102" spans="1:14" x14ac:dyDescent="0.25">
      <c r="A1102" t="s">
        <v>3339</v>
      </c>
      <c r="B1102" s="1">
        <v>45867</v>
      </c>
      <c r="C1102" t="s">
        <v>3340</v>
      </c>
      <c r="D1102" t="s">
        <v>3341</v>
      </c>
      <c r="E1102" s="14">
        <v>923413219808</v>
      </c>
      <c r="F1102" t="s">
        <v>67</v>
      </c>
      <c r="G1102" t="s">
        <v>18</v>
      </c>
      <c r="H1102" t="s">
        <v>39</v>
      </c>
      <c r="I1102">
        <v>2</v>
      </c>
      <c r="J1102">
        <v>2554</v>
      </c>
      <c r="K1102">
        <v>5108</v>
      </c>
      <c r="L1102" t="s">
        <v>40</v>
      </c>
      <c r="M1102" t="s">
        <v>27</v>
      </c>
      <c r="N1102" t="s">
        <v>35</v>
      </c>
    </row>
    <row r="1103" spans="1:14" x14ac:dyDescent="0.25">
      <c r="A1103" t="s">
        <v>3342</v>
      </c>
      <c r="B1103" s="1">
        <v>45779</v>
      </c>
      <c r="C1103" t="s">
        <v>3343</v>
      </c>
      <c r="D1103" t="s">
        <v>3344</v>
      </c>
      <c r="E1103" s="14">
        <v>923238753896</v>
      </c>
      <c r="F1103" t="s">
        <v>44</v>
      </c>
      <c r="G1103" t="s">
        <v>18</v>
      </c>
      <c r="H1103" t="s">
        <v>33</v>
      </c>
      <c r="I1103">
        <v>2</v>
      </c>
      <c r="J1103">
        <v>3147</v>
      </c>
      <c r="K1103">
        <v>6294</v>
      </c>
      <c r="L1103" t="s">
        <v>20</v>
      </c>
      <c r="M1103" t="s">
        <v>45</v>
      </c>
      <c r="N1103" t="s">
        <v>22</v>
      </c>
    </row>
    <row r="1104" spans="1:14" x14ac:dyDescent="0.25">
      <c r="A1104" t="s">
        <v>3345</v>
      </c>
      <c r="B1104" s="1">
        <v>46063</v>
      </c>
      <c r="C1104" t="s">
        <v>3346</v>
      </c>
      <c r="D1104" t="s">
        <v>3347</v>
      </c>
      <c r="E1104" s="14">
        <v>923375436009</v>
      </c>
      <c r="F1104" t="s">
        <v>106</v>
      </c>
      <c r="G1104" t="s">
        <v>18</v>
      </c>
      <c r="H1104" t="s">
        <v>50</v>
      </c>
      <c r="I1104">
        <v>1</v>
      </c>
      <c r="J1104">
        <v>5550</v>
      </c>
      <c r="K1104">
        <v>5550</v>
      </c>
      <c r="L1104" t="s">
        <v>63</v>
      </c>
      <c r="M1104" t="s">
        <v>34</v>
      </c>
      <c r="N1104" t="s">
        <v>35</v>
      </c>
    </row>
    <row r="1105" spans="1:14" x14ac:dyDescent="0.25">
      <c r="A1105" t="s">
        <v>3348</v>
      </c>
      <c r="B1105" s="1">
        <v>46040</v>
      </c>
      <c r="C1105" t="s">
        <v>2065</v>
      </c>
      <c r="D1105" t="s">
        <v>3349</v>
      </c>
      <c r="E1105" s="14">
        <v>923050857569</v>
      </c>
      <c r="F1105" t="s">
        <v>106</v>
      </c>
      <c r="G1105" t="s">
        <v>18</v>
      </c>
      <c r="H1105" t="s">
        <v>19</v>
      </c>
      <c r="I1105">
        <v>5</v>
      </c>
      <c r="J1105">
        <v>14505</v>
      </c>
      <c r="K1105">
        <v>72525</v>
      </c>
      <c r="L1105" t="s">
        <v>20</v>
      </c>
      <c r="M1105" t="s">
        <v>82</v>
      </c>
      <c r="N1105" t="s">
        <v>35</v>
      </c>
    </row>
    <row r="1106" spans="1:14" x14ac:dyDescent="0.25">
      <c r="A1106" t="s">
        <v>3350</v>
      </c>
      <c r="B1106" s="1">
        <v>45707</v>
      </c>
      <c r="C1106" t="s">
        <v>3351</v>
      </c>
      <c r="D1106" t="s">
        <v>3352</v>
      </c>
      <c r="E1106" s="14">
        <v>923016882775</v>
      </c>
      <c r="F1106" t="s">
        <v>106</v>
      </c>
      <c r="G1106" t="s">
        <v>18</v>
      </c>
      <c r="H1106" t="s">
        <v>33</v>
      </c>
      <c r="I1106">
        <v>2</v>
      </c>
      <c r="J1106">
        <v>10410</v>
      </c>
      <c r="K1106">
        <v>20820</v>
      </c>
      <c r="L1106" t="s">
        <v>40</v>
      </c>
      <c r="M1106" t="s">
        <v>82</v>
      </c>
      <c r="N1106" t="s">
        <v>69</v>
      </c>
    </row>
    <row r="1107" spans="1:14" x14ac:dyDescent="0.25">
      <c r="A1107" t="s">
        <v>3353</v>
      </c>
      <c r="B1107" s="1">
        <v>45763</v>
      </c>
      <c r="C1107" t="s">
        <v>3354</v>
      </c>
      <c r="D1107" t="s">
        <v>3355</v>
      </c>
      <c r="E1107" s="14">
        <v>923490179938</v>
      </c>
      <c r="F1107" t="s">
        <v>54</v>
      </c>
      <c r="G1107" t="s">
        <v>18</v>
      </c>
      <c r="H1107" t="s">
        <v>59</v>
      </c>
      <c r="I1107">
        <v>4</v>
      </c>
      <c r="J1107">
        <v>5054</v>
      </c>
      <c r="K1107">
        <v>20216</v>
      </c>
      <c r="L1107" t="s">
        <v>78</v>
      </c>
      <c r="M1107" t="s">
        <v>82</v>
      </c>
      <c r="N1107" t="s">
        <v>69</v>
      </c>
    </row>
    <row r="1108" spans="1:14" x14ac:dyDescent="0.25">
      <c r="A1108" t="s">
        <v>3356</v>
      </c>
      <c r="B1108" s="1">
        <v>45953</v>
      </c>
      <c r="C1108" t="s">
        <v>3357</v>
      </c>
      <c r="D1108" t="s">
        <v>3358</v>
      </c>
      <c r="E1108" s="14">
        <v>923031547241</v>
      </c>
      <c r="F1108" t="s">
        <v>67</v>
      </c>
      <c r="G1108" t="s">
        <v>18</v>
      </c>
      <c r="H1108" t="s">
        <v>50</v>
      </c>
      <c r="I1108">
        <v>2</v>
      </c>
      <c r="J1108">
        <v>1059</v>
      </c>
      <c r="K1108">
        <v>2118</v>
      </c>
      <c r="L1108" t="s">
        <v>26</v>
      </c>
      <c r="M1108" t="s">
        <v>27</v>
      </c>
      <c r="N1108" t="s">
        <v>28</v>
      </c>
    </row>
    <row r="1109" spans="1:14" x14ac:dyDescent="0.25">
      <c r="A1109" t="s">
        <v>3359</v>
      </c>
      <c r="B1109" s="1">
        <v>45822</v>
      </c>
      <c r="C1109" t="s">
        <v>3360</v>
      </c>
      <c r="D1109" t="s">
        <v>3361</v>
      </c>
      <c r="E1109" s="14">
        <v>923371901778</v>
      </c>
      <c r="F1109" t="s">
        <v>92</v>
      </c>
      <c r="G1109" t="s">
        <v>18</v>
      </c>
      <c r="H1109" t="s">
        <v>50</v>
      </c>
      <c r="I1109">
        <v>5</v>
      </c>
      <c r="J1109">
        <v>4357</v>
      </c>
      <c r="K1109">
        <v>21785</v>
      </c>
      <c r="L1109" t="s">
        <v>78</v>
      </c>
      <c r="M1109" t="s">
        <v>45</v>
      </c>
      <c r="N1109" t="s">
        <v>28</v>
      </c>
    </row>
    <row r="1110" spans="1:14" x14ac:dyDescent="0.25">
      <c r="A1110" t="s">
        <v>3362</v>
      </c>
      <c r="B1110" s="1">
        <v>46017</v>
      </c>
      <c r="C1110" t="s">
        <v>3363</v>
      </c>
      <c r="D1110" t="s">
        <v>3364</v>
      </c>
      <c r="E1110" s="14">
        <v>923069482713</v>
      </c>
      <c r="F1110" t="s">
        <v>122</v>
      </c>
      <c r="G1110" t="s">
        <v>18</v>
      </c>
      <c r="H1110" t="s">
        <v>39</v>
      </c>
      <c r="I1110">
        <v>5</v>
      </c>
      <c r="J1110">
        <v>3332</v>
      </c>
      <c r="K1110">
        <v>16660</v>
      </c>
      <c r="L1110" t="s">
        <v>68</v>
      </c>
      <c r="M1110" t="s">
        <v>82</v>
      </c>
      <c r="N1110" t="s">
        <v>35</v>
      </c>
    </row>
    <row r="1111" spans="1:14" x14ac:dyDescent="0.25">
      <c r="A1111" t="s">
        <v>3365</v>
      </c>
      <c r="B1111" s="1">
        <v>45804</v>
      </c>
      <c r="C1111" t="s">
        <v>3366</v>
      </c>
      <c r="D1111" t="s">
        <v>3367</v>
      </c>
      <c r="E1111" s="14">
        <v>923248389452</v>
      </c>
      <c r="F1111" t="s">
        <v>67</v>
      </c>
      <c r="G1111" t="s">
        <v>18</v>
      </c>
      <c r="H1111" t="s">
        <v>39</v>
      </c>
      <c r="I1111">
        <v>4</v>
      </c>
      <c r="J1111">
        <v>6124</v>
      </c>
      <c r="K1111">
        <v>24496</v>
      </c>
      <c r="L1111" t="s">
        <v>26</v>
      </c>
      <c r="M1111" t="s">
        <v>45</v>
      </c>
      <c r="N1111" t="s">
        <v>35</v>
      </c>
    </row>
    <row r="1112" spans="1:14" x14ac:dyDescent="0.25">
      <c r="A1112" t="s">
        <v>3368</v>
      </c>
      <c r="B1112" s="1">
        <v>46013</v>
      </c>
      <c r="C1112" t="s">
        <v>3369</v>
      </c>
      <c r="D1112" t="s">
        <v>3370</v>
      </c>
      <c r="E1112" s="14">
        <v>923422935670</v>
      </c>
      <c r="F1112" t="s">
        <v>44</v>
      </c>
      <c r="G1112" t="s">
        <v>18</v>
      </c>
      <c r="H1112" t="s">
        <v>50</v>
      </c>
      <c r="I1112">
        <v>2</v>
      </c>
      <c r="J1112">
        <v>8089</v>
      </c>
      <c r="K1112">
        <v>16178</v>
      </c>
      <c r="L1112" t="s">
        <v>26</v>
      </c>
      <c r="M1112" t="s">
        <v>82</v>
      </c>
      <c r="N1112" t="s">
        <v>28</v>
      </c>
    </row>
    <row r="1113" spans="1:14" x14ac:dyDescent="0.25">
      <c r="A1113" t="s">
        <v>3371</v>
      </c>
      <c r="B1113" s="1">
        <v>45833</v>
      </c>
      <c r="C1113" t="s">
        <v>3372</v>
      </c>
      <c r="D1113" t="s">
        <v>3373</v>
      </c>
      <c r="E1113" s="14">
        <v>923202832401</v>
      </c>
      <c r="F1113" t="s">
        <v>92</v>
      </c>
      <c r="G1113" t="s">
        <v>18</v>
      </c>
      <c r="H1113" t="s">
        <v>73</v>
      </c>
      <c r="I1113">
        <v>1</v>
      </c>
      <c r="J1113">
        <v>2058</v>
      </c>
      <c r="K1113">
        <v>2058</v>
      </c>
      <c r="L1113" t="s">
        <v>63</v>
      </c>
      <c r="M1113" t="s">
        <v>93</v>
      </c>
      <c r="N1113" t="s">
        <v>22</v>
      </c>
    </row>
    <row r="1114" spans="1:14" x14ac:dyDescent="0.25">
      <c r="A1114" t="s">
        <v>3374</v>
      </c>
      <c r="B1114" s="1">
        <v>46018</v>
      </c>
      <c r="C1114" t="s">
        <v>3375</v>
      </c>
      <c r="D1114" t="s">
        <v>3376</v>
      </c>
      <c r="E1114" s="14">
        <v>923352673471</v>
      </c>
      <c r="F1114" t="s">
        <v>67</v>
      </c>
      <c r="G1114" t="s">
        <v>18</v>
      </c>
      <c r="H1114" t="s">
        <v>73</v>
      </c>
      <c r="I1114">
        <v>2</v>
      </c>
      <c r="J1114">
        <v>10143</v>
      </c>
      <c r="K1114">
        <v>20286</v>
      </c>
      <c r="L1114" t="s">
        <v>63</v>
      </c>
      <c r="M1114" t="s">
        <v>27</v>
      </c>
      <c r="N1114" t="s">
        <v>69</v>
      </c>
    </row>
    <row r="1115" spans="1:14" x14ac:dyDescent="0.25">
      <c r="A1115" t="s">
        <v>3377</v>
      </c>
      <c r="B1115" s="1">
        <v>45926</v>
      </c>
      <c r="C1115" t="s">
        <v>3378</v>
      </c>
      <c r="D1115" t="s">
        <v>3379</v>
      </c>
      <c r="E1115" s="14">
        <v>923340030258</v>
      </c>
      <c r="F1115" t="s">
        <v>77</v>
      </c>
      <c r="G1115" t="s">
        <v>18</v>
      </c>
      <c r="H1115" t="s">
        <v>50</v>
      </c>
      <c r="I1115">
        <v>3</v>
      </c>
      <c r="J1115">
        <v>1903</v>
      </c>
      <c r="K1115">
        <v>5709</v>
      </c>
      <c r="L1115" t="s">
        <v>63</v>
      </c>
      <c r="M1115" t="s">
        <v>21</v>
      </c>
      <c r="N1115" t="s">
        <v>35</v>
      </c>
    </row>
    <row r="1116" spans="1:14" x14ac:dyDescent="0.25">
      <c r="A1116" t="s">
        <v>3380</v>
      </c>
      <c r="B1116" s="1">
        <v>45779</v>
      </c>
      <c r="C1116" t="s">
        <v>3381</v>
      </c>
      <c r="D1116" t="s">
        <v>3382</v>
      </c>
      <c r="E1116" s="14">
        <v>923069961796</v>
      </c>
      <c r="F1116" t="s">
        <v>92</v>
      </c>
      <c r="G1116" t="s">
        <v>18</v>
      </c>
      <c r="H1116" t="s">
        <v>59</v>
      </c>
      <c r="I1116">
        <v>3</v>
      </c>
      <c r="J1116">
        <v>7905</v>
      </c>
      <c r="K1116">
        <v>23715</v>
      </c>
      <c r="L1116" t="s">
        <v>68</v>
      </c>
      <c r="M1116" t="s">
        <v>27</v>
      </c>
      <c r="N1116" t="s">
        <v>22</v>
      </c>
    </row>
    <row r="1117" spans="1:14" x14ac:dyDescent="0.25">
      <c r="A1117" t="s">
        <v>3383</v>
      </c>
      <c r="B1117" s="1">
        <v>45975</v>
      </c>
      <c r="C1117" t="s">
        <v>3384</v>
      </c>
      <c r="D1117" t="s">
        <v>3385</v>
      </c>
      <c r="E1117" s="14">
        <v>923299654370</v>
      </c>
      <c r="F1117" t="s">
        <v>77</v>
      </c>
      <c r="G1117" t="s">
        <v>18</v>
      </c>
      <c r="H1117" t="s">
        <v>73</v>
      </c>
      <c r="I1117">
        <v>4</v>
      </c>
      <c r="J1117">
        <v>12934</v>
      </c>
      <c r="K1117">
        <v>51736</v>
      </c>
      <c r="L1117" t="s">
        <v>63</v>
      </c>
      <c r="M1117" t="s">
        <v>55</v>
      </c>
      <c r="N1117" t="s">
        <v>28</v>
      </c>
    </row>
    <row r="1118" spans="1:14" x14ac:dyDescent="0.25">
      <c r="A1118" t="s">
        <v>3386</v>
      </c>
      <c r="B1118" s="1">
        <v>46054</v>
      </c>
      <c r="C1118" t="s">
        <v>3387</v>
      </c>
      <c r="D1118" t="s">
        <v>3388</v>
      </c>
      <c r="E1118" s="14">
        <v>923221607785</v>
      </c>
      <c r="F1118" t="s">
        <v>92</v>
      </c>
      <c r="G1118" t="s">
        <v>18</v>
      </c>
      <c r="H1118" t="s">
        <v>19</v>
      </c>
      <c r="I1118">
        <v>1</v>
      </c>
      <c r="J1118">
        <v>9634</v>
      </c>
      <c r="K1118">
        <v>9634</v>
      </c>
      <c r="L1118" t="s">
        <v>20</v>
      </c>
      <c r="M1118" t="s">
        <v>93</v>
      </c>
      <c r="N1118" t="s">
        <v>69</v>
      </c>
    </row>
    <row r="1119" spans="1:14" x14ac:dyDescent="0.25">
      <c r="A1119" t="s">
        <v>3389</v>
      </c>
      <c r="B1119" s="1">
        <v>45913</v>
      </c>
      <c r="C1119" t="s">
        <v>3390</v>
      </c>
      <c r="D1119" t="s">
        <v>3391</v>
      </c>
      <c r="E1119" s="14">
        <v>923297326569</v>
      </c>
      <c r="F1119" t="s">
        <v>106</v>
      </c>
      <c r="G1119" t="s">
        <v>18</v>
      </c>
      <c r="H1119" t="s">
        <v>39</v>
      </c>
      <c r="I1119">
        <v>2</v>
      </c>
      <c r="J1119">
        <v>6653</v>
      </c>
      <c r="K1119">
        <v>13306</v>
      </c>
      <c r="L1119" t="s">
        <v>63</v>
      </c>
      <c r="M1119" t="s">
        <v>93</v>
      </c>
      <c r="N1119" t="s">
        <v>22</v>
      </c>
    </row>
    <row r="1120" spans="1:14" x14ac:dyDescent="0.25">
      <c r="A1120" t="s">
        <v>3392</v>
      </c>
      <c r="B1120" s="1">
        <v>45905</v>
      </c>
      <c r="C1120" t="s">
        <v>3393</v>
      </c>
      <c r="D1120" t="s">
        <v>3394</v>
      </c>
      <c r="E1120" s="14">
        <v>923230083770</v>
      </c>
      <c r="F1120" t="s">
        <v>49</v>
      </c>
      <c r="G1120" t="s">
        <v>18</v>
      </c>
      <c r="H1120" t="s">
        <v>19</v>
      </c>
      <c r="I1120">
        <v>4</v>
      </c>
      <c r="J1120">
        <v>5654</v>
      </c>
      <c r="K1120">
        <v>22616</v>
      </c>
      <c r="L1120" t="s">
        <v>26</v>
      </c>
      <c r="M1120" t="s">
        <v>27</v>
      </c>
      <c r="N1120" t="s">
        <v>69</v>
      </c>
    </row>
    <row r="1121" spans="1:14" x14ac:dyDescent="0.25">
      <c r="A1121" t="s">
        <v>3395</v>
      </c>
      <c r="B1121" s="1">
        <v>45809</v>
      </c>
      <c r="C1121" t="s">
        <v>3396</v>
      </c>
      <c r="D1121" t="s">
        <v>3397</v>
      </c>
      <c r="E1121" s="14">
        <v>923077344199</v>
      </c>
      <c r="F1121" t="s">
        <v>122</v>
      </c>
      <c r="G1121" t="s">
        <v>18</v>
      </c>
      <c r="H1121" t="s">
        <v>59</v>
      </c>
      <c r="I1121">
        <v>1</v>
      </c>
      <c r="J1121">
        <v>14790</v>
      </c>
      <c r="K1121">
        <v>14790</v>
      </c>
      <c r="L1121" t="s">
        <v>68</v>
      </c>
      <c r="M1121" t="s">
        <v>93</v>
      </c>
      <c r="N1121" t="s">
        <v>69</v>
      </c>
    </row>
    <row r="1122" spans="1:14" x14ac:dyDescent="0.25">
      <c r="A1122" t="s">
        <v>3398</v>
      </c>
      <c r="B1122" s="1">
        <v>45843</v>
      </c>
      <c r="C1122" t="s">
        <v>3399</v>
      </c>
      <c r="D1122" t="s">
        <v>3400</v>
      </c>
      <c r="E1122" s="14">
        <v>923020947485</v>
      </c>
      <c r="F1122" t="s">
        <v>49</v>
      </c>
      <c r="G1122" t="s">
        <v>18</v>
      </c>
      <c r="H1122" t="s">
        <v>73</v>
      </c>
      <c r="I1122">
        <v>4</v>
      </c>
      <c r="J1122">
        <v>4290</v>
      </c>
      <c r="K1122">
        <v>17160</v>
      </c>
      <c r="L1122" t="s">
        <v>63</v>
      </c>
      <c r="M1122" t="s">
        <v>93</v>
      </c>
      <c r="N1122" t="s">
        <v>22</v>
      </c>
    </row>
    <row r="1123" spans="1:14" x14ac:dyDescent="0.25">
      <c r="A1123" t="s">
        <v>3401</v>
      </c>
      <c r="B1123" s="1">
        <v>46049</v>
      </c>
      <c r="C1123" t="s">
        <v>3402</v>
      </c>
      <c r="D1123" t="s">
        <v>3403</v>
      </c>
      <c r="E1123" s="14">
        <v>923055596944</v>
      </c>
      <c r="F1123" t="s">
        <v>77</v>
      </c>
      <c r="G1123" t="s">
        <v>18</v>
      </c>
      <c r="H1123" t="s">
        <v>19</v>
      </c>
      <c r="I1123">
        <v>4</v>
      </c>
      <c r="J1123">
        <v>13502</v>
      </c>
      <c r="K1123">
        <v>54008</v>
      </c>
      <c r="L1123" t="s">
        <v>78</v>
      </c>
      <c r="M1123" t="s">
        <v>34</v>
      </c>
      <c r="N1123" t="s">
        <v>22</v>
      </c>
    </row>
    <row r="1124" spans="1:14" x14ac:dyDescent="0.25">
      <c r="A1124" t="s">
        <v>3404</v>
      </c>
      <c r="B1124" s="1">
        <v>45954</v>
      </c>
      <c r="C1124" t="s">
        <v>3405</v>
      </c>
      <c r="D1124" t="s">
        <v>3406</v>
      </c>
      <c r="E1124" s="14">
        <v>923231750758</v>
      </c>
      <c r="F1124" t="s">
        <v>67</v>
      </c>
      <c r="G1124" t="s">
        <v>18</v>
      </c>
      <c r="H1124" t="s">
        <v>39</v>
      </c>
      <c r="I1124">
        <v>1</v>
      </c>
      <c r="J1124">
        <v>4809</v>
      </c>
      <c r="K1124">
        <v>4809</v>
      </c>
      <c r="L1124" t="s">
        <v>68</v>
      </c>
      <c r="M1124" t="s">
        <v>45</v>
      </c>
      <c r="N1124" t="s">
        <v>22</v>
      </c>
    </row>
    <row r="1125" spans="1:14" x14ac:dyDescent="0.25">
      <c r="A1125" t="s">
        <v>3407</v>
      </c>
      <c r="B1125" s="1">
        <v>45833</v>
      </c>
      <c r="C1125" t="s">
        <v>3408</v>
      </c>
      <c r="D1125" t="s">
        <v>3409</v>
      </c>
      <c r="E1125" s="14">
        <v>923330320748</v>
      </c>
      <c r="F1125" t="s">
        <v>49</v>
      </c>
      <c r="G1125" t="s">
        <v>18</v>
      </c>
      <c r="H1125" t="s">
        <v>50</v>
      </c>
      <c r="I1125">
        <v>5</v>
      </c>
      <c r="J1125">
        <v>4581</v>
      </c>
      <c r="K1125">
        <v>22905</v>
      </c>
      <c r="L1125" t="s">
        <v>63</v>
      </c>
      <c r="M1125" t="s">
        <v>45</v>
      </c>
      <c r="N1125" t="s">
        <v>69</v>
      </c>
    </row>
    <row r="1126" spans="1:14" x14ac:dyDescent="0.25">
      <c r="A1126" t="s">
        <v>3410</v>
      </c>
      <c r="B1126" s="1">
        <v>45850</v>
      </c>
      <c r="C1126" t="s">
        <v>3411</v>
      </c>
      <c r="D1126" t="s">
        <v>3412</v>
      </c>
      <c r="E1126" s="14">
        <v>923148379567</v>
      </c>
      <c r="F1126" t="s">
        <v>92</v>
      </c>
      <c r="G1126" t="s">
        <v>18</v>
      </c>
      <c r="H1126" t="s">
        <v>73</v>
      </c>
      <c r="I1126">
        <v>5</v>
      </c>
      <c r="J1126">
        <v>1781</v>
      </c>
      <c r="K1126">
        <v>8905</v>
      </c>
      <c r="L1126" t="s">
        <v>63</v>
      </c>
      <c r="M1126" t="s">
        <v>93</v>
      </c>
      <c r="N1126" t="s">
        <v>35</v>
      </c>
    </row>
    <row r="1127" spans="1:14" x14ac:dyDescent="0.25">
      <c r="A1127" t="s">
        <v>3413</v>
      </c>
      <c r="B1127" s="1">
        <v>46002</v>
      </c>
      <c r="C1127" t="s">
        <v>3414</v>
      </c>
      <c r="D1127" t="s">
        <v>3415</v>
      </c>
      <c r="E1127" s="14">
        <v>923433657756</v>
      </c>
      <c r="F1127" t="s">
        <v>77</v>
      </c>
      <c r="G1127" t="s">
        <v>18</v>
      </c>
      <c r="H1127" t="s">
        <v>19</v>
      </c>
      <c r="I1127">
        <v>4</v>
      </c>
      <c r="J1127">
        <v>5011</v>
      </c>
      <c r="K1127">
        <v>20044</v>
      </c>
      <c r="L1127" t="s">
        <v>40</v>
      </c>
      <c r="M1127" t="s">
        <v>45</v>
      </c>
      <c r="N1127" t="s">
        <v>22</v>
      </c>
    </row>
    <row r="1128" spans="1:14" x14ac:dyDescent="0.25">
      <c r="A1128" t="s">
        <v>3416</v>
      </c>
      <c r="B1128" s="1">
        <v>45982</v>
      </c>
      <c r="C1128" t="s">
        <v>3417</v>
      </c>
      <c r="D1128" t="s">
        <v>3418</v>
      </c>
      <c r="E1128" s="14">
        <v>923067061987</v>
      </c>
      <c r="F1128" t="s">
        <v>122</v>
      </c>
      <c r="G1128" t="s">
        <v>18</v>
      </c>
      <c r="H1128" t="s">
        <v>73</v>
      </c>
      <c r="I1128">
        <v>2</v>
      </c>
      <c r="J1128">
        <v>5338</v>
      </c>
      <c r="K1128">
        <v>10676</v>
      </c>
      <c r="L1128" t="s">
        <v>26</v>
      </c>
      <c r="M1128" t="s">
        <v>45</v>
      </c>
      <c r="N1128" t="s">
        <v>35</v>
      </c>
    </row>
    <row r="1129" spans="1:14" x14ac:dyDescent="0.25">
      <c r="A1129" t="s">
        <v>3419</v>
      </c>
      <c r="B1129" s="1">
        <v>45832</v>
      </c>
      <c r="C1129" t="s">
        <v>3420</v>
      </c>
      <c r="D1129" t="s">
        <v>3421</v>
      </c>
      <c r="E1129" s="14">
        <v>923364652019</v>
      </c>
      <c r="F1129" t="s">
        <v>92</v>
      </c>
      <c r="G1129" t="s">
        <v>18</v>
      </c>
      <c r="H1129" t="s">
        <v>73</v>
      </c>
      <c r="I1129">
        <v>4</v>
      </c>
      <c r="J1129">
        <v>5603</v>
      </c>
      <c r="K1129">
        <v>22412</v>
      </c>
      <c r="L1129" t="s">
        <v>63</v>
      </c>
      <c r="M1129" t="s">
        <v>45</v>
      </c>
      <c r="N1129" t="s">
        <v>28</v>
      </c>
    </row>
    <row r="1130" spans="1:14" x14ac:dyDescent="0.25">
      <c r="A1130" t="s">
        <v>3422</v>
      </c>
      <c r="B1130" s="1">
        <v>45806</v>
      </c>
      <c r="C1130" t="s">
        <v>3423</v>
      </c>
      <c r="D1130" t="s">
        <v>3424</v>
      </c>
      <c r="E1130" s="14">
        <v>923021417921</v>
      </c>
      <c r="F1130" t="s">
        <v>44</v>
      </c>
      <c r="G1130" t="s">
        <v>18</v>
      </c>
      <c r="H1130" t="s">
        <v>33</v>
      </c>
      <c r="I1130">
        <v>4</v>
      </c>
      <c r="J1130">
        <v>2649</v>
      </c>
      <c r="K1130">
        <v>10596</v>
      </c>
      <c r="L1130" t="s">
        <v>20</v>
      </c>
      <c r="M1130" t="s">
        <v>34</v>
      </c>
      <c r="N1130" t="s">
        <v>69</v>
      </c>
    </row>
    <row r="1131" spans="1:14" x14ac:dyDescent="0.25">
      <c r="A1131" t="s">
        <v>3425</v>
      </c>
      <c r="B1131" s="1">
        <v>45925</v>
      </c>
      <c r="C1131" t="s">
        <v>3426</v>
      </c>
      <c r="D1131" t="s">
        <v>3427</v>
      </c>
      <c r="E1131" s="14">
        <v>923180718407</v>
      </c>
      <c r="F1131" t="s">
        <v>77</v>
      </c>
      <c r="G1131" t="s">
        <v>18</v>
      </c>
      <c r="H1131" t="s">
        <v>73</v>
      </c>
      <c r="I1131">
        <v>2</v>
      </c>
      <c r="J1131">
        <v>5600</v>
      </c>
      <c r="K1131">
        <v>11200</v>
      </c>
      <c r="L1131" t="s">
        <v>68</v>
      </c>
      <c r="M1131" t="s">
        <v>21</v>
      </c>
      <c r="N1131" t="s">
        <v>69</v>
      </c>
    </row>
    <row r="1132" spans="1:14" x14ac:dyDescent="0.25">
      <c r="A1132" t="s">
        <v>3428</v>
      </c>
      <c r="B1132" s="1">
        <v>45822</v>
      </c>
      <c r="C1132" t="s">
        <v>3429</v>
      </c>
      <c r="D1132" t="s">
        <v>3430</v>
      </c>
      <c r="E1132" s="14">
        <v>923032762304</v>
      </c>
      <c r="F1132" t="s">
        <v>92</v>
      </c>
      <c r="G1132" t="s">
        <v>18</v>
      </c>
      <c r="H1132" t="s">
        <v>59</v>
      </c>
      <c r="I1132">
        <v>3</v>
      </c>
      <c r="J1132">
        <v>4708</v>
      </c>
      <c r="K1132">
        <v>14124</v>
      </c>
      <c r="L1132" t="s">
        <v>78</v>
      </c>
      <c r="M1132" t="s">
        <v>82</v>
      </c>
      <c r="N1132" t="s">
        <v>28</v>
      </c>
    </row>
    <row r="1133" spans="1:14" x14ac:dyDescent="0.25">
      <c r="A1133" t="s">
        <v>3431</v>
      </c>
      <c r="B1133" s="1">
        <v>45903</v>
      </c>
      <c r="C1133" t="s">
        <v>3432</v>
      </c>
      <c r="D1133" t="s">
        <v>3433</v>
      </c>
      <c r="E1133" s="14">
        <v>923065647085</v>
      </c>
      <c r="F1133" t="s">
        <v>77</v>
      </c>
      <c r="G1133" t="s">
        <v>18</v>
      </c>
      <c r="H1133" t="s">
        <v>33</v>
      </c>
      <c r="I1133">
        <v>2</v>
      </c>
      <c r="J1133">
        <v>8269</v>
      </c>
      <c r="K1133">
        <v>16538</v>
      </c>
      <c r="L1133" t="s">
        <v>68</v>
      </c>
      <c r="M1133" t="s">
        <v>34</v>
      </c>
      <c r="N1133" t="s">
        <v>69</v>
      </c>
    </row>
    <row r="1134" spans="1:14" x14ac:dyDescent="0.25">
      <c r="A1134" t="s">
        <v>3434</v>
      </c>
      <c r="B1134" s="1">
        <v>45895</v>
      </c>
      <c r="C1134" t="s">
        <v>3435</v>
      </c>
      <c r="D1134" t="s">
        <v>3436</v>
      </c>
      <c r="E1134" s="14">
        <v>923053168702</v>
      </c>
      <c r="F1134" t="s">
        <v>44</v>
      </c>
      <c r="G1134" t="s">
        <v>18</v>
      </c>
      <c r="H1134" t="s">
        <v>59</v>
      </c>
      <c r="I1134">
        <v>5</v>
      </c>
      <c r="J1134">
        <v>13600</v>
      </c>
      <c r="K1134">
        <v>68000</v>
      </c>
      <c r="L1134" t="s">
        <v>63</v>
      </c>
      <c r="M1134" t="s">
        <v>135</v>
      </c>
      <c r="N1134" t="s">
        <v>35</v>
      </c>
    </row>
    <row r="1135" spans="1:14" x14ac:dyDescent="0.25">
      <c r="A1135" t="s">
        <v>3437</v>
      </c>
      <c r="B1135" s="1">
        <v>45804</v>
      </c>
      <c r="C1135" t="s">
        <v>3438</v>
      </c>
      <c r="D1135" t="s">
        <v>3439</v>
      </c>
      <c r="E1135" s="14">
        <v>923401188158</v>
      </c>
      <c r="F1135" t="s">
        <v>17</v>
      </c>
      <c r="G1135" t="s">
        <v>18</v>
      </c>
      <c r="H1135" t="s">
        <v>59</v>
      </c>
      <c r="I1135">
        <v>1</v>
      </c>
      <c r="J1135">
        <v>5347</v>
      </c>
      <c r="K1135">
        <v>5347</v>
      </c>
      <c r="L1135" t="s">
        <v>40</v>
      </c>
      <c r="M1135" t="s">
        <v>82</v>
      </c>
      <c r="N1135" t="s">
        <v>35</v>
      </c>
    </row>
    <row r="1136" spans="1:14" x14ac:dyDescent="0.25">
      <c r="A1136" t="s">
        <v>3440</v>
      </c>
      <c r="B1136" s="1">
        <v>45731</v>
      </c>
      <c r="C1136" t="s">
        <v>3441</v>
      </c>
      <c r="D1136" t="s">
        <v>3442</v>
      </c>
      <c r="E1136" s="14">
        <v>923422671916</v>
      </c>
      <c r="F1136" t="s">
        <v>92</v>
      </c>
      <c r="G1136" t="s">
        <v>18</v>
      </c>
      <c r="H1136" t="s">
        <v>19</v>
      </c>
      <c r="I1136">
        <v>1</v>
      </c>
      <c r="J1136">
        <v>6592</v>
      </c>
      <c r="K1136">
        <v>6592</v>
      </c>
      <c r="L1136" t="s">
        <v>63</v>
      </c>
      <c r="M1136" t="s">
        <v>27</v>
      </c>
      <c r="N1136" t="s">
        <v>35</v>
      </c>
    </row>
    <row r="1137" spans="1:14" x14ac:dyDescent="0.25">
      <c r="A1137" t="s">
        <v>3443</v>
      </c>
      <c r="B1137" s="1">
        <v>45768</v>
      </c>
      <c r="C1137" t="s">
        <v>3444</v>
      </c>
      <c r="D1137" t="s">
        <v>3445</v>
      </c>
      <c r="E1137" s="14">
        <v>923333934490</v>
      </c>
      <c r="F1137" t="s">
        <v>17</v>
      </c>
      <c r="G1137" t="s">
        <v>18</v>
      </c>
      <c r="H1137" t="s">
        <v>39</v>
      </c>
      <c r="I1137">
        <v>2</v>
      </c>
      <c r="J1137">
        <v>7892</v>
      </c>
      <c r="K1137">
        <v>15784</v>
      </c>
      <c r="L1137" t="s">
        <v>40</v>
      </c>
      <c r="M1137" t="s">
        <v>21</v>
      </c>
      <c r="N1137" t="s">
        <v>28</v>
      </c>
    </row>
    <row r="1138" spans="1:14" x14ac:dyDescent="0.25">
      <c r="A1138" t="s">
        <v>3446</v>
      </c>
      <c r="B1138" s="1">
        <v>45914</v>
      </c>
      <c r="C1138" t="s">
        <v>3447</v>
      </c>
      <c r="D1138" t="s">
        <v>3448</v>
      </c>
      <c r="E1138" s="14">
        <v>923295293228</v>
      </c>
      <c r="F1138" t="s">
        <v>67</v>
      </c>
      <c r="G1138" t="s">
        <v>18</v>
      </c>
      <c r="H1138" t="s">
        <v>39</v>
      </c>
      <c r="I1138">
        <v>4</v>
      </c>
      <c r="J1138">
        <v>13465</v>
      </c>
      <c r="K1138">
        <v>53860</v>
      </c>
      <c r="L1138" t="s">
        <v>20</v>
      </c>
      <c r="M1138" t="s">
        <v>135</v>
      </c>
      <c r="N1138" t="s">
        <v>69</v>
      </c>
    </row>
    <row r="1139" spans="1:14" x14ac:dyDescent="0.25">
      <c r="A1139" t="s">
        <v>3449</v>
      </c>
      <c r="B1139" s="1">
        <v>46055</v>
      </c>
      <c r="C1139" t="s">
        <v>3450</v>
      </c>
      <c r="D1139" t="s">
        <v>3451</v>
      </c>
      <c r="E1139" s="14">
        <v>923134765541</v>
      </c>
      <c r="F1139" t="s">
        <v>67</v>
      </c>
      <c r="G1139" t="s">
        <v>18</v>
      </c>
      <c r="H1139" t="s">
        <v>19</v>
      </c>
      <c r="I1139">
        <v>3</v>
      </c>
      <c r="J1139">
        <v>6554</v>
      </c>
      <c r="K1139">
        <v>19662</v>
      </c>
      <c r="L1139" t="s">
        <v>40</v>
      </c>
      <c r="M1139" t="s">
        <v>82</v>
      </c>
      <c r="N1139" t="s">
        <v>35</v>
      </c>
    </row>
    <row r="1140" spans="1:14" x14ac:dyDescent="0.25">
      <c r="A1140" t="s">
        <v>3452</v>
      </c>
      <c r="B1140" s="1">
        <v>45778</v>
      </c>
      <c r="C1140" t="s">
        <v>3453</v>
      </c>
      <c r="D1140" t="s">
        <v>3454</v>
      </c>
      <c r="E1140" s="14">
        <v>923255338090</v>
      </c>
      <c r="F1140" t="s">
        <v>44</v>
      </c>
      <c r="G1140" t="s">
        <v>18</v>
      </c>
      <c r="H1140" t="s">
        <v>19</v>
      </c>
      <c r="I1140">
        <v>4</v>
      </c>
      <c r="J1140">
        <v>10856</v>
      </c>
      <c r="K1140">
        <v>43424</v>
      </c>
      <c r="L1140" t="s">
        <v>63</v>
      </c>
      <c r="M1140" t="s">
        <v>21</v>
      </c>
      <c r="N1140" t="s">
        <v>69</v>
      </c>
    </row>
    <row r="1141" spans="1:14" x14ac:dyDescent="0.25">
      <c r="A1141" t="s">
        <v>3455</v>
      </c>
      <c r="B1141" s="1">
        <v>45999</v>
      </c>
      <c r="C1141" t="s">
        <v>3456</v>
      </c>
      <c r="D1141" t="s">
        <v>3457</v>
      </c>
      <c r="E1141" s="14">
        <v>923419554568</v>
      </c>
      <c r="F1141" t="s">
        <v>32</v>
      </c>
      <c r="G1141" t="s">
        <v>18</v>
      </c>
      <c r="H1141" t="s">
        <v>73</v>
      </c>
      <c r="I1141">
        <v>1</v>
      </c>
      <c r="J1141">
        <v>10444</v>
      </c>
      <c r="K1141">
        <v>10444</v>
      </c>
      <c r="L1141" t="s">
        <v>68</v>
      </c>
      <c r="M1141" t="s">
        <v>45</v>
      </c>
      <c r="N1141" t="s">
        <v>69</v>
      </c>
    </row>
    <row r="1142" spans="1:14" x14ac:dyDescent="0.25">
      <c r="A1142" t="s">
        <v>3458</v>
      </c>
      <c r="B1142" s="1">
        <v>45785</v>
      </c>
      <c r="C1142" t="s">
        <v>3459</v>
      </c>
      <c r="D1142" t="s">
        <v>3460</v>
      </c>
      <c r="E1142" s="14">
        <v>923074939242</v>
      </c>
      <c r="F1142" t="s">
        <v>77</v>
      </c>
      <c r="G1142" t="s">
        <v>18</v>
      </c>
      <c r="H1142" t="s">
        <v>73</v>
      </c>
      <c r="I1142">
        <v>3</v>
      </c>
      <c r="J1142">
        <v>6050</v>
      </c>
      <c r="K1142">
        <v>18150</v>
      </c>
      <c r="L1142" t="s">
        <v>40</v>
      </c>
      <c r="M1142" t="s">
        <v>34</v>
      </c>
      <c r="N1142" t="s">
        <v>69</v>
      </c>
    </row>
    <row r="1143" spans="1:14" x14ac:dyDescent="0.25">
      <c r="A1143" t="s">
        <v>3461</v>
      </c>
      <c r="B1143" s="1">
        <v>45752</v>
      </c>
      <c r="C1143" t="s">
        <v>3462</v>
      </c>
      <c r="D1143" t="s">
        <v>3463</v>
      </c>
      <c r="E1143" s="14">
        <v>923095057135</v>
      </c>
      <c r="F1143" t="s">
        <v>49</v>
      </c>
      <c r="G1143" t="s">
        <v>18</v>
      </c>
      <c r="H1143" t="s">
        <v>50</v>
      </c>
      <c r="I1143">
        <v>2</v>
      </c>
      <c r="J1143">
        <v>2382</v>
      </c>
      <c r="K1143">
        <v>4764</v>
      </c>
      <c r="L1143" t="s">
        <v>68</v>
      </c>
      <c r="M1143" t="s">
        <v>135</v>
      </c>
      <c r="N1143" t="s">
        <v>35</v>
      </c>
    </row>
    <row r="1144" spans="1:14" x14ac:dyDescent="0.25">
      <c r="A1144" t="s">
        <v>3464</v>
      </c>
      <c r="B1144" s="1">
        <v>45959</v>
      </c>
      <c r="C1144" t="s">
        <v>3465</v>
      </c>
      <c r="D1144" t="s">
        <v>3466</v>
      </c>
      <c r="E1144" s="14">
        <v>923164513693</v>
      </c>
      <c r="F1144" t="s">
        <v>17</v>
      </c>
      <c r="G1144" t="s">
        <v>18</v>
      </c>
      <c r="H1144" t="s">
        <v>19</v>
      </c>
      <c r="I1144">
        <v>1</v>
      </c>
      <c r="J1144">
        <v>1850</v>
      </c>
      <c r="K1144">
        <v>1850</v>
      </c>
      <c r="L1144" t="s">
        <v>26</v>
      </c>
      <c r="M1144" t="s">
        <v>45</v>
      </c>
      <c r="N1144" t="s">
        <v>22</v>
      </c>
    </row>
    <row r="1145" spans="1:14" x14ac:dyDescent="0.25">
      <c r="A1145" t="s">
        <v>3467</v>
      </c>
      <c r="B1145" s="1">
        <v>45808</v>
      </c>
      <c r="C1145" t="s">
        <v>1873</v>
      </c>
      <c r="D1145" t="s">
        <v>3468</v>
      </c>
      <c r="E1145" s="14">
        <v>923022935751</v>
      </c>
      <c r="F1145" t="s">
        <v>54</v>
      </c>
      <c r="G1145" t="s">
        <v>18</v>
      </c>
      <c r="H1145" t="s">
        <v>39</v>
      </c>
      <c r="I1145">
        <v>3</v>
      </c>
      <c r="J1145">
        <v>10495</v>
      </c>
      <c r="K1145">
        <v>31485</v>
      </c>
      <c r="L1145" t="s">
        <v>78</v>
      </c>
      <c r="M1145" t="s">
        <v>34</v>
      </c>
      <c r="N1145" t="s">
        <v>28</v>
      </c>
    </row>
    <row r="1146" spans="1:14" x14ac:dyDescent="0.25">
      <c r="A1146" t="s">
        <v>3469</v>
      </c>
      <c r="B1146" s="1">
        <v>45798</v>
      </c>
      <c r="C1146" t="s">
        <v>3470</v>
      </c>
      <c r="D1146" t="s">
        <v>3471</v>
      </c>
      <c r="E1146" s="14">
        <v>923347860342</v>
      </c>
      <c r="F1146" t="s">
        <v>67</v>
      </c>
      <c r="G1146" t="s">
        <v>18</v>
      </c>
      <c r="H1146" t="s">
        <v>50</v>
      </c>
      <c r="I1146">
        <v>3</v>
      </c>
      <c r="J1146">
        <v>14211</v>
      </c>
      <c r="K1146">
        <v>42633</v>
      </c>
      <c r="L1146" t="s">
        <v>68</v>
      </c>
      <c r="M1146" t="s">
        <v>34</v>
      </c>
      <c r="N1146" t="s">
        <v>28</v>
      </c>
    </row>
    <row r="1147" spans="1:14" x14ac:dyDescent="0.25">
      <c r="A1147" t="s">
        <v>3472</v>
      </c>
      <c r="B1147" s="1">
        <v>45900</v>
      </c>
      <c r="C1147" t="s">
        <v>3473</v>
      </c>
      <c r="D1147" t="s">
        <v>3474</v>
      </c>
      <c r="E1147" s="14">
        <v>923444640633</v>
      </c>
      <c r="F1147" t="s">
        <v>106</v>
      </c>
      <c r="G1147" t="s">
        <v>18</v>
      </c>
      <c r="H1147" t="s">
        <v>33</v>
      </c>
      <c r="I1147">
        <v>3</v>
      </c>
      <c r="J1147">
        <v>11496</v>
      </c>
      <c r="K1147">
        <v>34488</v>
      </c>
      <c r="L1147" t="s">
        <v>20</v>
      </c>
      <c r="M1147" t="s">
        <v>45</v>
      </c>
      <c r="N1147" t="s">
        <v>28</v>
      </c>
    </row>
    <row r="1148" spans="1:14" x14ac:dyDescent="0.25">
      <c r="A1148" t="s">
        <v>3475</v>
      </c>
      <c r="B1148" s="1">
        <v>45999</v>
      </c>
      <c r="C1148" t="s">
        <v>3476</v>
      </c>
      <c r="D1148" t="s">
        <v>3477</v>
      </c>
      <c r="E1148" s="14">
        <v>923216201869</v>
      </c>
      <c r="F1148" t="s">
        <v>44</v>
      </c>
      <c r="G1148" t="s">
        <v>18</v>
      </c>
      <c r="H1148" t="s">
        <v>39</v>
      </c>
      <c r="I1148">
        <v>3</v>
      </c>
      <c r="J1148">
        <v>11188</v>
      </c>
      <c r="K1148">
        <v>33564</v>
      </c>
      <c r="L1148" t="s">
        <v>68</v>
      </c>
      <c r="M1148" t="s">
        <v>34</v>
      </c>
      <c r="N1148" t="s">
        <v>69</v>
      </c>
    </row>
    <row r="1149" spans="1:14" x14ac:dyDescent="0.25">
      <c r="A1149" t="s">
        <v>3478</v>
      </c>
      <c r="B1149" s="1">
        <v>45823</v>
      </c>
      <c r="C1149" t="s">
        <v>3479</v>
      </c>
      <c r="D1149" t="s">
        <v>3480</v>
      </c>
      <c r="E1149" s="14">
        <v>923437891650</v>
      </c>
      <c r="F1149" t="s">
        <v>32</v>
      </c>
      <c r="G1149" t="s">
        <v>18</v>
      </c>
      <c r="H1149" t="s">
        <v>59</v>
      </c>
      <c r="I1149">
        <v>1</v>
      </c>
      <c r="J1149">
        <v>5655</v>
      </c>
      <c r="K1149">
        <v>5655</v>
      </c>
      <c r="L1149" t="s">
        <v>20</v>
      </c>
      <c r="M1149" t="s">
        <v>27</v>
      </c>
      <c r="N1149" t="s">
        <v>22</v>
      </c>
    </row>
    <row r="1150" spans="1:14" x14ac:dyDescent="0.25">
      <c r="A1150" t="s">
        <v>3481</v>
      </c>
      <c r="B1150" s="1">
        <v>45721</v>
      </c>
      <c r="C1150" t="s">
        <v>3482</v>
      </c>
      <c r="D1150" t="s">
        <v>3483</v>
      </c>
      <c r="E1150" s="14">
        <v>923060855212</v>
      </c>
      <c r="F1150" t="s">
        <v>106</v>
      </c>
      <c r="G1150" t="s">
        <v>18</v>
      </c>
      <c r="H1150" t="s">
        <v>19</v>
      </c>
      <c r="I1150">
        <v>2</v>
      </c>
      <c r="J1150">
        <v>10319</v>
      </c>
      <c r="K1150">
        <v>20638</v>
      </c>
      <c r="L1150" t="s">
        <v>63</v>
      </c>
      <c r="M1150" t="s">
        <v>27</v>
      </c>
      <c r="N1150" t="s">
        <v>35</v>
      </c>
    </row>
    <row r="1151" spans="1:14" x14ac:dyDescent="0.25">
      <c r="A1151" t="s">
        <v>3484</v>
      </c>
      <c r="B1151" s="1">
        <v>45725</v>
      </c>
      <c r="C1151" t="s">
        <v>3485</v>
      </c>
      <c r="D1151" t="s">
        <v>3486</v>
      </c>
      <c r="E1151" s="14">
        <v>923361537277</v>
      </c>
      <c r="F1151" t="s">
        <v>17</v>
      </c>
      <c r="G1151" t="s">
        <v>18</v>
      </c>
      <c r="H1151" t="s">
        <v>39</v>
      </c>
      <c r="I1151">
        <v>5</v>
      </c>
      <c r="J1151">
        <v>13552</v>
      </c>
      <c r="K1151">
        <v>67760</v>
      </c>
      <c r="L1151" t="s">
        <v>26</v>
      </c>
      <c r="M1151" t="s">
        <v>21</v>
      </c>
      <c r="N1151" t="s">
        <v>22</v>
      </c>
    </row>
    <row r="1152" spans="1:14" x14ac:dyDescent="0.25">
      <c r="A1152" t="s">
        <v>3487</v>
      </c>
      <c r="B1152" s="1">
        <v>46025</v>
      </c>
      <c r="C1152" t="s">
        <v>3488</v>
      </c>
      <c r="D1152" t="s">
        <v>3489</v>
      </c>
      <c r="E1152" s="14">
        <v>923338360373</v>
      </c>
      <c r="F1152" t="s">
        <v>106</v>
      </c>
      <c r="G1152" t="s">
        <v>18</v>
      </c>
      <c r="H1152" t="s">
        <v>73</v>
      </c>
      <c r="I1152">
        <v>3</v>
      </c>
      <c r="J1152">
        <v>4010</v>
      </c>
      <c r="K1152">
        <v>12030</v>
      </c>
      <c r="L1152" t="s">
        <v>63</v>
      </c>
      <c r="M1152" t="s">
        <v>135</v>
      </c>
      <c r="N1152" t="s">
        <v>28</v>
      </c>
    </row>
    <row r="1153" spans="1:14" x14ac:dyDescent="0.25">
      <c r="A1153" t="s">
        <v>3490</v>
      </c>
      <c r="B1153" s="1">
        <v>45885</v>
      </c>
      <c r="C1153" t="s">
        <v>3491</v>
      </c>
      <c r="D1153" t="s">
        <v>3492</v>
      </c>
      <c r="E1153" s="14">
        <v>923481678382</v>
      </c>
      <c r="F1153" t="s">
        <v>92</v>
      </c>
      <c r="G1153" t="s">
        <v>18</v>
      </c>
      <c r="H1153" t="s">
        <v>19</v>
      </c>
      <c r="I1153">
        <v>1</v>
      </c>
      <c r="J1153">
        <v>3178</v>
      </c>
      <c r="K1153">
        <v>3178</v>
      </c>
      <c r="L1153" t="s">
        <v>68</v>
      </c>
      <c r="M1153" t="s">
        <v>55</v>
      </c>
      <c r="N1153" t="s">
        <v>28</v>
      </c>
    </row>
    <row r="1154" spans="1:14" x14ac:dyDescent="0.25">
      <c r="A1154" t="s">
        <v>3493</v>
      </c>
      <c r="B1154" s="1">
        <v>45826</v>
      </c>
      <c r="C1154" t="s">
        <v>3494</v>
      </c>
      <c r="D1154" t="s">
        <v>3495</v>
      </c>
      <c r="E1154" s="14">
        <v>923412732066</v>
      </c>
      <c r="F1154" t="s">
        <v>122</v>
      </c>
      <c r="G1154" t="s">
        <v>18</v>
      </c>
      <c r="H1154" t="s">
        <v>50</v>
      </c>
      <c r="I1154">
        <v>4</v>
      </c>
      <c r="J1154">
        <v>10177</v>
      </c>
      <c r="K1154">
        <v>40708</v>
      </c>
      <c r="L1154" t="s">
        <v>78</v>
      </c>
      <c r="M1154" t="s">
        <v>27</v>
      </c>
      <c r="N1154" t="s">
        <v>28</v>
      </c>
    </row>
    <row r="1155" spans="1:14" x14ac:dyDescent="0.25">
      <c r="A1155" t="s">
        <v>3496</v>
      </c>
      <c r="B1155" s="1">
        <v>45885</v>
      </c>
      <c r="C1155" t="s">
        <v>3497</v>
      </c>
      <c r="D1155" t="s">
        <v>3498</v>
      </c>
      <c r="E1155" s="14">
        <v>923098673459</v>
      </c>
      <c r="F1155" t="s">
        <v>67</v>
      </c>
      <c r="G1155" t="s">
        <v>18</v>
      </c>
      <c r="H1155" t="s">
        <v>19</v>
      </c>
      <c r="I1155">
        <v>3</v>
      </c>
      <c r="J1155">
        <v>3930</v>
      </c>
      <c r="K1155">
        <v>11790</v>
      </c>
      <c r="L1155" t="s">
        <v>63</v>
      </c>
      <c r="M1155" t="s">
        <v>34</v>
      </c>
      <c r="N1155" t="s">
        <v>69</v>
      </c>
    </row>
    <row r="1156" spans="1:14" x14ac:dyDescent="0.25">
      <c r="A1156" t="s">
        <v>3499</v>
      </c>
      <c r="B1156" s="1">
        <v>45896</v>
      </c>
      <c r="C1156" t="s">
        <v>3500</v>
      </c>
      <c r="D1156" t="s">
        <v>3501</v>
      </c>
      <c r="E1156" s="14">
        <v>923138305578</v>
      </c>
      <c r="F1156" t="s">
        <v>67</v>
      </c>
      <c r="G1156" t="s">
        <v>18</v>
      </c>
      <c r="H1156" t="s">
        <v>33</v>
      </c>
      <c r="I1156">
        <v>4</v>
      </c>
      <c r="J1156">
        <v>8818</v>
      </c>
      <c r="K1156">
        <v>35272</v>
      </c>
      <c r="L1156" t="s">
        <v>63</v>
      </c>
      <c r="M1156" t="s">
        <v>82</v>
      </c>
      <c r="N1156" t="s">
        <v>35</v>
      </c>
    </row>
    <row r="1157" spans="1:14" x14ac:dyDescent="0.25">
      <c r="A1157" t="s">
        <v>3502</v>
      </c>
      <c r="B1157" s="1">
        <v>45962</v>
      </c>
      <c r="C1157" t="s">
        <v>3503</v>
      </c>
      <c r="D1157" t="s">
        <v>3504</v>
      </c>
      <c r="E1157" s="14">
        <v>923050217927</v>
      </c>
      <c r="F1157" t="s">
        <v>122</v>
      </c>
      <c r="G1157" t="s">
        <v>18</v>
      </c>
      <c r="H1157" t="s">
        <v>73</v>
      </c>
      <c r="I1157">
        <v>4</v>
      </c>
      <c r="J1157">
        <v>13679</v>
      </c>
      <c r="K1157">
        <v>54716</v>
      </c>
      <c r="L1157" t="s">
        <v>63</v>
      </c>
      <c r="M1157" t="s">
        <v>55</v>
      </c>
      <c r="N1157" t="s">
        <v>28</v>
      </c>
    </row>
    <row r="1158" spans="1:14" x14ac:dyDescent="0.25">
      <c r="A1158" t="s">
        <v>3505</v>
      </c>
      <c r="B1158" s="1">
        <v>45845</v>
      </c>
      <c r="C1158" t="s">
        <v>3506</v>
      </c>
      <c r="D1158" t="s">
        <v>3507</v>
      </c>
      <c r="E1158" s="14">
        <v>923334987222</v>
      </c>
      <c r="F1158" t="s">
        <v>67</v>
      </c>
      <c r="G1158" t="s">
        <v>18</v>
      </c>
      <c r="H1158" t="s">
        <v>19</v>
      </c>
      <c r="I1158">
        <v>1</v>
      </c>
      <c r="J1158">
        <v>5133</v>
      </c>
      <c r="K1158">
        <v>5133</v>
      </c>
      <c r="L1158" t="s">
        <v>63</v>
      </c>
      <c r="M1158" t="s">
        <v>55</v>
      </c>
      <c r="N1158" t="s">
        <v>69</v>
      </c>
    </row>
    <row r="1159" spans="1:14" x14ac:dyDescent="0.25">
      <c r="A1159" t="s">
        <v>3508</v>
      </c>
      <c r="B1159" s="1">
        <v>45776</v>
      </c>
      <c r="C1159" t="s">
        <v>3509</v>
      </c>
      <c r="D1159" t="s">
        <v>3510</v>
      </c>
      <c r="E1159" s="14">
        <v>923330106625</v>
      </c>
      <c r="F1159" t="s">
        <v>54</v>
      </c>
      <c r="G1159" t="s">
        <v>18</v>
      </c>
      <c r="H1159" t="s">
        <v>33</v>
      </c>
      <c r="I1159">
        <v>1</v>
      </c>
      <c r="J1159">
        <v>14809</v>
      </c>
      <c r="K1159">
        <v>14809</v>
      </c>
      <c r="L1159" t="s">
        <v>20</v>
      </c>
      <c r="M1159" t="s">
        <v>45</v>
      </c>
      <c r="N1159" t="s">
        <v>35</v>
      </c>
    </row>
    <row r="1160" spans="1:14" x14ac:dyDescent="0.25">
      <c r="A1160" t="s">
        <v>3511</v>
      </c>
      <c r="B1160" s="1">
        <v>46022</v>
      </c>
      <c r="C1160" t="s">
        <v>3512</v>
      </c>
      <c r="D1160" t="s">
        <v>3513</v>
      </c>
      <c r="E1160" s="14">
        <v>923110226337</v>
      </c>
      <c r="F1160" t="s">
        <v>92</v>
      </c>
      <c r="G1160" t="s">
        <v>18</v>
      </c>
      <c r="H1160" t="s">
        <v>73</v>
      </c>
      <c r="I1160">
        <v>4</v>
      </c>
      <c r="J1160">
        <v>12880</v>
      </c>
      <c r="K1160">
        <v>51520</v>
      </c>
      <c r="L1160" t="s">
        <v>78</v>
      </c>
      <c r="M1160" t="s">
        <v>45</v>
      </c>
      <c r="N1160" t="s">
        <v>28</v>
      </c>
    </row>
    <row r="1161" spans="1:14" x14ac:dyDescent="0.25">
      <c r="A1161" t="s">
        <v>3514</v>
      </c>
      <c r="B1161" s="1">
        <v>45813</v>
      </c>
      <c r="C1161" t="s">
        <v>3515</v>
      </c>
      <c r="D1161" t="s">
        <v>3516</v>
      </c>
      <c r="E1161" s="14">
        <v>923401650196</v>
      </c>
      <c r="F1161" t="s">
        <v>44</v>
      </c>
      <c r="G1161" t="s">
        <v>18</v>
      </c>
      <c r="H1161" t="s">
        <v>59</v>
      </c>
      <c r="I1161">
        <v>1</v>
      </c>
      <c r="J1161">
        <v>7374</v>
      </c>
      <c r="K1161">
        <v>7374</v>
      </c>
      <c r="L1161" t="s">
        <v>78</v>
      </c>
      <c r="M1161" t="s">
        <v>34</v>
      </c>
      <c r="N1161" t="s">
        <v>22</v>
      </c>
    </row>
    <row r="1162" spans="1:14" x14ac:dyDescent="0.25">
      <c r="A1162" t="s">
        <v>3517</v>
      </c>
      <c r="B1162" s="1">
        <v>45862</v>
      </c>
      <c r="C1162" t="s">
        <v>3518</v>
      </c>
      <c r="D1162" t="s">
        <v>3519</v>
      </c>
      <c r="E1162" s="14">
        <v>923024166997</v>
      </c>
      <c r="F1162" t="s">
        <v>77</v>
      </c>
      <c r="G1162" t="s">
        <v>18</v>
      </c>
      <c r="H1162" t="s">
        <v>59</v>
      </c>
      <c r="I1162">
        <v>5</v>
      </c>
      <c r="J1162">
        <v>8703</v>
      </c>
      <c r="K1162">
        <v>43515</v>
      </c>
      <c r="L1162" t="s">
        <v>40</v>
      </c>
      <c r="M1162" t="s">
        <v>135</v>
      </c>
      <c r="N1162" t="s">
        <v>69</v>
      </c>
    </row>
    <row r="1163" spans="1:14" x14ac:dyDescent="0.25">
      <c r="A1163" t="s">
        <v>3520</v>
      </c>
      <c r="B1163" s="1">
        <v>45967</v>
      </c>
      <c r="C1163" t="s">
        <v>3521</v>
      </c>
      <c r="D1163" t="s">
        <v>3522</v>
      </c>
      <c r="E1163" s="14">
        <v>923079846577</v>
      </c>
      <c r="F1163" t="s">
        <v>77</v>
      </c>
      <c r="G1163" t="s">
        <v>18</v>
      </c>
      <c r="H1163" t="s">
        <v>59</v>
      </c>
      <c r="I1163">
        <v>5</v>
      </c>
      <c r="J1163">
        <v>6625</v>
      </c>
      <c r="K1163">
        <v>33125</v>
      </c>
      <c r="L1163" t="s">
        <v>68</v>
      </c>
      <c r="M1163" t="s">
        <v>34</v>
      </c>
      <c r="N1163" t="s">
        <v>28</v>
      </c>
    </row>
    <row r="1164" spans="1:14" x14ac:dyDescent="0.25">
      <c r="A1164" t="s">
        <v>3523</v>
      </c>
      <c r="B1164" s="1">
        <v>46030</v>
      </c>
      <c r="C1164" t="s">
        <v>3524</v>
      </c>
      <c r="D1164" t="s">
        <v>3525</v>
      </c>
      <c r="E1164" s="14">
        <v>923275118322</v>
      </c>
      <c r="F1164" t="s">
        <v>67</v>
      </c>
      <c r="G1164" t="s">
        <v>18</v>
      </c>
      <c r="H1164" t="s">
        <v>50</v>
      </c>
      <c r="I1164">
        <v>1</v>
      </c>
      <c r="J1164">
        <v>12440</v>
      </c>
      <c r="K1164">
        <v>12440</v>
      </c>
      <c r="L1164" t="s">
        <v>63</v>
      </c>
      <c r="M1164" t="s">
        <v>27</v>
      </c>
      <c r="N1164" t="s">
        <v>22</v>
      </c>
    </row>
    <row r="1165" spans="1:14" x14ac:dyDescent="0.25">
      <c r="A1165" t="s">
        <v>3526</v>
      </c>
      <c r="B1165" s="1">
        <v>45985</v>
      </c>
      <c r="C1165" t="s">
        <v>3527</v>
      </c>
      <c r="D1165" t="s">
        <v>3528</v>
      </c>
      <c r="E1165" s="14">
        <v>923091818893</v>
      </c>
      <c r="F1165" t="s">
        <v>92</v>
      </c>
      <c r="G1165" t="s">
        <v>18</v>
      </c>
      <c r="H1165" t="s">
        <v>73</v>
      </c>
      <c r="I1165">
        <v>5</v>
      </c>
      <c r="J1165">
        <v>1175</v>
      </c>
      <c r="K1165">
        <v>5875</v>
      </c>
      <c r="L1165" t="s">
        <v>26</v>
      </c>
      <c r="M1165" t="s">
        <v>34</v>
      </c>
      <c r="N1165" t="s">
        <v>35</v>
      </c>
    </row>
    <row r="1166" spans="1:14" x14ac:dyDescent="0.25">
      <c r="A1166" t="s">
        <v>3529</v>
      </c>
      <c r="B1166" s="1">
        <v>45950</v>
      </c>
      <c r="C1166" t="s">
        <v>3530</v>
      </c>
      <c r="D1166" t="s">
        <v>3531</v>
      </c>
      <c r="E1166" s="14">
        <v>923325500249</v>
      </c>
      <c r="F1166" t="s">
        <v>67</v>
      </c>
      <c r="G1166" t="s">
        <v>18</v>
      </c>
      <c r="H1166" t="s">
        <v>73</v>
      </c>
      <c r="I1166">
        <v>2</v>
      </c>
      <c r="J1166">
        <v>8412</v>
      </c>
      <c r="K1166">
        <v>16824</v>
      </c>
      <c r="L1166" t="s">
        <v>20</v>
      </c>
      <c r="M1166" t="s">
        <v>21</v>
      </c>
      <c r="N1166" t="s">
        <v>69</v>
      </c>
    </row>
    <row r="1167" spans="1:14" x14ac:dyDescent="0.25">
      <c r="A1167" t="s">
        <v>3532</v>
      </c>
      <c r="B1167" s="1">
        <v>45795</v>
      </c>
      <c r="C1167" t="s">
        <v>344</v>
      </c>
      <c r="D1167" t="s">
        <v>3533</v>
      </c>
      <c r="E1167" s="14">
        <v>923102283358</v>
      </c>
      <c r="F1167" t="s">
        <v>92</v>
      </c>
      <c r="G1167" t="s">
        <v>18</v>
      </c>
      <c r="H1167" t="s">
        <v>59</v>
      </c>
      <c r="I1167">
        <v>5</v>
      </c>
      <c r="J1167">
        <v>10888</v>
      </c>
      <c r="K1167">
        <v>54440</v>
      </c>
      <c r="L1167" t="s">
        <v>63</v>
      </c>
      <c r="M1167" t="s">
        <v>34</v>
      </c>
      <c r="N1167" t="s">
        <v>28</v>
      </c>
    </row>
    <row r="1168" spans="1:14" x14ac:dyDescent="0.25">
      <c r="A1168" t="s">
        <v>3534</v>
      </c>
      <c r="B1168" s="1">
        <v>45822</v>
      </c>
      <c r="C1168" t="s">
        <v>3535</v>
      </c>
      <c r="D1168" t="s">
        <v>3536</v>
      </c>
      <c r="E1168" s="14">
        <v>923027886433</v>
      </c>
      <c r="F1168" t="s">
        <v>106</v>
      </c>
      <c r="G1168" t="s">
        <v>18</v>
      </c>
      <c r="H1168" t="s">
        <v>73</v>
      </c>
      <c r="I1168">
        <v>4</v>
      </c>
      <c r="J1168">
        <v>12785</v>
      </c>
      <c r="K1168">
        <v>51140</v>
      </c>
      <c r="L1168" t="s">
        <v>68</v>
      </c>
      <c r="M1168" t="s">
        <v>34</v>
      </c>
      <c r="N1168" t="s">
        <v>22</v>
      </c>
    </row>
    <row r="1169" spans="1:14" x14ac:dyDescent="0.25">
      <c r="A1169" t="s">
        <v>3537</v>
      </c>
      <c r="B1169" s="1">
        <v>45863</v>
      </c>
      <c r="C1169" t="s">
        <v>3538</v>
      </c>
      <c r="D1169" t="s">
        <v>3539</v>
      </c>
      <c r="E1169" s="14">
        <v>923075630906</v>
      </c>
      <c r="F1169" t="s">
        <v>54</v>
      </c>
      <c r="G1169" t="s">
        <v>18</v>
      </c>
      <c r="H1169" t="s">
        <v>19</v>
      </c>
      <c r="I1169">
        <v>5</v>
      </c>
      <c r="J1169">
        <v>12522</v>
      </c>
      <c r="K1169">
        <v>62610</v>
      </c>
      <c r="L1169" t="s">
        <v>20</v>
      </c>
      <c r="M1169" t="s">
        <v>45</v>
      </c>
      <c r="N1169" t="s">
        <v>22</v>
      </c>
    </row>
    <row r="1170" spans="1:14" x14ac:dyDescent="0.25">
      <c r="A1170" t="s">
        <v>3540</v>
      </c>
      <c r="B1170" s="1">
        <v>45871</v>
      </c>
      <c r="C1170" t="s">
        <v>3541</v>
      </c>
      <c r="D1170" t="s">
        <v>3542</v>
      </c>
      <c r="E1170" s="14">
        <v>923080086296</v>
      </c>
      <c r="F1170" t="s">
        <v>92</v>
      </c>
      <c r="G1170" t="s">
        <v>18</v>
      </c>
      <c r="H1170" t="s">
        <v>59</v>
      </c>
      <c r="I1170">
        <v>3</v>
      </c>
      <c r="J1170">
        <v>4042</v>
      </c>
      <c r="K1170">
        <v>12126</v>
      </c>
      <c r="L1170" t="s">
        <v>68</v>
      </c>
      <c r="M1170" t="s">
        <v>34</v>
      </c>
      <c r="N1170" t="s">
        <v>28</v>
      </c>
    </row>
    <row r="1171" spans="1:14" x14ac:dyDescent="0.25">
      <c r="A1171" t="s">
        <v>3543</v>
      </c>
      <c r="B1171" s="1">
        <v>45783</v>
      </c>
      <c r="C1171" t="s">
        <v>3544</v>
      </c>
      <c r="D1171" t="s">
        <v>3545</v>
      </c>
      <c r="E1171" s="14">
        <v>923265252537</v>
      </c>
      <c r="F1171" t="s">
        <v>44</v>
      </c>
      <c r="G1171" t="s">
        <v>18</v>
      </c>
      <c r="H1171" t="s">
        <v>33</v>
      </c>
      <c r="I1171">
        <v>1</v>
      </c>
      <c r="J1171">
        <v>10400</v>
      </c>
      <c r="K1171">
        <v>10400</v>
      </c>
      <c r="L1171" t="s">
        <v>68</v>
      </c>
      <c r="M1171" t="s">
        <v>27</v>
      </c>
      <c r="N1171" t="s">
        <v>28</v>
      </c>
    </row>
    <row r="1172" spans="1:14" x14ac:dyDescent="0.25">
      <c r="A1172" t="s">
        <v>3546</v>
      </c>
      <c r="B1172" s="1">
        <v>45893</v>
      </c>
      <c r="C1172" t="s">
        <v>3547</v>
      </c>
      <c r="D1172" t="s">
        <v>3548</v>
      </c>
      <c r="E1172" s="14">
        <v>923165095268</v>
      </c>
      <c r="F1172" t="s">
        <v>17</v>
      </c>
      <c r="G1172" t="s">
        <v>18</v>
      </c>
      <c r="H1172" t="s">
        <v>50</v>
      </c>
      <c r="I1172">
        <v>1</v>
      </c>
      <c r="J1172">
        <v>4074</v>
      </c>
      <c r="K1172">
        <v>4074</v>
      </c>
      <c r="L1172" t="s">
        <v>78</v>
      </c>
      <c r="M1172" t="s">
        <v>55</v>
      </c>
      <c r="N1172" t="s">
        <v>22</v>
      </c>
    </row>
    <row r="1173" spans="1:14" x14ac:dyDescent="0.25">
      <c r="A1173" t="s">
        <v>3549</v>
      </c>
      <c r="B1173" s="1">
        <v>46014</v>
      </c>
      <c r="C1173" t="s">
        <v>3550</v>
      </c>
      <c r="D1173" t="s">
        <v>3551</v>
      </c>
      <c r="E1173" s="14">
        <v>923210685513</v>
      </c>
      <c r="F1173" t="s">
        <v>17</v>
      </c>
      <c r="G1173" t="s">
        <v>18</v>
      </c>
      <c r="H1173" t="s">
        <v>33</v>
      </c>
      <c r="I1173">
        <v>2</v>
      </c>
      <c r="J1173">
        <v>2321</v>
      </c>
      <c r="K1173">
        <v>4642</v>
      </c>
      <c r="L1173" t="s">
        <v>26</v>
      </c>
      <c r="M1173" t="s">
        <v>55</v>
      </c>
      <c r="N1173" t="s">
        <v>69</v>
      </c>
    </row>
    <row r="1174" spans="1:14" x14ac:dyDescent="0.25">
      <c r="A1174" t="s">
        <v>3552</v>
      </c>
      <c r="B1174" s="1">
        <v>45754</v>
      </c>
      <c r="C1174" t="s">
        <v>3553</v>
      </c>
      <c r="D1174" t="s">
        <v>3554</v>
      </c>
      <c r="E1174" s="14">
        <v>923243373952</v>
      </c>
      <c r="F1174" t="s">
        <v>44</v>
      </c>
      <c r="G1174" t="s">
        <v>18</v>
      </c>
      <c r="H1174" t="s">
        <v>59</v>
      </c>
      <c r="I1174">
        <v>1</v>
      </c>
      <c r="J1174">
        <v>7833</v>
      </c>
      <c r="K1174">
        <v>7833</v>
      </c>
      <c r="L1174" t="s">
        <v>40</v>
      </c>
      <c r="M1174" t="s">
        <v>21</v>
      </c>
      <c r="N1174" t="s">
        <v>35</v>
      </c>
    </row>
    <row r="1175" spans="1:14" x14ac:dyDescent="0.25">
      <c r="A1175" t="s">
        <v>3555</v>
      </c>
      <c r="B1175" s="1">
        <v>45873</v>
      </c>
      <c r="C1175" t="s">
        <v>1963</v>
      </c>
      <c r="D1175" t="s">
        <v>3556</v>
      </c>
      <c r="E1175" s="14">
        <v>923410255153</v>
      </c>
      <c r="F1175" t="s">
        <v>77</v>
      </c>
      <c r="G1175" t="s">
        <v>18</v>
      </c>
      <c r="H1175" t="s">
        <v>50</v>
      </c>
      <c r="I1175">
        <v>4</v>
      </c>
      <c r="J1175">
        <v>2856</v>
      </c>
      <c r="K1175">
        <v>11424</v>
      </c>
      <c r="L1175" t="s">
        <v>20</v>
      </c>
      <c r="M1175" t="s">
        <v>82</v>
      </c>
      <c r="N1175" t="s">
        <v>35</v>
      </c>
    </row>
    <row r="1176" spans="1:14" x14ac:dyDescent="0.25">
      <c r="A1176" t="s">
        <v>3557</v>
      </c>
      <c r="B1176" s="1">
        <v>45768</v>
      </c>
      <c r="C1176" t="s">
        <v>3558</v>
      </c>
      <c r="D1176" t="s">
        <v>3559</v>
      </c>
      <c r="E1176" s="14">
        <v>923307702418</v>
      </c>
      <c r="F1176" t="s">
        <v>106</v>
      </c>
      <c r="G1176" t="s">
        <v>18</v>
      </c>
      <c r="H1176" t="s">
        <v>50</v>
      </c>
      <c r="I1176">
        <v>1</v>
      </c>
      <c r="J1176">
        <v>4004</v>
      </c>
      <c r="K1176">
        <v>4004</v>
      </c>
      <c r="L1176" t="s">
        <v>20</v>
      </c>
      <c r="M1176" t="s">
        <v>135</v>
      </c>
      <c r="N1176" t="s">
        <v>35</v>
      </c>
    </row>
    <row r="1177" spans="1:14" x14ac:dyDescent="0.25">
      <c r="A1177" t="s">
        <v>3560</v>
      </c>
      <c r="B1177" s="1">
        <v>45890</v>
      </c>
      <c r="C1177" t="s">
        <v>3561</v>
      </c>
      <c r="D1177" t="s">
        <v>3562</v>
      </c>
      <c r="E1177" s="14">
        <v>923268582229</v>
      </c>
      <c r="F1177" t="s">
        <v>17</v>
      </c>
      <c r="G1177" t="s">
        <v>18</v>
      </c>
      <c r="H1177" t="s">
        <v>73</v>
      </c>
      <c r="I1177">
        <v>4</v>
      </c>
      <c r="J1177">
        <v>1972</v>
      </c>
      <c r="K1177">
        <v>7888</v>
      </c>
      <c r="L1177" t="s">
        <v>63</v>
      </c>
      <c r="M1177" t="s">
        <v>93</v>
      </c>
      <c r="N1177" t="s">
        <v>22</v>
      </c>
    </row>
    <row r="1178" spans="1:14" x14ac:dyDescent="0.25">
      <c r="A1178" t="s">
        <v>3563</v>
      </c>
      <c r="B1178" s="1">
        <v>45958</v>
      </c>
      <c r="C1178" t="s">
        <v>3564</v>
      </c>
      <c r="D1178" t="s">
        <v>3565</v>
      </c>
      <c r="E1178" s="14">
        <v>923348689192</v>
      </c>
      <c r="F1178" t="s">
        <v>106</v>
      </c>
      <c r="G1178" t="s">
        <v>18</v>
      </c>
      <c r="H1178" t="s">
        <v>19</v>
      </c>
      <c r="I1178">
        <v>4</v>
      </c>
      <c r="J1178">
        <v>3761</v>
      </c>
      <c r="K1178">
        <v>15044</v>
      </c>
      <c r="L1178" t="s">
        <v>20</v>
      </c>
      <c r="M1178" t="s">
        <v>45</v>
      </c>
      <c r="N1178" t="s">
        <v>28</v>
      </c>
    </row>
    <row r="1179" spans="1:14" x14ac:dyDescent="0.25">
      <c r="A1179" t="s">
        <v>3566</v>
      </c>
      <c r="B1179" s="1">
        <v>45991</v>
      </c>
      <c r="C1179" t="s">
        <v>3567</v>
      </c>
      <c r="D1179" t="s">
        <v>3568</v>
      </c>
      <c r="E1179" s="14">
        <v>923003824342</v>
      </c>
      <c r="F1179" t="s">
        <v>122</v>
      </c>
      <c r="G1179" t="s">
        <v>18</v>
      </c>
      <c r="H1179" t="s">
        <v>59</v>
      </c>
      <c r="I1179">
        <v>5</v>
      </c>
      <c r="J1179">
        <v>8495</v>
      </c>
      <c r="K1179">
        <v>42475</v>
      </c>
      <c r="L1179" t="s">
        <v>78</v>
      </c>
      <c r="M1179" t="s">
        <v>135</v>
      </c>
      <c r="N1179" t="s">
        <v>28</v>
      </c>
    </row>
    <row r="1180" spans="1:14" x14ac:dyDescent="0.25">
      <c r="A1180" t="s">
        <v>3569</v>
      </c>
      <c r="B1180" s="1">
        <v>45961</v>
      </c>
      <c r="C1180" t="s">
        <v>3570</v>
      </c>
      <c r="D1180" t="s">
        <v>3571</v>
      </c>
      <c r="E1180" s="14">
        <v>923098180747</v>
      </c>
      <c r="F1180" t="s">
        <v>32</v>
      </c>
      <c r="G1180" t="s">
        <v>18</v>
      </c>
      <c r="H1180" t="s">
        <v>73</v>
      </c>
      <c r="I1180">
        <v>4</v>
      </c>
      <c r="J1180">
        <v>7970</v>
      </c>
      <c r="K1180">
        <v>31880</v>
      </c>
      <c r="L1180" t="s">
        <v>20</v>
      </c>
      <c r="M1180" t="s">
        <v>27</v>
      </c>
      <c r="N1180" t="s">
        <v>69</v>
      </c>
    </row>
    <row r="1181" spans="1:14" x14ac:dyDescent="0.25">
      <c r="A1181" t="s">
        <v>3572</v>
      </c>
      <c r="B1181" s="1">
        <v>45774</v>
      </c>
      <c r="C1181" t="s">
        <v>3573</v>
      </c>
      <c r="D1181" t="s">
        <v>3574</v>
      </c>
      <c r="E1181" s="14">
        <v>923127042048</v>
      </c>
      <c r="F1181" t="s">
        <v>17</v>
      </c>
      <c r="G1181" t="s">
        <v>18</v>
      </c>
      <c r="H1181" t="s">
        <v>19</v>
      </c>
      <c r="I1181">
        <v>2</v>
      </c>
      <c r="J1181">
        <v>14347</v>
      </c>
      <c r="K1181">
        <v>28694</v>
      </c>
      <c r="L1181" t="s">
        <v>63</v>
      </c>
      <c r="M1181" t="s">
        <v>27</v>
      </c>
      <c r="N1181" t="s">
        <v>22</v>
      </c>
    </row>
    <row r="1182" spans="1:14" x14ac:dyDescent="0.25">
      <c r="A1182" t="s">
        <v>3575</v>
      </c>
      <c r="B1182" s="1">
        <v>45902</v>
      </c>
      <c r="C1182" t="s">
        <v>3576</v>
      </c>
      <c r="D1182" t="s">
        <v>3577</v>
      </c>
      <c r="E1182" s="14">
        <v>923276813212</v>
      </c>
      <c r="F1182" t="s">
        <v>32</v>
      </c>
      <c r="G1182" t="s">
        <v>18</v>
      </c>
      <c r="H1182" t="s">
        <v>59</v>
      </c>
      <c r="I1182">
        <v>2</v>
      </c>
      <c r="J1182">
        <v>6754</v>
      </c>
      <c r="K1182">
        <v>13508</v>
      </c>
      <c r="L1182" t="s">
        <v>20</v>
      </c>
      <c r="M1182" t="s">
        <v>27</v>
      </c>
      <c r="N1182" t="s">
        <v>35</v>
      </c>
    </row>
    <row r="1183" spans="1:14" x14ac:dyDescent="0.25">
      <c r="A1183" t="s">
        <v>3578</v>
      </c>
      <c r="B1183" s="1">
        <v>46021</v>
      </c>
      <c r="C1183" t="s">
        <v>3579</v>
      </c>
      <c r="D1183" t="s">
        <v>3580</v>
      </c>
      <c r="E1183" s="14">
        <v>923252050774</v>
      </c>
      <c r="F1183" t="s">
        <v>106</v>
      </c>
      <c r="G1183" t="s">
        <v>18</v>
      </c>
      <c r="H1183" t="s">
        <v>19</v>
      </c>
      <c r="I1183">
        <v>5</v>
      </c>
      <c r="J1183">
        <v>12719</v>
      </c>
      <c r="K1183">
        <v>63595</v>
      </c>
      <c r="L1183" t="s">
        <v>20</v>
      </c>
      <c r="M1183" t="s">
        <v>45</v>
      </c>
      <c r="N1183" t="s">
        <v>35</v>
      </c>
    </row>
    <row r="1184" spans="1:14" x14ac:dyDescent="0.25">
      <c r="A1184" t="s">
        <v>3581</v>
      </c>
      <c r="B1184" s="1">
        <v>46020</v>
      </c>
      <c r="C1184" t="s">
        <v>3582</v>
      </c>
      <c r="D1184" t="s">
        <v>3583</v>
      </c>
      <c r="E1184" s="14">
        <v>923303324412</v>
      </c>
      <c r="F1184" t="s">
        <v>49</v>
      </c>
      <c r="G1184" t="s">
        <v>18</v>
      </c>
      <c r="H1184" t="s">
        <v>33</v>
      </c>
      <c r="I1184">
        <v>4</v>
      </c>
      <c r="J1184">
        <v>10033</v>
      </c>
      <c r="K1184">
        <v>40132</v>
      </c>
      <c r="L1184" t="s">
        <v>20</v>
      </c>
      <c r="M1184" t="s">
        <v>82</v>
      </c>
      <c r="N1184" t="s">
        <v>69</v>
      </c>
    </row>
    <row r="1185" spans="1:14" x14ac:dyDescent="0.25">
      <c r="A1185" t="s">
        <v>3584</v>
      </c>
      <c r="B1185" s="1">
        <v>45981</v>
      </c>
      <c r="C1185" t="s">
        <v>3585</v>
      </c>
      <c r="D1185" t="s">
        <v>3586</v>
      </c>
      <c r="E1185" s="14">
        <v>923494858732</v>
      </c>
      <c r="F1185" t="s">
        <v>44</v>
      </c>
      <c r="G1185" t="s">
        <v>18</v>
      </c>
      <c r="H1185" t="s">
        <v>19</v>
      </c>
      <c r="I1185">
        <v>3</v>
      </c>
      <c r="J1185">
        <v>12164</v>
      </c>
      <c r="K1185">
        <v>36492</v>
      </c>
      <c r="L1185" t="s">
        <v>68</v>
      </c>
      <c r="M1185" t="s">
        <v>82</v>
      </c>
      <c r="N1185" t="s">
        <v>69</v>
      </c>
    </row>
    <row r="1186" spans="1:14" x14ac:dyDescent="0.25">
      <c r="A1186" t="s">
        <v>3587</v>
      </c>
      <c r="B1186" s="1">
        <v>45903</v>
      </c>
      <c r="C1186" t="s">
        <v>3588</v>
      </c>
      <c r="D1186" t="s">
        <v>3589</v>
      </c>
      <c r="E1186" s="14">
        <v>923159926286</v>
      </c>
      <c r="F1186" t="s">
        <v>32</v>
      </c>
      <c r="G1186" t="s">
        <v>18</v>
      </c>
      <c r="H1186" t="s">
        <v>50</v>
      </c>
      <c r="I1186">
        <v>2</v>
      </c>
      <c r="J1186">
        <v>1189</v>
      </c>
      <c r="K1186">
        <v>2378</v>
      </c>
      <c r="L1186" t="s">
        <v>40</v>
      </c>
      <c r="M1186" t="s">
        <v>34</v>
      </c>
      <c r="N1186" t="s">
        <v>35</v>
      </c>
    </row>
    <row r="1187" spans="1:14" x14ac:dyDescent="0.25">
      <c r="A1187" t="s">
        <v>3590</v>
      </c>
      <c r="B1187" s="1">
        <v>45920</v>
      </c>
      <c r="C1187" t="s">
        <v>3591</v>
      </c>
      <c r="D1187" t="s">
        <v>3592</v>
      </c>
      <c r="E1187" s="14">
        <v>923426208714</v>
      </c>
      <c r="F1187" t="s">
        <v>44</v>
      </c>
      <c r="G1187" t="s">
        <v>18</v>
      </c>
      <c r="H1187" t="s">
        <v>19</v>
      </c>
      <c r="I1187">
        <v>4</v>
      </c>
      <c r="J1187">
        <v>4426</v>
      </c>
      <c r="K1187">
        <v>17704</v>
      </c>
      <c r="L1187" t="s">
        <v>63</v>
      </c>
      <c r="M1187" t="s">
        <v>55</v>
      </c>
      <c r="N1187" t="s">
        <v>28</v>
      </c>
    </row>
    <row r="1188" spans="1:14" x14ac:dyDescent="0.25">
      <c r="A1188" t="s">
        <v>3593</v>
      </c>
      <c r="B1188" s="1">
        <v>45901</v>
      </c>
      <c r="C1188" t="s">
        <v>3594</v>
      </c>
      <c r="D1188" t="s">
        <v>3595</v>
      </c>
      <c r="E1188" s="14">
        <v>923136250890</v>
      </c>
      <c r="F1188" t="s">
        <v>44</v>
      </c>
      <c r="G1188" t="s">
        <v>18</v>
      </c>
      <c r="H1188" t="s">
        <v>50</v>
      </c>
      <c r="I1188">
        <v>2</v>
      </c>
      <c r="J1188">
        <v>7221</v>
      </c>
      <c r="K1188">
        <v>14442</v>
      </c>
      <c r="L1188" t="s">
        <v>40</v>
      </c>
      <c r="M1188" t="s">
        <v>135</v>
      </c>
      <c r="N1188" t="s">
        <v>22</v>
      </c>
    </row>
    <row r="1189" spans="1:14" x14ac:dyDescent="0.25">
      <c r="A1189" t="s">
        <v>3596</v>
      </c>
      <c r="B1189" s="1">
        <v>46043</v>
      </c>
      <c r="C1189" t="s">
        <v>3597</v>
      </c>
      <c r="D1189" t="s">
        <v>3598</v>
      </c>
      <c r="E1189" s="14">
        <v>923125753272</v>
      </c>
      <c r="F1189" t="s">
        <v>54</v>
      </c>
      <c r="G1189" t="s">
        <v>18</v>
      </c>
      <c r="H1189" t="s">
        <v>59</v>
      </c>
      <c r="I1189">
        <v>2</v>
      </c>
      <c r="J1189">
        <v>5635</v>
      </c>
      <c r="K1189">
        <v>11270</v>
      </c>
      <c r="L1189" t="s">
        <v>20</v>
      </c>
      <c r="M1189" t="s">
        <v>135</v>
      </c>
      <c r="N1189" t="s">
        <v>28</v>
      </c>
    </row>
    <row r="1190" spans="1:14" x14ac:dyDescent="0.25">
      <c r="A1190" t="s">
        <v>3599</v>
      </c>
      <c r="B1190" s="1">
        <v>45824</v>
      </c>
      <c r="C1190" t="s">
        <v>1479</v>
      </c>
      <c r="D1190" t="s">
        <v>3600</v>
      </c>
      <c r="E1190" s="14">
        <v>923106037364</v>
      </c>
      <c r="F1190" t="s">
        <v>67</v>
      </c>
      <c r="G1190" t="s">
        <v>18</v>
      </c>
      <c r="H1190" t="s">
        <v>73</v>
      </c>
      <c r="I1190">
        <v>2</v>
      </c>
      <c r="J1190">
        <v>9220</v>
      </c>
      <c r="K1190">
        <v>18440</v>
      </c>
      <c r="L1190" t="s">
        <v>78</v>
      </c>
      <c r="M1190" t="s">
        <v>135</v>
      </c>
      <c r="N1190" t="s">
        <v>22</v>
      </c>
    </row>
    <row r="1191" spans="1:14" x14ac:dyDescent="0.25">
      <c r="A1191" t="s">
        <v>3601</v>
      </c>
      <c r="B1191" s="1">
        <v>45739</v>
      </c>
      <c r="C1191" t="s">
        <v>3602</v>
      </c>
      <c r="D1191" t="s">
        <v>3603</v>
      </c>
      <c r="E1191" s="14">
        <v>923049481953</v>
      </c>
      <c r="F1191" t="s">
        <v>122</v>
      </c>
      <c r="G1191" t="s">
        <v>18</v>
      </c>
      <c r="H1191" t="s">
        <v>50</v>
      </c>
      <c r="I1191">
        <v>4</v>
      </c>
      <c r="J1191">
        <v>14280</v>
      </c>
      <c r="K1191">
        <v>57120</v>
      </c>
      <c r="L1191" t="s">
        <v>68</v>
      </c>
      <c r="M1191" t="s">
        <v>45</v>
      </c>
      <c r="N1191" t="s">
        <v>28</v>
      </c>
    </row>
    <row r="1192" spans="1:14" x14ac:dyDescent="0.25">
      <c r="A1192" t="s">
        <v>3604</v>
      </c>
      <c r="B1192" s="1">
        <v>45934</v>
      </c>
      <c r="C1192" t="s">
        <v>3605</v>
      </c>
      <c r="D1192" t="s">
        <v>3606</v>
      </c>
      <c r="E1192" s="14">
        <v>923448369906</v>
      </c>
      <c r="F1192" t="s">
        <v>54</v>
      </c>
      <c r="G1192" t="s">
        <v>18</v>
      </c>
      <c r="H1192" t="s">
        <v>73</v>
      </c>
      <c r="I1192">
        <v>1</v>
      </c>
      <c r="J1192">
        <v>2440</v>
      </c>
      <c r="K1192">
        <v>2440</v>
      </c>
      <c r="L1192" t="s">
        <v>68</v>
      </c>
      <c r="M1192" t="s">
        <v>34</v>
      </c>
      <c r="N1192" t="s">
        <v>69</v>
      </c>
    </row>
    <row r="1193" spans="1:14" x14ac:dyDescent="0.25">
      <c r="A1193" t="s">
        <v>3607</v>
      </c>
      <c r="B1193" s="1">
        <v>45957</v>
      </c>
      <c r="C1193" t="s">
        <v>1377</v>
      </c>
      <c r="D1193" t="s">
        <v>3608</v>
      </c>
      <c r="E1193" s="14">
        <v>923436219252</v>
      </c>
      <c r="F1193" t="s">
        <v>77</v>
      </c>
      <c r="G1193" t="s">
        <v>18</v>
      </c>
      <c r="H1193" t="s">
        <v>73</v>
      </c>
      <c r="I1193">
        <v>4</v>
      </c>
      <c r="J1193">
        <v>2015</v>
      </c>
      <c r="K1193">
        <v>8060</v>
      </c>
      <c r="L1193" t="s">
        <v>26</v>
      </c>
      <c r="M1193" t="s">
        <v>45</v>
      </c>
      <c r="N1193" t="s">
        <v>69</v>
      </c>
    </row>
    <row r="1194" spans="1:14" x14ac:dyDescent="0.25">
      <c r="A1194" t="s">
        <v>3609</v>
      </c>
      <c r="B1194" s="1">
        <v>45837</v>
      </c>
      <c r="C1194" t="s">
        <v>3610</v>
      </c>
      <c r="D1194" t="s">
        <v>3611</v>
      </c>
      <c r="E1194" s="14">
        <v>923105104694</v>
      </c>
      <c r="F1194" t="s">
        <v>17</v>
      </c>
      <c r="G1194" t="s">
        <v>18</v>
      </c>
      <c r="H1194" t="s">
        <v>19</v>
      </c>
      <c r="I1194">
        <v>3</v>
      </c>
      <c r="J1194">
        <v>14874</v>
      </c>
      <c r="K1194">
        <v>44622</v>
      </c>
      <c r="L1194" t="s">
        <v>20</v>
      </c>
      <c r="M1194" t="s">
        <v>135</v>
      </c>
      <c r="N1194" t="s">
        <v>28</v>
      </c>
    </row>
    <row r="1195" spans="1:14" x14ac:dyDescent="0.25">
      <c r="A1195" t="s">
        <v>3612</v>
      </c>
      <c r="B1195" s="1">
        <v>45719</v>
      </c>
      <c r="C1195" t="s">
        <v>3613</v>
      </c>
      <c r="D1195" t="s">
        <v>3614</v>
      </c>
      <c r="E1195" s="14">
        <v>923055950767</v>
      </c>
      <c r="F1195" t="s">
        <v>32</v>
      </c>
      <c r="G1195" t="s">
        <v>18</v>
      </c>
      <c r="H1195" t="s">
        <v>33</v>
      </c>
      <c r="I1195">
        <v>2</v>
      </c>
      <c r="J1195">
        <v>5050</v>
      </c>
      <c r="K1195">
        <v>10100</v>
      </c>
      <c r="L1195" t="s">
        <v>68</v>
      </c>
      <c r="M1195" t="s">
        <v>27</v>
      </c>
      <c r="N1195" t="s">
        <v>22</v>
      </c>
    </row>
    <row r="1196" spans="1:14" x14ac:dyDescent="0.25">
      <c r="A1196" t="s">
        <v>3615</v>
      </c>
      <c r="B1196" s="1">
        <v>45979</v>
      </c>
      <c r="C1196" t="s">
        <v>3616</v>
      </c>
      <c r="D1196" t="s">
        <v>3617</v>
      </c>
      <c r="E1196" s="14">
        <v>923420754299</v>
      </c>
      <c r="F1196" t="s">
        <v>54</v>
      </c>
      <c r="G1196" t="s">
        <v>18</v>
      </c>
      <c r="H1196" t="s">
        <v>50</v>
      </c>
      <c r="I1196">
        <v>5</v>
      </c>
      <c r="J1196">
        <v>1447</v>
      </c>
      <c r="K1196">
        <v>7235</v>
      </c>
      <c r="L1196" t="s">
        <v>26</v>
      </c>
      <c r="M1196" t="s">
        <v>55</v>
      </c>
      <c r="N1196" t="s">
        <v>22</v>
      </c>
    </row>
    <row r="1197" spans="1:14" x14ac:dyDescent="0.25">
      <c r="A1197" t="s">
        <v>3618</v>
      </c>
      <c r="B1197" s="1">
        <v>45923</v>
      </c>
      <c r="C1197" t="s">
        <v>3619</v>
      </c>
      <c r="D1197" t="s">
        <v>3620</v>
      </c>
      <c r="E1197" s="14">
        <v>923250593448</v>
      </c>
      <c r="F1197" t="s">
        <v>106</v>
      </c>
      <c r="G1197" t="s">
        <v>18</v>
      </c>
      <c r="H1197" t="s">
        <v>33</v>
      </c>
      <c r="I1197">
        <v>1</v>
      </c>
      <c r="J1197">
        <v>12628</v>
      </c>
      <c r="K1197">
        <v>12628</v>
      </c>
      <c r="L1197" t="s">
        <v>68</v>
      </c>
      <c r="M1197" t="s">
        <v>34</v>
      </c>
      <c r="N1197" t="s">
        <v>35</v>
      </c>
    </row>
    <row r="1198" spans="1:14" x14ac:dyDescent="0.25">
      <c r="A1198" t="s">
        <v>3621</v>
      </c>
      <c r="B1198" s="1">
        <v>45790</v>
      </c>
      <c r="C1198" t="s">
        <v>3622</v>
      </c>
      <c r="D1198" t="s">
        <v>3623</v>
      </c>
      <c r="E1198" s="14">
        <v>923359614595</v>
      </c>
      <c r="F1198" t="s">
        <v>67</v>
      </c>
      <c r="G1198" t="s">
        <v>18</v>
      </c>
      <c r="H1198" t="s">
        <v>73</v>
      </c>
      <c r="I1198">
        <v>3</v>
      </c>
      <c r="J1198">
        <v>14659</v>
      </c>
      <c r="K1198">
        <v>43977</v>
      </c>
      <c r="L1198" t="s">
        <v>20</v>
      </c>
      <c r="M1198" t="s">
        <v>82</v>
      </c>
      <c r="N1198" t="s">
        <v>35</v>
      </c>
    </row>
    <row r="1199" spans="1:14" x14ac:dyDescent="0.25">
      <c r="A1199" t="s">
        <v>3624</v>
      </c>
      <c r="B1199" s="1">
        <v>45795</v>
      </c>
      <c r="C1199" t="s">
        <v>3625</v>
      </c>
      <c r="D1199" t="s">
        <v>3626</v>
      </c>
      <c r="E1199" s="14">
        <v>923368437126</v>
      </c>
      <c r="F1199" t="s">
        <v>106</v>
      </c>
      <c r="G1199" t="s">
        <v>18</v>
      </c>
      <c r="H1199" t="s">
        <v>73</v>
      </c>
      <c r="I1199">
        <v>1</v>
      </c>
      <c r="J1199">
        <v>9419</v>
      </c>
      <c r="K1199">
        <v>9419</v>
      </c>
      <c r="L1199" t="s">
        <v>78</v>
      </c>
      <c r="M1199" t="s">
        <v>27</v>
      </c>
      <c r="N1199" t="s">
        <v>69</v>
      </c>
    </row>
    <row r="1200" spans="1:14" x14ac:dyDescent="0.25">
      <c r="A1200" t="s">
        <v>3627</v>
      </c>
      <c r="B1200" s="1">
        <v>45843</v>
      </c>
      <c r="C1200" t="s">
        <v>3628</v>
      </c>
      <c r="D1200" t="s">
        <v>3629</v>
      </c>
      <c r="E1200" s="14">
        <v>923212860288</v>
      </c>
      <c r="F1200" t="s">
        <v>122</v>
      </c>
      <c r="G1200" t="s">
        <v>18</v>
      </c>
      <c r="H1200" t="s">
        <v>39</v>
      </c>
      <c r="I1200">
        <v>1</v>
      </c>
      <c r="J1200">
        <v>9139</v>
      </c>
      <c r="K1200">
        <v>9139</v>
      </c>
      <c r="L1200" t="s">
        <v>26</v>
      </c>
      <c r="M1200" t="s">
        <v>45</v>
      </c>
      <c r="N1200" t="s">
        <v>28</v>
      </c>
    </row>
    <row r="1201" spans="1:14" x14ac:dyDescent="0.25">
      <c r="A1201" t="s">
        <v>3630</v>
      </c>
      <c r="B1201" s="1">
        <v>45824</v>
      </c>
      <c r="C1201" t="s">
        <v>3631</v>
      </c>
      <c r="D1201" t="s">
        <v>3632</v>
      </c>
      <c r="E1201" s="14">
        <v>923202657082</v>
      </c>
      <c r="F1201" t="s">
        <v>67</v>
      </c>
      <c r="G1201" t="s">
        <v>18</v>
      </c>
      <c r="H1201" t="s">
        <v>73</v>
      </c>
      <c r="I1201">
        <v>2</v>
      </c>
      <c r="J1201">
        <v>6635</v>
      </c>
      <c r="K1201">
        <v>13270</v>
      </c>
      <c r="L1201" t="s">
        <v>63</v>
      </c>
      <c r="M1201" t="s">
        <v>21</v>
      </c>
      <c r="N1201" t="s">
        <v>69</v>
      </c>
    </row>
    <row r="1202" spans="1:14" x14ac:dyDescent="0.25">
      <c r="A1202" t="s">
        <v>3633</v>
      </c>
      <c r="B1202" s="1">
        <v>45806</v>
      </c>
      <c r="C1202" t="s">
        <v>3634</v>
      </c>
      <c r="D1202" t="s">
        <v>3635</v>
      </c>
      <c r="E1202" s="14">
        <v>923316433188</v>
      </c>
      <c r="F1202" t="s">
        <v>32</v>
      </c>
      <c r="G1202" t="s">
        <v>18</v>
      </c>
      <c r="H1202" t="s">
        <v>59</v>
      </c>
      <c r="I1202">
        <v>3</v>
      </c>
      <c r="J1202">
        <v>1733</v>
      </c>
      <c r="K1202">
        <v>5199</v>
      </c>
      <c r="L1202" t="s">
        <v>20</v>
      </c>
      <c r="M1202" t="s">
        <v>93</v>
      </c>
      <c r="N1202" t="s">
        <v>28</v>
      </c>
    </row>
    <row r="1203" spans="1:14" x14ac:dyDescent="0.25">
      <c r="A1203" t="s">
        <v>3636</v>
      </c>
      <c r="B1203" s="1">
        <v>45971</v>
      </c>
      <c r="C1203" t="s">
        <v>3637</v>
      </c>
      <c r="D1203" t="s">
        <v>3638</v>
      </c>
      <c r="E1203" s="14">
        <v>923454893790</v>
      </c>
      <c r="F1203" t="s">
        <v>77</v>
      </c>
      <c r="G1203" t="s">
        <v>18</v>
      </c>
      <c r="H1203" t="s">
        <v>33</v>
      </c>
      <c r="I1203">
        <v>5</v>
      </c>
      <c r="J1203">
        <v>8495</v>
      </c>
      <c r="K1203">
        <v>42475</v>
      </c>
      <c r="L1203" t="s">
        <v>26</v>
      </c>
      <c r="M1203" t="s">
        <v>34</v>
      </c>
      <c r="N1203" t="s">
        <v>69</v>
      </c>
    </row>
    <row r="1204" spans="1:14" x14ac:dyDescent="0.25">
      <c r="A1204" t="s">
        <v>3639</v>
      </c>
      <c r="B1204" s="1">
        <v>45750</v>
      </c>
      <c r="C1204" t="s">
        <v>3640</v>
      </c>
      <c r="D1204" t="s">
        <v>3641</v>
      </c>
      <c r="E1204" s="14">
        <v>923112956674</v>
      </c>
      <c r="F1204" t="s">
        <v>44</v>
      </c>
      <c r="G1204" t="s">
        <v>18</v>
      </c>
      <c r="H1204" t="s">
        <v>50</v>
      </c>
      <c r="I1204">
        <v>1</v>
      </c>
      <c r="J1204">
        <v>4151</v>
      </c>
      <c r="K1204">
        <v>4151</v>
      </c>
      <c r="L1204" t="s">
        <v>26</v>
      </c>
      <c r="M1204" t="s">
        <v>135</v>
      </c>
      <c r="N1204" t="s">
        <v>35</v>
      </c>
    </row>
    <row r="1205" spans="1:14" x14ac:dyDescent="0.25">
      <c r="A1205" t="s">
        <v>3642</v>
      </c>
      <c r="B1205" s="1">
        <v>46039</v>
      </c>
      <c r="C1205" t="s">
        <v>3643</v>
      </c>
      <c r="D1205" t="s">
        <v>3644</v>
      </c>
      <c r="E1205" s="14">
        <v>923069786373</v>
      </c>
      <c r="F1205" t="s">
        <v>92</v>
      </c>
      <c r="G1205" t="s">
        <v>18</v>
      </c>
      <c r="H1205" t="s">
        <v>39</v>
      </c>
      <c r="I1205">
        <v>2</v>
      </c>
      <c r="J1205">
        <v>9353</v>
      </c>
      <c r="K1205">
        <v>18706</v>
      </c>
      <c r="L1205" t="s">
        <v>68</v>
      </c>
      <c r="M1205" t="s">
        <v>55</v>
      </c>
      <c r="N1205" t="s">
        <v>22</v>
      </c>
    </row>
    <row r="1206" spans="1:14" x14ac:dyDescent="0.25">
      <c r="A1206" t="s">
        <v>3645</v>
      </c>
      <c r="B1206" s="1">
        <v>45965</v>
      </c>
      <c r="C1206" t="s">
        <v>3646</v>
      </c>
      <c r="D1206" t="s">
        <v>3647</v>
      </c>
      <c r="E1206" s="14">
        <v>923072780500</v>
      </c>
      <c r="F1206" t="s">
        <v>106</v>
      </c>
      <c r="G1206" t="s">
        <v>18</v>
      </c>
      <c r="H1206" t="s">
        <v>33</v>
      </c>
      <c r="I1206">
        <v>3</v>
      </c>
      <c r="J1206">
        <v>3646</v>
      </c>
      <c r="K1206">
        <v>10938</v>
      </c>
      <c r="L1206" t="s">
        <v>26</v>
      </c>
      <c r="M1206" t="s">
        <v>27</v>
      </c>
      <c r="N1206" t="s">
        <v>28</v>
      </c>
    </row>
    <row r="1207" spans="1:14" x14ac:dyDescent="0.25">
      <c r="A1207" t="s">
        <v>3648</v>
      </c>
      <c r="B1207" s="1">
        <v>46011</v>
      </c>
      <c r="C1207" t="s">
        <v>3649</v>
      </c>
      <c r="D1207" t="s">
        <v>3650</v>
      </c>
      <c r="E1207" s="14">
        <v>923088144520</v>
      </c>
      <c r="F1207" t="s">
        <v>54</v>
      </c>
      <c r="G1207" t="s">
        <v>18</v>
      </c>
      <c r="H1207" t="s">
        <v>19</v>
      </c>
      <c r="I1207">
        <v>2</v>
      </c>
      <c r="J1207">
        <v>4779</v>
      </c>
      <c r="K1207">
        <v>9558</v>
      </c>
      <c r="L1207" t="s">
        <v>40</v>
      </c>
      <c r="M1207" t="s">
        <v>45</v>
      </c>
      <c r="N1207" t="s">
        <v>69</v>
      </c>
    </row>
    <row r="1208" spans="1:14" x14ac:dyDescent="0.25">
      <c r="A1208" t="s">
        <v>3651</v>
      </c>
      <c r="B1208" s="1">
        <v>45888</v>
      </c>
      <c r="C1208" t="s">
        <v>3652</v>
      </c>
      <c r="D1208" t="s">
        <v>3653</v>
      </c>
      <c r="E1208" s="14">
        <v>923243312447</v>
      </c>
      <c r="F1208" t="s">
        <v>67</v>
      </c>
      <c r="G1208" t="s">
        <v>18</v>
      </c>
      <c r="H1208" t="s">
        <v>73</v>
      </c>
      <c r="I1208">
        <v>4</v>
      </c>
      <c r="J1208">
        <v>4696</v>
      </c>
      <c r="K1208">
        <v>18784</v>
      </c>
      <c r="L1208" t="s">
        <v>20</v>
      </c>
      <c r="M1208" t="s">
        <v>21</v>
      </c>
      <c r="N1208" t="s">
        <v>22</v>
      </c>
    </row>
    <row r="1209" spans="1:14" x14ac:dyDescent="0.25">
      <c r="A1209" t="s">
        <v>3654</v>
      </c>
      <c r="B1209" s="1">
        <v>45817</v>
      </c>
      <c r="C1209" t="s">
        <v>3655</v>
      </c>
      <c r="D1209" t="s">
        <v>3656</v>
      </c>
      <c r="E1209" s="14">
        <v>923286979945</v>
      </c>
      <c r="F1209" t="s">
        <v>106</v>
      </c>
      <c r="G1209" t="s">
        <v>18</v>
      </c>
      <c r="H1209" t="s">
        <v>33</v>
      </c>
      <c r="I1209">
        <v>2</v>
      </c>
      <c r="J1209">
        <v>8856</v>
      </c>
      <c r="K1209">
        <v>17712</v>
      </c>
      <c r="L1209" t="s">
        <v>78</v>
      </c>
      <c r="M1209" t="s">
        <v>93</v>
      </c>
      <c r="N1209" t="s">
        <v>69</v>
      </c>
    </row>
    <row r="1210" spans="1:14" x14ac:dyDescent="0.25">
      <c r="A1210" t="s">
        <v>3657</v>
      </c>
      <c r="B1210" s="1">
        <v>45842</v>
      </c>
      <c r="C1210" t="s">
        <v>3658</v>
      </c>
      <c r="D1210" t="s">
        <v>3659</v>
      </c>
      <c r="E1210" s="14">
        <v>923492692511</v>
      </c>
      <c r="F1210" t="s">
        <v>92</v>
      </c>
      <c r="G1210" t="s">
        <v>18</v>
      </c>
      <c r="H1210" t="s">
        <v>39</v>
      </c>
      <c r="I1210">
        <v>2</v>
      </c>
      <c r="J1210">
        <v>3934</v>
      </c>
      <c r="K1210">
        <v>7868</v>
      </c>
      <c r="L1210" t="s">
        <v>63</v>
      </c>
      <c r="M1210" t="s">
        <v>93</v>
      </c>
      <c r="N1210" t="s">
        <v>35</v>
      </c>
    </row>
    <row r="1211" spans="1:14" x14ac:dyDescent="0.25">
      <c r="A1211" t="s">
        <v>3660</v>
      </c>
      <c r="B1211" s="1">
        <v>46047</v>
      </c>
      <c r="C1211" t="s">
        <v>3661</v>
      </c>
      <c r="D1211" t="s">
        <v>3662</v>
      </c>
      <c r="E1211" s="14">
        <v>923171150088</v>
      </c>
      <c r="F1211" t="s">
        <v>17</v>
      </c>
      <c r="G1211" t="s">
        <v>18</v>
      </c>
      <c r="H1211" t="s">
        <v>59</v>
      </c>
      <c r="I1211">
        <v>3</v>
      </c>
      <c r="J1211">
        <v>2477</v>
      </c>
      <c r="K1211">
        <v>7431</v>
      </c>
      <c r="L1211" t="s">
        <v>40</v>
      </c>
      <c r="M1211" t="s">
        <v>93</v>
      </c>
      <c r="N1211" t="s">
        <v>35</v>
      </c>
    </row>
    <row r="1212" spans="1:14" x14ac:dyDescent="0.25">
      <c r="A1212" t="s">
        <v>3663</v>
      </c>
      <c r="B1212" s="1">
        <v>45810</v>
      </c>
      <c r="C1212" t="s">
        <v>3664</v>
      </c>
      <c r="D1212" t="s">
        <v>3665</v>
      </c>
      <c r="E1212" s="14">
        <v>923456938678</v>
      </c>
      <c r="F1212" t="s">
        <v>106</v>
      </c>
      <c r="G1212" t="s">
        <v>18</v>
      </c>
      <c r="H1212" t="s">
        <v>59</v>
      </c>
      <c r="I1212">
        <v>3</v>
      </c>
      <c r="J1212">
        <v>14262</v>
      </c>
      <c r="K1212">
        <v>42786</v>
      </c>
      <c r="L1212" t="s">
        <v>63</v>
      </c>
      <c r="M1212" t="s">
        <v>82</v>
      </c>
      <c r="N1212" t="s">
        <v>22</v>
      </c>
    </row>
    <row r="1213" spans="1:14" x14ac:dyDescent="0.25">
      <c r="A1213" t="s">
        <v>3666</v>
      </c>
      <c r="B1213" s="1">
        <v>46023</v>
      </c>
      <c r="C1213" t="s">
        <v>3667</v>
      </c>
      <c r="D1213" t="s">
        <v>3668</v>
      </c>
      <c r="E1213" s="14">
        <v>923442347308</v>
      </c>
      <c r="F1213" t="s">
        <v>122</v>
      </c>
      <c r="G1213" t="s">
        <v>18</v>
      </c>
      <c r="H1213" t="s">
        <v>19</v>
      </c>
      <c r="I1213">
        <v>2</v>
      </c>
      <c r="J1213">
        <v>6552</v>
      </c>
      <c r="K1213">
        <v>13104</v>
      </c>
      <c r="L1213" t="s">
        <v>63</v>
      </c>
      <c r="M1213" t="s">
        <v>93</v>
      </c>
      <c r="N1213" t="s">
        <v>22</v>
      </c>
    </row>
    <row r="1214" spans="1:14" x14ac:dyDescent="0.25">
      <c r="A1214" t="s">
        <v>3669</v>
      </c>
      <c r="B1214" s="1">
        <v>46061</v>
      </c>
      <c r="C1214" t="s">
        <v>3670</v>
      </c>
      <c r="D1214" t="s">
        <v>3671</v>
      </c>
      <c r="E1214" s="14">
        <v>923200349454</v>
      </c>
      <c r="F1214" t="s">
        <v>77</v>
      </c>
      <c r="G1214" t="s">
        <v>18</v>
      </c>
      <c r="H1214" t="s">
        <v>59</v>
      </c>
      <c r="I1214">
        <v>5</v>
      </c>
      <c r="J1214">
        <v>4855</v>
      </c>
      <c r="K1214">
        <v>24275</v>
      </c>
      <c r="L1214" t="s">
        <v>26</v>
      </c>
      <c r="M1214" t="s">
        <v>135</v>
      </c>
      <c r="N1214" t="s">
        <v>35</v>
      </c>
    </row>
    <row r="1215" spans="1:14" x14ac:dyDescent="0.25">
      <c r="A1215" t="s">
        <v>3672</v>
      </c>
      <c r="B1215" s="1">
        <v>45786</v>
      </c>
      <c r="C1215" t="s">
        <v>3673</v>
      </c>
      <c r="D1215" t="s">
        <v>3674</v>
      </c>
      <c r="E1215" s="14">
        <v>923322654460</v>
      </c>
      <c r="F1215" t="s">
        <v>92</v>
      </c>
      <c r="G1215" t="s">
        <v>18</v>
      </c>
      <c r="H1215" t="s">
        <v>50</v>
      </c>
      <c r="I1215">
        <v>2</v>
      </c>
      <c r="J1215">
        <v>11896</v>
      </c>
      <c r="K1215">
        <v>23792</v>
      </c>
      <c r="L1215" t="s">
        <v>78</v>
      </c>
      <c r="M1215" t="s">
        <v>93</v>
      </c>
      <c r="N1215" t="s">
        <v>35</v>
      </c>
    </row>
    <row r="1216" spans="1:14" x14ac:dyDescent="0.25">
      <c r="A1216" t="s">
        <v>3675</v>
      </c>
      <c r="B1216" s="1">
        <v>45870</v>
      </c>
      <c r="C1216" t="s">
        <v>3676</v>
      </c>
      <c r="D1216" t="s">
        <v>3677</v>
      </c>
      <c r="E1216" s="14">
        <v>923336885338</v>
      </c>
      <c r="F1216" t="s">
        <v>122</v>
      </c>
      <c r="G1216" t="s">
        <v>18</v>
      </c>
      <c r="H1216" t="s">
        <v>59</v>
      </c>
      <c r="I1216">
        <v>5</v>
      </c>
      <c r="J1216">
        <v>5207</v>
      </c>
      <c r="K1216">
        <v>26035</v>
      </c>
      <c r="L1216" t="s">
        <v>63</v>
      </c>
      <c r="M1216" t="s">
        <v>21</v>
      </c>
      <c r="N1216" t="s">
        <v>28</v>
      </c>
    </row>
    <row r="1217" spans="1:14" x14ac:dyDescent="0.25">
      <c r="A1217" t="s">
        <v>3678</v>
      </c>
      <c r="B1217" s="1">
        <v>45885</v>
      </c>
      <c r="C1217" t="s">
        <v>3679</v>
      </c>
      <c r="D1217" t="s">
        <v>3680</v>
      </c>
      <c r="E1217" s="14">
        <v>923494528861</v>
      </c>
      <c r="F1217" t="s">
        <v>17</v>
      </c>
      <c r="G1217" t="s">
        <v>18</v>
      </c>
      <c r="H1217" t="s">
        <v>19</v>
      </c>
      <c r="I1217">
        <v>4</v>
      </c>
      <c r="J1217">
        <v>3917</v>
      </c>
      <c r="K1217">
        <v>15668</v>
      </c>
      <c r="L1217" t="s">
        <v>20</v>
      </c>
      <c r="M1217" t="s">
        <v>55</v>
      </c>
      <c r="N1217" t="s">
        <v>69</v>
      </c>
    </row>
    <row r="1218" spans="1:14" x14ac:dyDescent="0.25">
      <c r="A1218" t="s">
        <v>3681</v>
      </c>
      <c r="B1218" s="1">
        <v>45788</v>
      </c>
      <c r="C1218" t="s">
        <v>3682</v>
      </c>
      <c r="D1218" t="s">
        <v>3683</v>
      </c>
      <c r="E1218" s="14">
        <v>923373069292</v>
      </c>
      <c r="F1218" t="s">
        <v>44</v>
      </c>
      <c r="G1218" t="s">
        <v>18</v>
      </c>
      <c r="H1218" t="s">
        <v>19</v>
      </c>
      <c r="I1218">
        <v>1</v>
      </c>
      <c r="J1218">
        <v>6796</v>
      </c>
      <c r="K1218">
        <v>6796</v>
      </c>
      <c r="L1218" t="s">
        <v>78</v>
      </c>
      <c r="M1218" t="s">
        <v>93</v>
      </c>
      <c r="N1218" t="s">
        <v>35</v>
      </c>
    </row>
    <row r="1219" spans="1:14" x14ac:dyDescent="0.25">
      <c r="A1219" t="s">
        <v>3684</v>
      </c>
      <c r="B1219" s="1">
        <v>45757</v>
      </c>
      <c r="C1219" t="s">
        <v>3685</v>
      </c>
      <c r="D1219" t="s">
        <v>3686</v>
      </c>
      <c r="E1219" s="14">
        <v>923227322830</v>
      </c>
      <c r="F1219" t="s">
        <v>17</v>
      </c>
      <c r="G1219" t="s">
        <v>18</v>
      </c>
      <c r="H1219" t="s">
        <v>50</v>
      </c>
      <c r="I1219">
        <v>1</v>
      </c>
      <c r="J1219">
        <v>5930</v>
      </c>
      <c r="K1219">
        <v>5930</v>
      </c>
      <c r="L1219" t="s">
        <v>40</v>
      </c>
      <c r="M1219" t="s">
        <v>135</v>
      </c>
      <c r="N1219" t="s">
        <v>28</v>
      </c>
    </row>
    <row r="1220" spans="1:14" x14ac:dyDescent="0.25">
      <c r="A1220" t="s">
        <v>3687</v>
      </c>
      <c r="B1220" s="1">
        <v>45753</v>
      </c>
      <c r="C1220" t="s">
        <v>3688</v>
      </c>
      <c r="D1220" t="s">
        <v>3689</v>
      </c>
      <c r="E1220" s="14">
        <v>923400462578</v>
      </c>
      <c r="F1220" t="s">
        <v>49</v>
      </c>
      <c r="G1220" t="s">
        <v>18</v>
      </c>
      <c r="H1220" t="s">
        <v>73</v>
      </c>
      <c r="I1220">
        <v>2</v>
      </c>
      <c r="J1220">
        <v>5381</v>
      </c>
      <c r="K1220">
        <v>10762</v>
      </c>
      <c r="L1220" t="s">
        <v>68</v>
      </c>
      <c r="M1220" t="s">
        <v>55</v>
      </c>
      <c r="N1220" t="s">
        <v>35</v>
      </c>
    </row>
    <row r="1221" spans="1:14" x14ac:dyDescent="0.25">
      <c r="A1221" t="s">
        <v>3690</v>
      </c>
      <c r="B1221" s="1">
        <v>46015</v>
      </c>
      <c r="C1221" t="s">
        <v>3691</v>
      </c>
      <c r="D1221" t="s">
        <v>3692</v>
      </c>
      <c r="E1221" s="14">
        <v>923342494409</v>
      </c>
      <c r="F1221" t="s">
        <v>17</v>
      </c>
      <c r="G1221" t="s">
        <v>18</v>
      </c>
      <c r="H1221" t="s">
        <v>73</v>
      </c>
      <c r="I1221">
        <v>1</v>
      </c>
      <c r="J1221">
        <v>2919</v>
      </c>
      <c r="K1221">
        <v>2919</v>
      </c>
      <c r="L1221" t="s">
        <v>40</v>
      </c>
      <c r="M1221" t="s">
        <v>135</v>
      </c>
      <c r="N1221" t="s">
        <v>28</v>
      </c>
    </row>
    <row r="1222" spans="1:14" x14ac:dyDescent="0.25">
      <c r="A1222" t="s">
        <v>3693</v>
      </c>
      <c r="B1222" s="1">
        <v>45863</v>
      </c>
      <c r="C1222" t="s">
        <v>3694</v>
      </c>
      <c r="D1222" t="s">
        <v>3695</v>
      </c>
      <c r="E1222" s="14">
        <v>923060546984</v>
      </c>
      <c r="F1222" t="s">
        <v>44</v>
      </c>
      <c r="G1222" t="s">
        <v>18</v>
      </c>
      <c r="H1222" t="s">
        <v>59</v>
      </c>
      <c r="I1222">
        <v>5</v>
      </c>
      <c r="J1222">
        <v>3335</v>
      </c>
      <c r="K1222">
        <v>16675</v>
      </c>
      <c r="L1222" t="s">
        <v>63</v>
      </c>
      <c r="M1222" t="s">
        <v>55</v>
      </c>
      <c r="N1222" t="s">
        <v>35</v>
      </c>
    </row>
    <row r="1223" spans="1:14" x14ac:dyDescent="0.25">
      <c r="A1223" t="s">
        <v>3696</v>
      </c>
      <c r="B1223" s="1">
        <v>45746</v>
      </c>
      <c r="C1223" t="s">
        <v>3697</v>
      </c>
      <c r="D1223" t="s">
        <v>3698</v>
      </c>
      <c r="E1223" s="14">
        <v>923004110438</v>
      </c>
      <c r="F1223" t="s">
        <v>92</v>
      </c>
      <c r="G1223" t="s">
        <v>18</v>
      </c>
      <c r="H1223" t="s">
        <v>59</v>
      </c>
      <c r="I1223">
        <v>2</v>
      </c>
      <c r="J1223">
        <v>11157</v>
      </c>
      <c r="K1223">
        <v>22314</v>
      </c>
      <c r="L1223" t="s">
        <v>63</v>
      </c>
      <c r="M1223" t="s">
        <v>93</v>
      </c>
      <c r="N1223" t="s">
        <v>69</v>
      </c>
    </row>
    <row r="1224" spans="1:14" x14ac:dyDescent="0.25">
      <c r="A1224" t="s">
        <v>3699</v>
      </c>
      <c r="B1224" s="1">
        <v>45772</v>
      </c>
      <c r="C1224" t="s">
        <v>3700</v>
      </c>
      <c r="D1224" t="s">
        <v>3701</v>
      </c>
      <c r="E1224" s="14">
        <v>923224649249</v>
      </c>
      <c r="F1224" t="s">
        <v>17</v>
      </c>
      <c r="G1224" t="s">
        <v>18</v>
      </c>
      <c r="H1224" t="s">
        <v>39</v>
      </c>
      <c r="I1224">
        <v>2</v>
      </c>
      <c r="J1224">
        <v>13340</v>
      </c>
      <c r="K1224">
        <v>26680</v>
      </c>
      <c r="L1224" t="s">
        <v>20</v>
      </c>
      <c r="M1224" t="s">
        <v>45</v>
      </c>
      <c r="N1224" t="s">
        <v>35</v>
      </c>
    </row>
    <row r="1225" spans="1:14" x14ac:dyDescent="0.25">
      <c r="A1225" t="s">
        <v>3702</v>
      </c>
      <c r="B1225" s="1">
        <v>45831</v>
      </c>
      <c r="C1225" t="s">
        <v>3703</v>
      </c>
      <c r="D1225" t="s">
        <v>3704</v>
      </c>
      <c r="E1225" s="14">
        <v>923248178983</v>
      </c>
      <c r="F1225" t="s">
        <v>17</v>
      </c>
      <c r="G1225" t="s">
        <v>18</v>
      </c>
      <c r="H1225" t="s">
        <v>39</v>
      </c>
      <c r="I1225">
        <v>5</v>
      </c>
      <c r="J1225">
        <v>9459</v>
      </c>
      <c r="K1225">
        <v>47295</v>
      </c>
      <c r="L1225" t="s">
        <v>68</v>
      </c>
      <c r="M1225" t="s">
        <v>45</v>
      </c>
      <c r="N1225" t="s">
        <v>28</v>
      </c>
    </row>
    <row r="1226" spans="1:14" x14ac:dyDescent="0.25">
      <c r="A1226" t="s">
        <v>3705</v>
      </c>
      <c r="B1226" s="1">
        <v>45818</v>
      </c>
      <c r="C1226" t="s">
        <v>3706</v>
      </c>
      <c r="D1226" t="s">
        <v>3707</v>
      </c>
      <c r="E1226" s="14">
        <v>923353738474</v>
      </c>
      <c r="F1226" t="s">
        <v>106</v>
      </c>
      <c r="G1226" t="s">
        <v>18</v>
      </c>
      <c r="H1226" t="s">
        <v>39</v>
      </c>
      <c r="I1226">
        <v>1</v>
      </c>
      <c r="J1226">
        <v>14453</v>
      </c>
      <c r="K1226">
        <v>14453</v>
      </c>
      <c r="L1226" t="s">
        <v>78</v>
      </c>
      <c r="M1226" t="s">
        <v>135</v>
      </c>
      <c r="N1226" t="s">
        <v>22</v>
      </c>
    </row>
    <row r="1227" spans="1:14" x14ac:dyDescent="0.25">
      <c r="A1227" t="s">
        <v>3708</v>
      </c>
      <c r="B1227" s="1">
        <v>45886</v>
      </c>
      <c r="C1227" t="s">
        <v>3709</v>
      </c>
      <c r="D1227" t="s">
        <v>3710</v>
      </c>
      <c r="E1227" s="14">
        <v>923325077814</v>
      </c>
      <c r="F1227" t="s">
        <v>77</v>
      </c>
      <c r="G1227" t="s">
        <v>18</v>
      </c>
      <c r="H1227" t="s">
        <v>19</v>
      </c>
      <c r="I1227">
        <v>2</v>
      </c>
      <c r="J1227">
        <v>13161</v>
      </c>
      <c r="K1227">
        <v>26322</v>
      </c>
      <c r="L1227" t="s">
        <v>20</v>
      </c>
      <c r="M1227" t="s">
        <v>55</v>
      </c>
      <c r="N1227" t="s">
        <v>28</v>
      </c>
    </row>
    <row r="1228" spans="1:14" x14ac:dyDescent="0.25">
      <c r="A1228" t="s">
        <v>3711</v>
      </c>
      <c r="B1228" s="1">
        <v>45908</v>
      </c>
      <c r="C1228" t="s">
        <v>3712</v>
      </c>
      <c r="D1228" t="s">
        <v>3713</v>
      </c>
      <c r="E1228" s="14">
        <v>923452320395</v>
      </c>
      <c r="F1228" t="s">
        <v>54</v>
      </c>
      <c r="G1228" t="s">
        <v>18</v>
      </c>
      <c r="H1228" t="s">
        <v>73</v>
      </c>
      <c r="I1228">
        <v>3</v>
      </c>
      <c r="J1228">
        <v>14134</v>
      </c>
      <c r="K1228">
        <v>42402</v>
      </c>
      <c r="L1228" t="s">
        <v>20</v>
      </c>
      <c r="M1228" t="s">
        <v>135</v>
      </c>
      <c r="N1228" t="s">
        <v>69</v>
      </c>
    </row>
    <row r="1229" spans="1:14" x14ac:dyDescent="0.25">
      <c r="A1229" t="s">
        <v>3714</v>
      </c>
      <c r="B1229" s="1">
        <v>45796</v>
      </c>
      <c r="C1229" t="s">
        <v>3715</v>
      </c>
      <c r="D1229" t="s">
        <v>3716</v>
      </c>
      <c r="E1229" s="14">
        <v>923298980703</v>
      </c>
      <c r="F1229" t="s">
        <v>106</v>
      </c>
      <c r="G1229" t="s">
        <v>18</v>
      </c>
      <c r="H1229" t="s">
        <v>50</v>
      </c>
      <c r="I1229">
        <v>1</v>
      </c>
      <c r="J1229">
        <v>10071</v>
      </c>
      <c r="K1229">
        <v>10071</v>
      </c>
      <c r="L1229" t="s">
        <v>26</v>
      </c>
      <c r="M1229" t="s">
        <v>45</v>
      </c>
      <c r="N1229" t="s">
        <v>28</v>
      </c>
    </row>
    <row r="1230" spans="1:14" x14ac:dyDescent="0.25">
      <c r="A1230" t="s">
        <v>3717</v>
      </c>
      <c r="B1230" s="1">
        <v>45821</v>
      </c>
      <c r="C1230" t="s">
        <v>3718</v>
      </c>
      <c r="D1230" t="s">
        <v>3719</v>
      </c>
      <c r="E1230" s="14">
        <v>923355028038</v>
      </c>
      <c r="F1230" t="s">
        <v>17</v>
      </c>
      <c r="G1230" t="s">
        <v>18</v>
      </c>
      <c r="H1230" t="s">
        <v>39</v>
      </c>
      <c r="I1230">
        <v>5</v>
      </c>
      <c r="J1230">
        <v>5571</v>
      </c>
      <c r="K1230">
        <v>27855</v>
      </c>
      <c r="L1230" t="s">
        <v>26</v>
      </c>
      <c r="M1230" t="s">
        <v>93</v>
      </c>
      <c r="N1230" t="s">
        <v>69</v>
      </c>
    </row>
    <row r="1231" spans="1:14" x14ac:dyDescent="0.25">
      <c r="A1231" t="s">
        <v>3720</v>
      </c>
      <c r="B1231" s="1">
        <v>45900</v>
      </c>
      <c r="C1231" t="s">
        <v>3721</v>
      </c>
      <c r="D1231" t="s">
        <v>3722</v>
      </c>
      <c r="E1231" s="14">
        <v>923370136397</v>
      </c>
      <c r="F1231" t="s">
        <v>44</v>
      </c>
      <c r="G1231" t="s">
        <v>18</v>
      </c>
      <c r="H1231" t="s">
        <v>19</v>
      </c>
      <c r="I1231">
        <v>4</v>
      </c>
      <c r="J1231">
        <v>8817</v>
      </c>
      <c r="K1231">
        <v>35268</v>
      </c>
      <c r="L1231" t="s">
        <v>63</v>
      </c>
      <c r="M1231" t="s">
        <v>135</v>
      </c>
      <c r="N1231" t="s">
        <v>69</v>
      </c>
    </row>
    <row r="1232" spans="1:14" x14ac:dyDescent="0.25">
      <c r="A1232" t="s">
        <v>3723</v>
      </c>
      <c r="B1232" s="1">
        <v>45977</v>
      </c>
      <c r="C1232" t="s">
        <v>3724</v>
      </c>
      <c r="D1232" t="s">
        <v>3725</v>
      </c>
      <c r="E1232" s="14">
        <v>923174586585</v>
      </c>
      <c r="F1232" t="s">
        <v>17</v>
      </c>
      <c r="G1232" t="s">
        <v>18</v>
      </c>
      <c r="H1232" t="s">
        <v>73</v>
      </c>
      <c r="I1232">
        <v>2</v>
      </c>
      <c r="J1232">
        <v>4915</v>
      </c>
      <c r="K1232">
        <v>9830</v>
      </c>
      <c r="L1232" t="s">
        <v>63</v>
      </c>
      <c r="M1232" t="s">
        <v>82</v>
      </c>
      <c r="N1232" t="s">
        <v>69</v>
      </c>
    </row>
    <row r="1233" spans="1:14" x14ac:dyDescent="0.25">
      <c r="A1233" t="s">
        <v>3726</v>
      </c>
      <c r="B1233" s="1">
        <v>45931</v>
      </c>
      <c r="C1233" t="s">
        <v>3727</v>
      </c>
      <c r="D1233" t="s">
        <v>3728</v>
      </c>
      <c r="E1233" s="14">
        <v>923433952425</v>
      </c>
      <c r="F1233" t="s">
        <v>106</v>
      </c>
      <c r="G1233" t="s">
        <v>18</v>
      </c>
      <c r="H1233" t="s">
        <v>73</v>
      </c>
      <c r="I1233">
        <v>4</v>
      </c>
      <c r="J1233">
        <v>3358</v>
      </c>
      <c r="K1233">
        <v>13432</v>
      </c>
      <c r="L1233" t="s">
        <v>63</v>
      </c>
      <c r="M1233" t="s">
        <v>45</v>
      </c>
      <c r="N1233" t="s">
        <v>69</v>
      </c>
    </row>
    <row r="1234" spans="1:14" x14ac:dyDescent="0.25">
      <c r="A1234" t="s">
        <v>3729</v>
      </c>
      <c r="B1234" s="1">
        <v>45954</v>
      </c>
      <c r="C1234" t="s">
        <v>3730</v>
      </c>
      <c r="D1234" t="s">
        <v>3731</v>
      </c>
      <c r="E1234" s="14">
        <v>923149398378</v>
      </c>
      <c r="F1234" t="s">
        <v>54</v>
      </c>
      <c r="G1234" t="s">
        <v>18</v>
      </c>
      <c r="H1234" t="s">
        <v>50</v>
      </c>
      <c r="I1234">
        <v>1</v>
      </c>
      <c r="J1234">
        <v>11490</v>
      </c>
      <c r="K1234">
        <v>11490</v>
      </c>
      <c r="L1234" t="s">
        <v>40</v>
      </c>
      <c r="M1234" t="s">
        <v>45</v>
      </c>
      <c r="N1234" t="s">
        <v>22</v>
      </c>
    </row>
    <row r="1235" spans="1:14" x14ac:dyDescent="0.25">
      <c r="A1235" t="s">
        <v>3732</v>
      </c>
      <c r="B1235" s="1">
        <v>45983</v>
      </c>
      <c r="C1235" t="s">
        <v>3733</v>
      </c>
      <c r="D1235" t="s">
        <v>3734</v>
      </c>
      <c r="E1235" s="14">
        <v>923194952516</v>
      </c>
      <c r="F1235" t="s">
        <v>77</v>
      </c>
      <c r="G1235" t="s">
        <v>18</v>
      </c>
      <c r="H1235" t="s">
        <v>33</v>
      </c>
      <c r="I1235">
        <v>4</v>
      </c>
      <c r="J1235">
        <v>5888</v>
      </c>
      <c r="K1235">
        <v>23552</v>
      </c>
      <c r="L1235" t="s">
        <v>63</v>
      </c>
      <c r="M1235" t="s">
        <v>93</v>
      </c>
      <c r="N1235" t="s">
        <v>22</v>
      </c>
    </row>
    <row r="1236" spans="1:14" x14ac:dyDescent="0.25">
      <c r="A1236" t="s">
        <v>3735</v>
      </c>
      <c r="B1236" s="1">
        <v>45862</v>
      </c>
      <c r="C1236" t="s">
        <v>3736</v>
      </c>
      <c r="D1236" t="s">
        <v>3737</v>
      </c>
      <c r="E1236" s="14">
        <v>923419354399</v>
      </c>
      <c r="F1236" t="s">
        <v>44</v>
      </c>
      <c r="G1236" t="s">
        <v>18</v>
      </c>
      <c r="H1236" t="s">
        <v>39</v>
      </c>
      <c r="I1236">
        <v>3</v>
      </c>
      <c r="J1236">
        <v>7671</v>
      </c>
      <c r="K1236">
        <v>23013</v>
      </c>
      <c r="L1236" t="s">
        <v>40</v>
      </c>
      <c r="M1236" t="s">
        <v>34</v>
      </c>
      <c r="N1236" t="s">
        <v>69</v>
      </c>
    </row>
    <row r="1237" spans="1:14" x14ac:dyDescent="0.25">
      <c r="A1237" t="s">
        <v>3738</v>
      </c>
      <c r="B1237" s="1">
        <v>45855</v>
      </c>
      <c r="C1237" t="s">
        <v>3739</v>
      </c>
      <c r="D1237" t="s">
        <v>3740</v>
      </c>
      <c r="E1237" s="14">
        <v>923194916047</v>
      </c>
      <c r="F1237" t="s">
        <v>92</v>
      </c>
      <c r="G1237" t="s">
        <v>18</v>
      </c>
      <c r="H1237" t="s">
        <v>73</v>
      </c>
      <c r="I1237">
        <v>4</v>
      </c>
      <c r="J1237">
        <v>11622</v>
      </c>
      <c r="K1237">
        <v>46488</v>
      </c>
      <c r="L1237" t="s">
        <v>68</v>
      </c>
      <c r="M1237" t="s">
        <v>21</v>
      </c>
      <c r="N1237" t="s">
        <v>69</v>
      </c>
    </row>
    <row r="1238" spans="1:14" x14ac:dyDescent="0.25">
      <c r="A1238" t="s">
        <v>3741</v>
      </c>
      <c r="B1238" s="1">
        <v>45824</v>
      </c>
      <c r="C1238" t="s">
        <v>3742</v>
      </c>
      <c r="D1238" t="s">
        <v>3743</v>
      </c>
      <c r="E1238" s="14">
        <v>923386838402</v>
      </c>
      <c r="F1238" t="s">
        <v>49</v>
      </c>
      <c r="G1238" t="s">
        <v>18</v>
      </c>
      <c r="H1238" t="s">
        <v>50</v>
      </c>
      <c r="I1238">
        <v>4</v>
      </c>
      <c r="J1238">
        <v>10421</v>
      </c>
      <c r="K1238">
        <v>41684</v>
      </c>
      <c r="L1238" t="s">
        <v>40</v>
      </c>
      <c r="M1238" t="s">
        <v>21</v>
      </c>
      <c r="N1238" t="s">
        <v>22</v>
      </c>
    </row>
    <row r="1239" spans="1:14" x14ac:dyDescent="0.25">
      <c r="A1239" t="s">
        <v>3744</v>
      </c>
      <c r="B1239" s="1">
        <v>46023</v>
      </c>
      <c r="C1239" t="s">
        <v>3745</v>
      </c>
      <c r="D1239" t="s">
        <v>3746</v>
      </c>
      <c r="E1239" s="14">
        <v>923236070573</v>
      </c>
      <c r="F1239" t="s">
        <v>92</v>
      </c>
      <c r="G1239" t="s">
        <v>18</v>
      </c>
      <c r="H1239" t="s">
        <v>50</v>
      </c>
      <c r="I1239">
        <v>4</v>
      </c>
      <c r="J1239">
        <v>11050</v>
      </c>
      <c r="K1239">
        <v>44200</v>
      </c>
      <c r="L1239" t="s">
        <v>63</v>
      </c>
      <c r="M1239" t="s">
        <v>27</v>
      </c>
      <c r="N1239" t="s">
        <v>35</v>
      </c>
    </row>
    <row r="1240" spans="1:14" x14ac:dyDescent="0.25">
      <c r="A1240" t="s">
        <v>3747</v>
      </c>
      <c r="B1240" s="1">
        <v>45736</v>
      </c>
      <c r="C1240" t="s">
        <v>3748</v>
      </c>
      <c r="D1240" t="s">
        <v>3749</v>
      </c>
      <c r="E1240" s="14">
        <v>923486960400</v>
      </c>
      <c r="F1240" t="s">
        <v>32</v>
      </c>
      <c r="G1240" t="s">
        <v>18</v>
      </c>
      <c r="H1240" t="s">
        <v>39</v>
      </c>
      <c r="I1240">
        <v>3</v>
      </c>
      <c r="J1240">
        <v>8452</v>
      </c>
      <c r="K1240">
        <v>25356</v>
      </c>
      <c r="L1240" t="s">
        <v>78</v>
      </c>
      <c r="M1240" t="s">
        <v>45</v>
      </c>
      <c r="N1240" t="s">
        <v>28</v>
      </c>
    </row>
    <row r="1241" spans="1:14" x14ac:dyDescent="0.25">
      <c r="A1241" t="s">
        <v>3750</v>
      </c>
      <c r="B1241" s="1">
        <v>46007</v>
      </c>
      <c r="C1241" t="s">
        <v>3751</v>
      </c>
      <c r="D1241" t="s">
        <v>3752</v>
      </c>
      <c r="E1241" s="14">
        <v>923319577522</v>
      </c>
      <c r="F1241" t="s">
        <v>77</v>
      </c>
      <c r="G1241" t="s">
        <v>18</v>
      </c>
      <c r="H1241" t="s">
        <v>39</v>
      </c>
      <c r="I1241">
        <v>1</v>
      </c>
      <c r="J1241">
        <v>2292</v>
      </c>
      <c r="K1241">
        <v>2292</v>
      </c>
      <c r="L1241" t="s">
        <v>68</v>
      </c>
      <c r="M1241" t="s">
        <v>27</v>
      </c>
      <c r="N1241" t="s">
        <v>69</v>
      </c>
    </row>
    <row r="1242" spans="1:14" x14ac:dyDescent="0.25">
      <c r="A1242" t="s">
        <v>3753</v>
      </c>
      <c r="B1242" s="1">
        <v>45772</v>
      </c>
      <c r="C1242" t="s">
        <v>3754</v>
      </c>
      <c r="D1242" t="s">
        <v>3755</v>
      </c>
      <c r="E1242" s="14">
        <v>923381700061</v>
      </c>
      <c r="F1242" t="s">
        <v>44</v>
      </c>
      <c r="G1242" t="s">
        <v>18</v>
      </c>
      <c r="H1242" t="s">
        <v>33</v>
      </c>
      <c r="I1242">
        <v>3</v>
      </c>
      <c r="J1242">
        <v>12073</v>
      </c>
      <c r="K1242">
        <v>36219</v>
      </c>
      <c r="L1242" t="s">
        <v>78</v>
      </c>
      <c r="M1242" t="s">
        <v>21</v>
      </c>
      <c r="N1242" t="s">
        <v>22</v>
      </c>
    </row>
    <row r="1243" spans="1:14" x14ac:dyDescent="0.25">
      <c r="A1243" t="s">
        <v>3756</v>
      </c>
      <c r="B1243" s="1">
        <v>45849</v>
      </c>
      <c r="C1243" t="s">
        <v>3757</v>
      </c>
      <c r="D1243" t="s">
        <v>3758</v>
      </c>
      <c r="E1243" s="14">
        <v>923031059253</v>
      </c>
      <c r="F1243" t="s">
        <v>17</v>
      </c>
      <c r="G1243" t="s">
        <v>18</v>
      </c>
      <c r="H1243" t="s">
        <v>19</v>
      </c>
      <c r="I1243">
        <v>4</v>
      </c>
      <c r="J1243">
        <v>6749</v>
      </c>
      <c r="K1243">
        <v>26996</v>
      </c>
      <c r="L1243" t="s">
        <v>78</v>
      </c>
      <c r="M1243" t="s">
        <v>45</v>
      </c>
      <c r="N1243" t="s">
        <v>35</v>
      </c>
    </row>
    <row r="1244" spans="1:14" x14ac:dyDescent="0.25">
      <c r="A1244" t="s">
        <v>3759</v>
      </c>
      <c r="B1244" s="1">
        <v>45849</v>
      </c>
      <c r="C1244" t="s">
        <v>3760</v>
      </c>
      <c r="D1244" t="s">
        <v>3761</v>
      </c>
      <c r="E1244" s="14">
        <v>923405289557</v>
      </c>
      <c r="F1244" t="s">
        <v>77</v>
      </c>
      <c r="G1244" t="s">
        <v>18</v>
      </c>
      <c r="H1244" t="s">
        <v>50</v>
      </c>
      <c r="I1244">
        <v>1</v>
      </c>
      <c r="J1244">
        <v>5555</v>
      </c>
      <c r="K1244">
        <v>5555</v>
      </c>
      <c r="L1244" t="s">
        <v>26</v>
      </c>
      <c r="M1244" t="s">
        <v>135</v>
      </c>
      <c r="N1244" t="s">
        <v>28</v>
      </c>
    </row>
    <row r="1245" spans="1:14" x14ac:dyDescent="0.25">
      <c r="A1245" t="s">
        <v>3762</v>
      </c>
      <c r="B1245" s="1">
        <v>45966</v>
      </c>
      <c r="C1245" t="s">
        <v>3763</v>
      </c>
      <c r="D1245" t="s">
        <v>3764</v>
      </c>
      <c r="E1245" s="14">
        <v>923078231407</v>
      </c>
      <c r="F1245" t="s">
        <v>49</v>
      </c>
      <c r="G1245" t="s">
        <v>18</v>
      </c>
      <c r="H1245" t="s">
        <v>39</v>
      </c>
      <c r="I1245">
        <v>5</v>
      </c>
      <c r="J1245">
        <v>6118</v>
      </c>
      <c r="K1245">
        <v>30590</v>
      </c>
      <c r="L1245" t="s">
        <v>40</v>
      </c>
      <c r="M1245" t="s">
        <v>55</v>
      </c>
      <c r="N1245" t="s">
        <v>69</v>
      </c>
    </row>
    <row r="1246" spans="1:14" x14ac:dyDescent="0.25">
      <c r="A1246" t="s">
        <v>3765</v>
      </c>
      <c r="B1246" s="1">
        <v>45991</v>
      </c>
      <c r="C1246" t="s">
        <v>3766</v>
      </c>
      <c r="D1246" t="s">
        <v>3767</v>
      </c>
      <c r="E1246" s="14">
        <v>923047089172</v>
      </c>
      <c r="F1246" t="s">
        <v>67</v>
      </c>
      <c r="G1246" t="s">
        <v>18</v>
      </c>
      <c r="H1246" t="s">
        <v>39</v>
      </c>
      <c r="I1246">
        <v>3</v>
      </c>
      <c r="J1246">
        <v>3735</v>
      </c>
      <c r="K1246">
        <v>11205</v>
      </c>
      <c r="L1246" t="s">
        <v>40</v>
      </c>
      <c r="M1246" t="s">
        <v>93</v>
      </c>
      <c r="N1246" t="s">
        <v>28</v>
      </c>
    </row>
    <row r="1247" spans="1:14" x14ac:dyDescent="0.25">
      <c r="A1247" t="s">
        <v>3768</v>
      </c>
      <c r="B1247" s="1">
        <v>46046</v>
      </c>
      <c r="C1247" t="s">
        <v>3769</v>
      </c>
      <c r="D1247" t="s">
        <v>3770</v>
      </c>
      <c r="E1247" s="14">
        <v>923161183438</v>
      </c>
      <c r="F1247" t="s">
        <v>54</v>
      </c>
      <c r="G1247" t="s">
        <v>18</v>
      </c>
      <c r="H1247" t="s">
        <v>19</v>
      </c>
      <c r="I1247">
        <v>2</v>
      </c>
      <c r="J1247">
        <v>2590</v>
      </c>
      <c r="K1247">
        <v>5180</v>
      </c>
      <c r="L1247" t="s">
        <v>63</v>
      </c>
      <c r="M1247" t="s">
        <v>21</v>
      </c>
      <c r="N1247" t="s">
        <v>28</v>
      </c>
    </row>
    <row r="1248" spans="1:14" x14ac:dyDescent="0.25">
      <c r="A1248" t="s">
        <v>3771</v>
      </c>
      <c r="B1248" s="1">
        <v>46045</v>
      </c>
      <c r="C1248" t="s">
        <v>3772</v>
      </c>
      <c r="D1248" t="s">
        <v>3773</v>
      </c>
      <c r="E1248" s="14">
        <v>923025733073</v>
      </c>
      <c r="F1248" t="s">
        <v>32</v>
      </c>
      <c r="G1248" t="s">
        <v>18</v>
      </c>
      <c r="H1248" t="s">
        <v>39</v>
      </c>
      <c r="I1248">
        <v>4</v>
      </c>
      <c r="J1248">
        <v>3635</v>
      </c>
      <c r="K1248">
        <v>14540</v>
      </c>
      <c r="L1248" t="s">
        <v>68</v>
      </c>
      <c r="M1248" t="s">
        <v>135</v>
      </c>
      <c r="N1248" t="s">
        <v>35</v>
      </c>
    </row>
    <row r="1249" spans="1:14" x14ac:dyDescent="0.25">
      <c r="A1249" t="s">
        <v>3774</v>
      </c>
      <c r="B1249" s="1">
        <v>45767</v>
      </c>
      <c r="C1249" t="s">
        <v>3775</v>
      </c>
      <c r="D1249" t="s">
        <v>3776</v>
      </c>
      <c r="E1249" s="14">
        <v>923497239271</v>
      </c>
      <c r="F1249" t="s">
        <v>92</v>
      </c>
      <c r="G1249" t="s">
        <v>18</v>
      </c>
      <c r="H1249" t="s">
        <v>33</v>
      </c>
      <c r="I1249">
        <v>1</v>
      </c>
      <c r="J1249">
        <v>1350</v>
      </c>
      <c r="K1249">
        <v>1350</v>
      </c>
      <c r="L1249" t="s">
        <v>63</v>
      </c>
      <c r="M1249" t="s">
        <v>34</v>
      </c>
      <c r="N1249" t="s">
        <v>22</v>
      </c>
    </row>
    <row r="1250" spans="1:14" x14ac:dyDescent="0.25">
      <c r="A1250" t="s">
        <v>3777</v>
      </c>
      <c r="B1250" s="1">
        <v>45906</v>
      </c>
      <c r="C1250" t="s">
        <v>3778</v>
      </c>
      <c r="D1250" t="s">
        <v>3779</v>
      </c>
      <c r="E1250" s="14">
        <v>923371889327</v>
      </c>
      <c r="F1250" t="s">
        <v>54</v>
      </c>
      <c r="G1250" t="s">
        <v>18</v>
      </c>
      <c r="H1250" t="s">
        <v>19</v>
      </c>
      <c r="I1250">
        <v>1</v>
      </c>
      <c r="J1250">
        <v>13684</v>
      </c>
      <c r="K1250">
        <v>13684</v>
      </c>
      <c r="L1250" t="s">
        <v>63</v>
      </c>
      <c r="M1250" t="s">
        <v>55</v>
      </c>
      <c r="N1250" t="s">
        <v>69</v>
      </c>
    </row>
    <row r="1251" spans="1:14" x14ac:dyDescent="0.25">
      <c r="A1251" t="s">
        <v>3780</v>
      </c>
      <c r="B1251" s="1">
        <v>46021</v>
      </c>
      <c r="C1251" t="s">
        <v>3781</v>
      </c>
      <c r="D1251" t="s">
        <v>3782</v>
      </c>
      <c r="E1251" s="14">
        <v>923241552081</v>
      </c>
      <c r="F1251" t="s">
        <v>106</v>
      </c>
      <c r="G1251" t="s">
        <v>18</v>
      </c>
      <c r="H1251" t="s">
        <v>59</v>
      </c>
      <c r="I1251">
        <v>2</v>
      </c>
      <c r="J1251">
        <v>9587</v>
      </c>
      <c r="K1251">
        <v>19174</v>
      </c>
      <c r="L1251" t="s">
        <v>78</v>
      </c>
      <c r="M1251" t="s">
        <v>27</v>
      </c>
      <c r="N1251" t="s">
        <v>69</v>
      </c>
    </row>
    <row r="1252" spans="1:14" x14ac:dyDescent="0.25">
      <c r="A1252" t="s">
        <v>3783</v>
      </c>
      <c r="B1252" s="1">
        <v>45990</v>
      </c>
      <c r="C1252" t="s">
        <v>3784</v>
      </c>
      <c r="D1252" t="s">
        <v>3785</v>
      </c>
      <c r="E1252" s="14">
        <v>923306782606</v>
      </c>
      <c r="F1252" t="s">
        <v>92</v>
      </c>
      <c r="G1252" t="s">
        <v>18</v>
      </c>
      <c r="H1252" t="s">
        <v>39</v>
      </c>
      <c r="I1252">
        <v>2</v>
      </c>
      <c r="J1252">
        <v>13799</v>
      </c>
      <c r="K1252">
        <v>27598</v>
      </c>
      <c r="L1252" t="s">
        <v>68</v>
      </c>
      <c r="M1252" t="s">
        <v>34</v>
      </c>
      <c r="N1252" t="s">
        <v>35</v>
      </c>
    </row>
    <row r="1253" spans="1:14" x14ac:dyDescent="0.25">
      <c r="A1253" t="s">
        <v>3786</v>
      </c>
      <c r="B1253" s="1">
        <v>45742</v>
      </c>
      <c r="C1253" t="s">
        <v>3787</v>
      </c>
      <c r="D1253" t="s">
        <v>3788</v>
      </c>
      <c r="E1253" s="14">
        <v>923337553055</v>
      </c>
      <c r="F1253" t="s">
        <v>32</v>
      </c>
      <c r="G1253" t="s">
        <v>18</v>
      </c>
      <c r="H1253" t="s">
        <v>59</v>
      </c>
      <c r="I1253">
        <v>1</v>
      </c>
      <c r="J1253">
        <v>10608</v>
      </c>
      <c r="K1253">
        <v>10608</v>
      </c>
      <c r="L1253" t="s">
        <v>63</v>
      </c>
      <c r="M1253" t="s">
        <v>55</v>
      </c>
      <c r="N1253" t="s">
        <v>28</v>
      </c>
    </row>
    <row r="1254" spans="1:14" x14ac:dyDescent="0.25">
      <c r="A1254" t="s">
        <v>3789</v>
      </c>
      <c r="B1254" s="1">
        <v>45847</v>
      </c>
      <c r="C1254" t="s">
        <v>3790</v>
      </c>
      <c r="D1254" t="s">
        <v>3791</v>
      </c>
      <c r="E1254" s="14">
        <v>923271522850</v>
      </c>
      <c r="F1254" t="s">
        <v>17</v>
      </c>
      <c r="G1254" t="s">
        <v>18</v>
      </c>
      <c r="H1254" t="s">
        <v>39</v>
      </c>
      <c r="I1254">
        <v>4</v>
      </c>
      <c r="J1254">
        <v>3957</v>
      </c>
      <c r="K1254">
        <v>15828</v>
      </c>
      <c r="L1254" t="s">
        <v>40</v>
      </c>
      <c r="M1254" t="s">
        <v>135</v>
      </c>
      <c r="N1254" t="s">
        <v>22</v>
      </c>
    </row>
    <row r="1255" spans="1:14" x14ac:dyDescent="0.25">
      <c r="A1255" t="s">
        <v>3792</v>
      </c>
      <c r="B1255" s="1">
        <v>45714</v>
      </c>
      <c r="C1255" t="s">
        <v>3793</v>
      </c>
      <c r="D1255" t="s">
        <v>3794</v>
      </c>
      <c r="E1255" s="14">
        <v>923074248390</v>
      </c>
      <c r="F1255" t="s">
        <v>77</v>
      </c>
      <c r="G1255" t="s">
        <v>18</v>
      </c>
      <c r="H1255" t="s">
        <v>73</v>
      </c>
      <c r="I1255">
        <v>5</v>
      </c>
      <c r="J1255">
        <v>4055</v>
      </c>
      <c r="K1255">
        <v>20275</v>
      </c>
      <c r="L1255" t="s">
        <v>26</v>
      </c>
      <c r="M1255" t="s">
        <v>34</v>
      </c>
      <c r="N1255" t="s">
        <v>35</v>
      </c>
    </row>
    <row r="1256" spans="1:14" x14ac:dyDescent="0.25">
      <c r="A1256" t="s">
        <v>3795</v>
      </c>
      <c r="B1256" s="1">
        <v>46065</v>
      </c>
      <c r="C1256" t="s">
        <v>3796</v>
      </c>
      <c r="D1256" t="s">
        <v>3797</v>
      </c>
      <c r="E1256" s="14">
        <v>923375571532</v>
      </c>
      <c r="F1256" t="s">
        <v>17</v>
      </c>
      <c r="G1256" t="s">
        <v>18</v>
      </c>
      <c r="H1256" t="s">
        <v>39</v>
      </c>
      <c r="I1256">
        <v>5</v>
      </c>
      <c r="J1256">
        <v>4428</v>
      </c>
      <c r="K1256">
        <v>22140</v>
      </c>
      <c r="L1256" t="s">
        <v>20</v>
      </c>
      <c r="M1256" t="s">
        <v>45</v>
      </c>
      <c r="N1256" t="s">
        <v>22</v>
      </c>
    </row>
    <row r="1257" spans="1:14" x14ac:dyDescent="0.25">
      <c r="A1257" t="s">
        <v>3798</v>
      </c>
      <c r="B1257" s="1">
        <v>46003</v>
      </c>
      <c r="C1257" t="s">
        <v>3799</v>
      </c>
      <c r="D1257" t="s">
        <v>3800</v>
      </c>
      <c r="E1257" s="14">
        <v>923492327186</v>
      </c>
      <c r="F1257" t="s">
        <v>17</v>
      </c>
      <c r="G1257" t="s">
        <v>18</v>
      </c>
      <c r="H1257" t="s">
        <v>39</v>
      </c>
      <c r="I1257">
        <v>2</v>
      </c>
      <c r="J1257">
        <v>11294</v>
      </c>
      <c r="K1257">
        <v>22588</v>
      </c>
      <c r="L1257" t="s">
        <v>63</v>
      </c>
      <c r="M1257" t="s">
        <v>55</v>
      </c>
      <c r="N1257" t="s">
        <v>35</v>
      </c>
    </row>
    <row r="1258" spans="1:14" x14ac:dyDescent="0.25">
      <c r="A1258" t="s">
        <v>3801</v>
      </c>
      <c r="B1258" s="1">
        <v>45925</v>
      </c>
      <c r="C1258" t="s">
        <v>3802</v>
      </c>
      <c r="D1258" t="s">
        <v>3803</v>
      </c>
      <c r="E1258" s="14">
        <v>923318340163</v>
      </c>
      <c r="F1258" t="s">
        <v>67</v>
      </c>
      <c r="G1258" t="s">
        <v>18</v>
      </c>
      <c r="H1258" t="s">
        <v>19</v>
      </c>
      <c r="I1258">
        <v>3</v>
      </c>
      <c r="J1258">
        <v>11170</v>
      </c>
      <c r="K1258">
        <v>33510</v>
      </c>
      <c r="L1258" t="s">
        <v>20</v>
      </c>
      <c r="M1258" t="s">
        <v>93</v>
      </c>
      <c r="N1258" t="s">
        <v>35</v>
      </c>
    </row>
    <row r="1259" spans="1:14" x14ac:dyDescent="0.25">
      <c r="A1259" t="s">
        <v>3804</v>
      </c>
      <c r="B1259" s="1">
        <v>46011</v>
      </c>
      <c r="C1259" t="s">
        <v>3805</v>
      </c>
      <c r="D1259" t="s">
        <v>3806</v>
      </c>
      <c r="E1259" s="14">
        <v>923391031871</v>
      </c>
      <c r="F1259" t="s">
        <v>49</v>
      </c>
      <c r="G1259" t="s">
        <v>18</v>
      </c>
      <c r="H1259" t="s">
        <v>50</v>
      </c>
      <c r="I1259">
        <v>4</v>
      </c>
      <c r="J1259">
        <v>5715</v>
      </c>
      <c r="K1259">
        <v>22860</v>
      </c>
      <c r="L1259" t="s">
        <v>20</v>
      </c>
      <c r="M1259" t="s">
        <v>55</v>
      </c>
      <c r="N1259" t="s">
        <v>28</v>
      </c>
    </row>
    <row r="1260" spans="1:14" x14ac:dyDescent="0.25">
      <c r="A1260" t="s">
        <v>3807</v>
      </c>
      <c r="B1260" s="1">
        <v>45827</v>
      </c>
      <c r="C1260" t="s">
        <v>3808</v>
      </c>
      <c r="D1260" t="s">
        <v>3809</v>
      </c>
      <c r="E1260" s="14">
        <v>923143148187</v>
      </c>
      <c r="F1260" t="s">
        <v>32</v>
      </c>
      <c r="G1260" t="s">
        <v>18</v>
      </c>
      <c r="H1260" t="s">
        <v>39</v>
      </c>
      <c r="I1260">
        <v>3</v>
      </c>
      <c r="J1260">
        <v>4522</v>
      </c>
      <c r="K1260">
        <v>13566</v>
      </c>
      <c r="L1260" t="s">
        <v>63</v>
      </c>
      <c r="M1260" t="s">
        <v>55</v>
      </c>
      <c r="N1260" t="s">
        <v>69</v>
      </c>
    </row>
    <row r="1261" spans="1:14" x14ac:dyDescent="0.25">
      <c r="A1261" t="s">
        <v>3810</v>
      </c>
      <c r="B1261" s="1">
        <v>46028</v>
      </c>
      <c r="C1261" t="s">
        <v>3811</v>
      </c>
      <c r="D1261" t="s">
        <v>3812</v>
      </c>
      <c r="E1261" s="14">
        <v>923335010237</v>
      </c>
      <c r="F1261" t="s">
        <v>77</v>
      </c>
      <c r="G1261" t="s">
        <v>18</v>
      </c>
      <c r="H1261" t="s">
        <v>59</v>
      </c>
      <c r="I1261">
        <v>4</v>
      </c>
      <c r="J1261">
        <v>13185</v>
      </c>
      <c r="K1261">
        <v>52740</v>
      </c>
      <c r="L1261" t="s">
        <v>78</v>
      </c>
      <c r="M1261" t="s">
        <v>21</v>
      </c>
      <c r="N1261" t="s">
        <v>28</v>
      </c>
    </row>
    <row r="1262" spans="1:14" x14ac:dyDescent="0.25">
      <c r="A1262" t="s">
        <v>3813</v>
      </c>
      <c r="B1262" s="1">
        <v>45707</v>
      </c>
      <c r="C1262" t="s">
        <v>3814</v>
      </c>
      <c r="D1262" t="s">
        <v>3815</v>
      </c>
      <c r="E1262" s="14">
        <v>923464497043</v>
      </c>
      <c r="F1262" t="s">
        <v>106</v>
      </c>
      <c r="G1262" t="s">
        <v>18</v>
      </c>
      <c r="H1262" t="s">
        <v>50</v>
      </c>
      <c r="I1262">
        <v>4</v>
      </c>
      <c r="J1262">
        <v>8922</v>
      </c>
      <c r="K1262">
        <v>35688</v>
      </c>
      <c r="L1262" t="s">
        <v>63</v>
      </c>
      <c r="M1262" t="s">
        <v>27</v>
      </c>
      <c r="N1262" t="s">
        <v>22</v>
      </c>
    </row>
    <row r="1263" spans="1:14" x14ac:dyDescent="0.25">
      <c r="A1263" t="s">
        <v>3816</v>
      </c>
      <c r="B1263" s="1">
        <v>45987</v>
      </c>
      <c r="C1263" t="s">
        <v>3817</v>
      </c>
      <c r="D1263" t="s">
        <v>3818</v>
      </c>
      <c r="E1263" s="14">
        <v>923148922668</v>
      </c>
      <c r="F1263" t="s">
        <v>77</v>
      </c>
      <c r="G1263" t="s">
        <v>18</v>
      </c>
      <c r="H1263" t="s">
        <v>39</v>
      </c>
      <c r="I1263">
        <v>1</v>
      </c>
      <c r="J1263">
        <v>12872</v>
      </c>
      <c r="K1263">
        <v>12872</v>
      </c>
      <c r="L1263" t="s">
        <v>78</v>
      </c>
      <c r="M1263" t="s">
        <v>21</v>
      </c>
      <c r="N1263" t="s">
        <v>28</v>
      </c>
    </row>
    <row r="1264" spans="1:14" x14ac:dyDescent="0.25">
      <c r="A1264" t="s">
        <v>3819</v>
      </c>
      <c r="B1264" s="1">
        <v>45737</v>
      </c>
      <c r="C1264" t="s">
        <v>3820</v>
      </c>
      <c r="D1264" t="s">
        <v>3821</v>
      </c>
      <c r="E1264" s="14">
        <v>923445962070</v>
      </c>
      <c r="F1264" t="s">
        <v>44</v>
      </c>
      <c r="G1264" t="s">
        <v>18</v>
      </c>
      <c r="H1264" t="s">
        <v>73</v>
      </c>
      <c r="I1264">
        <v>5</v>
      </c>
      <c r="J1264">
        <v>2025</v>
      </c>
      <c r="K1264">
        <v>10125</v>
      </c>
      <c r="L1264" t="s">
        <v>68</v>
      </c>
      <c r="M1264" t="s">
        <v>21</v>
      </c>
      <c r="N1264" t="s">
        <v>35</v>
      </c>
    </row>
    <row r="1265" spans="1:14" x14ac:dyDescent="0.25">
      <c r="A1265" t="s">
        <v>3822</v>
      </c>
      <c r="B1265" s="1">
        <v>45867</v>
      </c>
      <c r="C1265" t="s">
        <v>3823</v>
      </c>
      <c r="D1265" t="s">
        <v>3824</v>
      </c>
      <c r="E1265" s="14">
        <v>923382818014</v>
      </c>
      <c r="F1265" t="s">
        <v>54</v>
      </c>
      <c r="G1265" t="s">
        <v>18</v>
      </c>
      <c r="H1265" t="s">
        <v>59</v>
      </c>
      <c r="I1265">
        <v>4</v>
      </c>
      <c r="J1265">
        <v>7902</v>
      </c>
      <c r="K1265">
        <v>31608</v>
      </c>
      <c r="L1265" t="s">
        <v>40</v>
      </c>
      <c r="M1265" t="s">
        <v>93</v>
      </c>
      <c r="N1265" t="s">
        <v>35</v>
      </c>
    </row>
    <row r="1266" spans="1:14" x14ac:dyDescent="0.25">
      <c r="A1266" t="s">
        <v>3825</v>
      </c>
      <c r="B1266" s="1">
        <v>45998</v>
      </c>
      <c r="C1266" t="s">
        <v>3826</v>
      </c>
      <c r="D1266" t="s">
        <v>3827</v>
      </c>
      <c r="E1266" s="14">
        <v>923204562460</v>
      </c>
      <c r="F1266" t="s">
        <v>106</v>
      </c>
      <c r="G1266" t="s">
        <v>18</v>
      </c>
      <c r="H1266" t="s">
        <v>73</v>
      </c>
      <c r="I1266">
        <v>1</v>
      </c>
      <c r="J1266">
        <v>14222</v>
      </c>
      <c r="K1266">
        <v>14222</v>
      </c>
      <c r="L1266" t="s">
        <v>78</v>
      </c>
      <c r="M1266" t="s">
        <v>34</v>
      </c>
      <c r="N1266" t="s">
        <v>69</v>
      </c>
    </row>
    <row r="1267" spans="1:14" x14ac:dyDescent="0.25">
      <c r="A1267" t="s">
        <v>3828</v>
      </c>
      <c r="B1267" s="1">
        <v>45833</v>
      </c>
      <c r="C1267" t="s">
        <v>3829</v>
      </c>
      <c r="D1267" t="s">
        <v>3830</v>
      </c>
      <c r="E1267" s="14">
        <v>923160782124</v>
      </c>
      <c r="F1267" t="s">
        <v>32</v>
      </c>
      <c r="G1267" t="s">
        <v>18</v>
      </c>
      <c r="H1267" t="s">
        <v>33</v>
      </c>
      <c r="I1267">
        <v>5</v>
      </c>
      <c r="J1267">
        <v>14873</v>
      </c>
      <c r="K1267">
        <v>74365</v>
      </c>
      <c r="L1267" t="s">
        <v>20</v>
      </c>
      <c r="M1267" t="s">
        <v>82</v>
      </c>
      <c r="N1267" t="s">
        <v>69</v>
      </c>
    </row>
    <row r="1268" spans="1:14" x14ac:dyDescent="0.25">
      <c r="A1268" t="s">
        <v>3831</v>
      </c>
      <c r="B1268" s="1">
        <v>45953</v>
      </c>
      <c r="C1268" t="s">
        <v>3832</v>
      </c>
      <c r="D1268" t="s">
        <v>3833</v>
      </c>
      <c r="E1268" s="14">
        <v>923112289090</v>
      </c>
      <c r="F1268" t="s">
        <v>49</v>
      </c>
      <c r="G1268" t="s">
        <v>18</v>
      </c>
      <c r="H1268" t="s">
        <v>50</v>
      </c>
      <c r="I1268">
        <v>2</v>
      </c>
      <c r="J1268">
        <v>2193</v>
      </c>
      <c r="K1268">
        <v>4386</v>
      </c>
      <c r="L1268" t="s">
        <v>63</v>
      </c>
      <c r="M1268" t="s">
        <v>45</v>
      </c>
      <c r="N1268" t="s">
        <v>69</v>
      </c>
    </row>
    <row r="1269" spans="1:14" x14ac:dyDescent="0.25">
      <c r="A1269" t="s">
        <v>3834</v>
      </c>
      <c r="B1269" s="1">
        <v>45864</v>
      </c>
      <c r="C1269" t="s">
        <v>3835</v>
      </c>
      <c r="D1269" t="s">
        <v>3836</v>
      </c>
      <c r="E1269" s="14">
        <v>923318440502</v>
      </c>
      <c r="F1269" t="s">
        <v>32</v>
      </c>
      <c r="G1269" t="s">
        <v>18</v>
      </c>
      <c r="H1269" t="s">
        <v>19</v>
      </c>
      <c r="I1269">
        <v>5</v>
      </c>
      <c r="J1269">
        <v>12797</v>
      </c>
      <c r="K1269">
        <v>63985</v>
      </c>
      <c r="L1269" t="s">
        <v>63</v>
      </c>
      <c r="M1269" t="s">
        <v>55</v>
      </c>
      <c r="N1269" t="s">
        <v>69</v>
      </c>
    </row>
    <row r="1270" spans="1:14" x14ac:dyDescent="0.25">
      <c r="A1270" t="s">
        <v>3837</v>
      </c>
      <c r="B1270" s="1">
        <v>46059</v>
      </c>
      <c r="C1270" t="s">
        <v>3838</v>
      </c>
      <c r="D1270" t="s">
        <v>3839</v>
      </c>
      <c r="E1270" s="14">
        <v>923387180369</v>
      </c>
      <c r="F1270" t="s">
        <v>54</v>
      </c>
      <c r="G1270" t="s">
        <v>18</v>
      </c>
      <c r="H1270" t="s">
        <v>50</v>
      </c>
      <c r="I1270">
        <v>1</v>
      </c>
      <c r="J1270">
        <v>14528</v>
      </c>
      <c r="K1270">
        <v>14528</v>
      </c>
      <c r="L1270" t="s">
        <v>26</v>
      </c>
      <c r="M1270" t="s">
        <v>135</v>
      </c>
      <c r="N1270" t="s">
        <v>35</v>
      </c>
    </row>
    <row r="1271" spans="1:14" x14ac:dyDescent="0.25">
      <c r="A1271" t="s">
        <v>3840</v>
      </c>
      <c r="B1271" s="1">
        <v>45877</v>
      </c>
      <c r="C1271" t="s">
        <v>3841</v>
      </c>
      <c r="D1271" t="s">
        <v>3842</v>
      </c>
      <c r="E1271" s="14">
        <v>923360694449</v>
      </c>
      <c r="F1271" t="s">
        <v>122</v>
      </c>
      <c r="G1271" t="s">
        <v>18</v>
      </c>
      <c r="H1271" t="s">
        <v>73</v>
      </c>
      <c r="I1271">
        <v>5</v>
      </c>
      <c r="J1271">
        <v>12151</v>
      </c>
      <c r="K1271">
        <v>60755</v>
      </c>
      <c r="L1271" t="s">
        <v>78</v>
      </c>
      <c r="M1271" t="s">
        <v>82</v>
      </c>
      <c r="N1271" t="s">
        <v>22</v>
      </c>
    </row>
    <row r="1272" spans="1:14" x14ac:dyDescent="0.25">
      <c r="A1272" t="s">
        <v>3843</v>
      </c>
      <c r="B1272" s="1">
        <v>46016</v>
      </c>
      <c r="C1272" t="s">
        <v>3844</v>
      </c>
      <c r="D1272" t="s">
        <v>3845</v>
      </c>
      <c r="E1272" s="14">
        <v>923056887431</v>
      </c>
      <c r="F1272" t="s">
        <v>49</v>
      </c>
      <c r="G1272" t="s">
        <v>18</v>
      </c>
      <c r="H1272" t="s">
        <v>73</v>
      </c>
      <c r="I1272">
        <v>5</v>
      </c>
      <c r="J1272">
        <v>10741</v>
      </c>
      <c r="K1272">
        <v>53705</v>
      </c>
      <c r="L1272" t="s">
        <v>63</v>
      </c>
      <c r="M1272" t="s">
        <v>135</v>
      </c>
      <c r="N1272" t="s">
        <v>69</v>
      </c>
    </row>
    <row r="1273" spans="1:14" x14ac:dyDescent="0.25">
      <c r="A1273" t="s">
        <v>3846</v>
      </c>
      <c r="B1273" s="1">
        <v>45953</v>
      </c>
      <c r="C1273" t="s">
        <v>3847</v>
      </c>
      <c r="D1273" t="s">
        <v>3848</v>
      </c>
      <c r="E1273" s="14">
        <v>923320442351</v>
      </c>
      <c r="F1273" t="s">
        <v>17</v>
      </c>
      <c r="G1273" t="s">
        <v>18</v>
      </c>
      <c r="H1273" t="s">
        <v>19</v>
      </c>
      <c r="I1273">
        <v>4</v>
      </c>
      <c r="J1273">
        <v>5669</v>
      </c>
      <c r="K1273">
        <v>22676</v>
      </c>
      <c r="L1273" t="s">
        <v>20</v>
      </c>
      <c r="M1273" t="s">
        <v>135</v>
      </c>
      <c r="N1273" t="s">
        <v>22</v>
      </c>
    </row>
    <row r="1274" spans="1:14" x14ac:dyDescent="0.25">
      <c r="A1274" t="s">
        <v>3849</v>
      </c>
      <c r="B1274" s="1">
        <v>45748</v>
      </c>
      <c r="C1274" t="s">
        <v>3850</v>
      </c>
      <c r="D1274" t="s">
        <v>3851</v>
      </c>
      <c r="E1274" s="14">
        <v>923288153301</v>
      </c>
      <c r="F1274" t="s">
        <v>106</v>
      </c>
      <c r="G1274" t="s">
        <v>18</v>
      </c>
      <c r="H1274" t="s">
        <v>73</v>
      </c>
      <c r="I1274">
        <v>2</v>
      </c>
      <c r="J1274">
        <v>3869</v>
      </c>
      <c r="K1274">
        <v>7738</v>
      </c>
      <c r="L1274" t="s">
        <v>63</v>
      </c>
      <c r="M1274" t="s">
        <v>34</v>
      </c>
      <c r="N1274" t="s">
        <v>28</v>
      </c>
    </row>
    <row r="1275" spans="1:14" x14ac:dyDescent="0.25">
      <c r="A1275" t="s">
        <v>3852</v>
      </c>
      <c r="B1275" s="1">
        <v>45997</v>
      </c>
      <c r="C1275" t="s">
        <v>3853</v>
      </c>
      <c r="D1275" t="s">
        <v>3854</v>
      </c>
      <c r="E1275" s="14">
        <v>923195281931</v>
      </c>
      <c r="F1275" t="s">
        <v>17</v>
      </c>
      <c r="G1275" t="s">
        <v>18</v>
      </c>
      <c r="H1275" t="s">
        <v>50</v>
      </c>
      <c r="I1275">
        <v>3</v>
      </c>
      <c r="J1275">
        <v>12736</v>
      </c>
      <c r="K1275">
        <v>38208</v>
      </c>
      <c r="L1275" t="s">
        <v>63</v>
      </c>
      <c r="M1275" t="s">
        <v>82</v>
      </c>
      <c r="N1275" t="s">
        <v>22</v>
      </c>
    </row>
    <row r="1276" spans="1:14" x14ac:dyDescent="0.25">
      <c r="A1276" t="s">
        <v>3855</v>
      </c>
      <c r="B1276" s="1">
        <v>45959</v>
      </c>
      <c r="C1276" t="s">
        <v>3856</v>
      </c>
      <c r="D1276" t="s">
        <v>3857</v>
      </c>
      <c r="E1276" s="14">
        <v>923476304542</v>
      </c>
      <c r="F1276" t="s">
        <v>44</v>
      </c>
      <c r="G1276" t="s">
        <v>18</v>
      </c>
      <c r="H1276" t="s">
        <v>50</v>
      </c>
      <c r="I1276">
        <v>3</v>
      </c>
      <c r="J1276">
        <v>5542</v>
      </c>
      <c r="K1276">
        <v>16626</v>
      </c>
      <c r="L1276" t="s">
        <v>68</v>
      </c>
      <c r="M1276" t="s">
        <v>93</v>
      </c>
      <c r="N1276" t="s">
        <v>22</v>
      </c>
    </row>
    <row r="1277" spans="1:14" x14ac:dyDescent="0.25">
      <c r="A1277" t="s">
        <v>3858</v>
      </c>
      <c r="B1277" s="1">
        <v>45716</v>
      </c>
      <c r="C1277" t="s">
        <v>3859</v>
      </c>
      <c r="D1277" t="s">
        <v>3860</v>
      </c>
      <c r="E1277" s="14">
        <v>923315366084</v>
      </c>
      <c r="F1277" t="s">
        <v>122</v>
      </c>
      <c r="G1277" t="s">
        <v>18</v>
      </c>
      <c r="H1277" t="s">
        <v>33</v>
      </c>
      <c r="I1277">
        <v>3</v>
      </c>
      <c r="J1277">
        <v>11016</v>
      </c>
      <c r="K1277">
        <v>33048</v>
      </c>
      <c r="L1277" t="s">
        <v>68</v>
      </c>
      <c r="M1277" t="s">
        <v>55</v>
      </c>
      <c r="N1277" t="s">
        <v>35</v>
      </c>
    </row>
    <row r="1278" spans="1:14" x14ac:dyDescent="0.25">
      <c r="A1278" t="s">
        <v>3861</v>
      </c>
      <c r="B1278" s="1">
        <v>45835</v>
      </c>
      <c r="C1278" t="s">
        <v>3862</v>
      </c>
      <c r="D1278" t="s">
        <v>3863</v>
      </c>
      <c r="E1278" s="14">
        <v>923308207593</v>
      </c>
      <c r="F1278" t="s">
        <v>49</v>
      </c>
      <c r="G1278" t="s">
        <v>18</v>
      </c>
      <c r="H1278" t="s">
        <v>73</v>
      </c>
      <c r="I1278">
        <v>4</v>
      </c>
      <c r="J1278">
        <v>9923</v>
      </c>
      <c r="K1278">
        <v>39692</v>
      </c>
      <c r="L1278" t="s">
        <v>26</v>
      </c>
      <c r="M1278" t="s">
        <v>45</v>
      </c>
      <c r="N1278" t="s">
        <v>35</v>
      </c>
    </row>
    <row r="1279" spans="1:14" x14ac:dyDescent="0.25">
      <c r="A1279" t="s">
        <v>3864</v>
      </c>
      <c r="B1279" s="1">
        <v>45878</v>
      </c>
      <c r="C1279" t="s">
        <v>3865</v>
      </c>
      <c r="D1279" t="s">
        <v>3866</v>
      </c>
      <c r="E1279" s="14">
        <v>923491318052</v>
      </c>
      <c r="F1279" t="s">
        <v>67</v>
      </c>
      <c r="G1279" t="s">
        <v>18</v>
      </c>
      <c r="H1279" t="s">
        <v>33</v>
      </c>
      <c r="I1279">
        <v>5</v>
      </c>
      <c r="J1279">
        <v>12267</v>
      </c>
      <c r="K1279">
        <v>61335</v>
      </c>
      <c r="L1279" t="s">
        <v>78</v>
      </c>
      <c r="M1279" t="s">
        <v>93</v>
      </c>
      <c r="N1279" t="s">
        <v>35</v>
      </c>
    </row>
    <row r="1280" spans="1:14" x14ac:dyDescent="0.25">
      <c r="A1280" t="s">
        <v>3867</v>
      </c>
      <c r="B1280" s="1">
        <v>45907</v>
      </c>
      <c r="C1280" t="s">
        <v>3868</v>
      </c>
      <c r="D1280" t="s">
        <v>3869</v>
      </c>
      <c r="E1280" s="14">
        <v>923104224431</v>
      </c>
      <c r="F1280" t="s">
        <v>17</v>
      </c>
      <c r="G1280" t="s">
        <v>18</v>
      </c>
      <c r="H1280" t="s">
        <v>73</v>
      </c>
      <c r="I1280">
        <v>1</v>
      </c>
      <c r="J1280">
        <v>5226</v>
      </c>
      <c r="K1280">
        <v>5226</v>
      </c>
      <c r="L1280" t="s">
        <v>20</v>
      </c>
      <c r="M1280" t="s">
        <v>55</v>
      </c>
      <c r="N1280" t="s">
        <v>35</v>
      </c>
    </row>
    <row r="1281" spans="1:14" x14ac:dyDescent="0.25">
      <c r="A1281" t="s">
        <v>3870</v>
      </c>
      <c r="B1281" s="1">
        <v>45847</v>
      </c>
      <c r="C1281" t="s">
        <v>3871</v>
      </c>
      <c r="D1281" t="s">
        <v>3872</v>
      </c>
      <c r="E1281" s="14">
        <v>923164226247</v>
      </c>
      <c r="F1281" t="s">
        <v>17</v>
      </c>
      <c r="G1281" t="s">
        <v>18</v>
      </c>
      <c r="H1281" t="s">
        <v>39</v>
      </c>
      <c r="I1281">
        <v>2</v>
      </c>
      <c r="J1281">
        <v>1079</v>
      </c>
      <c r="K1281">
        <v>2158</v>
      </c>
      <c r="L1281" t="s">
        <v>78</v>
      </c>
      <c r="M1281" t="s">
        <v>93</v>
      </c>
      <c r="N1281" t="s">
        <v>35</v>
      </c>
    </row>
    <row r="1282" spans="1:14" x14ac:dyDescent="0.25">
      <c r="A1282" t="s">
        <v>3873</v>
      </c>
      <c r="B1282" s="1">
        <v>46036</v>
      </c>
      <c r="C1282" t="s">
        <v>3874</v>
      </c>
      <c r="D1282" t="s">
        <v>3875</v>
      </c>
      <c r="E1282" s="14">
        <v>923076511540</v>
      </c>
      <c r="F1282" t="s">
        <v>77</v>
      </c>
      <c r="G1282" t="s">
        <v>18</v>
      </c>
      <c r="H1282" t="s">
        <v>33</v>
      </c>
      <c r="I1282">
        <v>3</v>
      </c>
      <c r="J1282">
        <v>7040</v>
      </c>
      <c r="K1282">
        <v>21120</v>
      </c>
      <c r="L1282" t="s">
        <v>26</v>
      </c>
      <c r="M1282" t="s">
        <v>55</v>
      </c>
      <c r="N1282" t="s">
        <v>28</v>
      </c>
    </row>
    <row r="1283" spans="1:14" x14ac:dyDescent="0.25">
      <c r="A1283" t="s">
        <v>3876</v>
      </c>
      <c r="B1283" s="1">
        <v>46004</v>
      </c>
      <c r="C1283" t="s">
        <v>3877</v>
      </c>
      <c r="D1283" t="s">
        <v>3878</v>
      </c>
      <c r="E1283" s="14">
        <v>923119489343</v>
      </c>
      <c r="F1283" t="s">
        <v>67</v>
      </c>
      <c r="G1283" t="s">
        <v>18</v>
      </c>
      <c r="H1283" t="s">
        <v>50</v>
      </c>
      <c r="I1283">
        <v>3</v>
      </c>
      <c r="J1283">
        <v>9310</v>
      </c>
      <c r="K1283">
        <v>27930</v>
      </c>
      <c r="L1283" t="s">
        <v>40</v>
      </c>
      <c r="M1283" t="s">
        <v>135</v>
      </c>
      <c r="N1283" t="s">
        <v>22</v>
      </c>
    </row>
    <row r="1284" spans="1:14" x14ac:dyDescent="0.25">
      <c r="A1284" t="s">
        <v>3879</v>
      </c>
      <c r="B1284" s="1">
        <v>45725</v>
      </c>
      <c r="C1284" t="s">
        <v>3880</v>
      </c>
      <c r="D1284" t="s">
        <v>3881</v>
      </c>
      <c r="E1284" s="14">
        <v>923237585155</v>
      </c>
      <c r="F1284" t="s">
        <v>92</v>
      </c>
      <c r="G1284" t="s">
        <v>18</v>
      </c>
      <c r="H1284" t="s">
        <v>73</v>
      </c>
      <c r="I1284">
        <v>4</v>
      </c>
      <c r="J1284">
        <v>9763</v>
      </c>
      <c r="K1284">
        <v>39052</v>
      </c>
      <c r="L1284" t="s">
        <v>40</v>
      </c>
      <c r="M1284" t="s">
        <v>34</v>
      </c>
      <c r="N1284" t="s">
        <v>22</v>
      </c>
    </row>
    <row r="1285" spans="1:14" x14ac:dyDescent="0.25">
      <c r="A1285" t="s">
        <v>3882</v>
      </c>
      <c r="B1285" s="1">
        <v>46002</v>
      </c>
      <c r="C1285" t="s">
        <v>1945</v>
      </c>
      <c r="D1285" t="s">
        <v>3883</v>
      </c>
      <c r="E1285" s="14">
        <v>923452386821</v>
      </c>
      <c r="F1285" t="s">
        <v>49</v>
      </c>
      <c r="G1285" t="s">
        <v>18</v>
      </c>
      <c r="H1285" t="s">
        <v>73</v>
      </c>
      <c r="I1285">
        <v>5</v>
      </c>
      <c r="J1285">
        <v>13797</v>
      </c>
      <c r="K1285">
        <v>68985</v>
      </c>
      <c r="L1285" t="s">
        <v>63</v>
      </c>
      <c r="M1285" t="s">
        <v>34</v>
      </c>
      <c r="N1285" t="s">
        <v>69</v>
      </c>
    </row>
    <row r="1286" spans="1:14" x14ac:dyDescent="0.25">
      <c r="A1286" t="s">
        <v>3884</v>
      </c>
      <c r="B1286" s="1">
        <v>45754</v>
      </c>
      <c r="C1286" t="s">
        <v>3885</v>
      </c>
      <c r="D1286" t="s">
        <v>3886</v>
      </c>
      <c r="E1286" s="14">
        <v>923439553330</v>
      </c>
      <c r="F1286" t="s">
        <v>32</v>
      </c>
      <c r="G1286" t="s">
        <v>18</v>
      </c>
      <c r="H1286" t="s">
        <v>50</v>
      </c>
      <c r="I1286">
        <v>1</v>
      </c>
      <c r="J1286">
        <v>7792</v>
      </c>
      <c r="K1286">
        <v>7792</v>
      </c>
      <c r="L1286" t="s">
        <v>40</v>
      </c>
      <c r="M1286" t="s">
        <v>27</v>
      </c>
      <c r="N1286" t="s">
        <v>28</v>
      </c>
    </row>
    <row r="1287" spans="1:14" x14ac:dyDescent="0.25">
      <c r="A1287" t="s">
        <v>3887</v>
      </c>
      <c r="B1287" s="1">
        <v>45983</v>
      </c>
      <c r="C1287" t="s">
        <v>3888</v>
      </c>
      <c r="D1287" t="s">
        <v>3889</v>
      </c>
      <c r="E1287" s="14">
        <v>923319980107</v>
      </c>
      <c r="F1287" t="s">
        <v>17</v>
      </c>
      <c r="G1287" t="s">
        <v>18</v>
      </c>
      <c r="H1287" t="s">
        <v>50</v>
      </c>
      <c r="I1287">
        <v>3</v>
      </c>
      <c r="J1287">
        <v>11229</v>
      </c>
      <c r="K1287">
        <v>33687</v>
      </c>
      <c r="L1287" t="s">
        <v>78</v>
      </c>
      <c r="M1287" t="s">
        <v>93</v>
      </c>
      <c r="N1287" t="s">
        <v>22</v>
      </c>
    </row>
    <row r="1288" spans="1:14" x14ac:dyDescent="0.25">
      <c r="A1288" t="s">
        <v>3890</v>
      </c>
      <c r="B1288" s="1">
        <v>45891</v>
      </c>
      <c r="C1288" t="s">
        <v>3891</v>
      </c>
      <c r="D1288" t="s">
        <v>3892</v>
      </c>
      <c r="E1288" s="14">
        <v>923414834795</v>
      </c>
      <c r="F1288" t="s">
        <v>54</v>
      </c>
      <c r="G1288" t="s">
        <v>18</v>
      </c>
      <c r="H1288" t="s">
        <v>59</v>
      </c>
      <c r="I1288">
        <v>5</v>
      </c>
      <c r="J1288">
        <v>4123</v>
      </c>
      <c r="K1288">
        <v>20615</v>
      </c>
      <c r="L1288" t="s">
        <v>20</v>
      </c>
      <c r="M1288" t="s">
        <v>82</v>
      </c>
      <c r="N1288" t="s">
        <v>22</v>
      </c>
    </row>
    <row r="1289" spans="1:14" x14ac:dyDescent="0.25">
      <c r="A1289" t="s">
        <v>3893</v>
      </c>
      <c r="B1289" s="1">
        <v>45977</v>
      </c>
      <c r="C1289" t="s">
        <v>3894</v>
      </c>
      <c r="D1289" t="s">
        <v>3895</v>
      </c>
      <c r="E1289" s="14">
        <v>923418581321</v>
      </c>
      <c r="F1289" t="s">
        <v>32</v>
      </c>
      <c r="G1289" t="s">
        <v>18</v>
      </c>
      <c r="H1289" t="s">
        <v>73</v>
      </c>
      <c r="I1289">
        <v>1</v>
      </c>
      <c r="J1289">
        <v>5378</v>
      </c>
      <c r="K1289">
        <v>5378</v>
      </c>
      <c r="L1289" t="s">
        <v>68</v>
      </c>
      <c r="M1289" t="s">
        <v>27</v>
      </c>
      <c r="N1289" t="s">
        <v>69</v>
      </c>
    </row>
    <row r="1290" spans="1:14" x14ac:dyDescent="0.25">
      <c r="A1290" t="s">
        <v>3896</v>
      </c>
      <c r="B1290" s="1">
        <v>46039</v>
      </c>
      <c r="C1290" t="s">
        <v>3897</v>
      </c>
      <c r="D1290" t="s">
        <v>3898</v>
      </c>
      <c r="E1290" s="14">
        <v>923324516445</v>
      </c>
      <c r="F1290" t="s">
        <v>92</v>
      </c>
      <c r="G1290" t="s">
        <v>18</v>
      </c>
      <c r="H1290" t="s">
        <v>50</v>
      </c>
      <c r="I1290">
        <v>1</v>
      </c>
      <c r="J1290">
        <v>8983</v>
      </c>
      <c r="K1290">
        <v>8983</v>
      </c>
      <c r="L1290" t="s">
        <v>63</v>
      </c>
      <c r="M1290" t="s">
        <v>34</v>
      </c>
      <c r="N1290" t="s">
        <v>22</v>
      </c>
    </row>
    <row r="1291" spans="1:14" x14ac:dyDescent="0.25">
      <c r="A1291" t="s">
        <v>3899</v>
      </c>
      <c r="B1291" s="1">
        <v>45727</v>
      </c>
      <c r="C1291" t="s">
        <v>3900</v>
      </c>
      <c r="D1291" t="s">
        <v>3901</v>
      </c>
      <c r="E1291" s="14">
        <v>923069143176</v>
      </c>
      <c r="F1291" t="s">
        <v>49</v>
      </c>
      <c r="G1291" t="s">
        <v>18</v>
      </c>
      <c r="H1291" t="s">
        <v>39</v>
      </c>
      <c r="I1291">
        <v>3</v>
      </c>
      <c r="J1291">
        <v>4203</v>
      </c>
      <c r="K1291">
        <v>12609</v>
      </c>
      <c r="L1291" t="s">
        <v>40</v>
      </c>
      <c r="M1291" t="s">
        <v>21</v>
      </c>
      <c r="N1291" t="s">
        <v>22</v>
      </c>
    </row>
    <row r="1292" spans="1:14" x14ac:dyDescent="0.25">
      <c r="A1292" t="s">
        <v>3902</v>
      </c>
      <c r="B1292" s="1">
        <v>45744</v>
      </c>
      <c r="C1292" t="s">
        <v>3903</v>
      </c>
      <c r="D1292" t="s">
        <v>3904</v>
      </c>
      <c r="E1292" s="14">
        <v>923061508911</v>
      </c>
      <c r="F1292" t="s">
        <v>44</v>
      </c>
      <c r="G1292" t="s">
        <v>18</v>
      </c>
      <c r="H1292" t="s">
        <v>59</v>
      </c>
      <c r="I1292">
        <v>4</v>
      </c>
      <c r="J1292">
        <v>9646</v>
      </c>
      <c r="K1292">
        <v>38584</v>
      </c>
      <c r="L1292" t="s">
        <v>63</v>
      </c>
      <c r="M1292" t="s">
        <v>45</v>
      </c>
      <c r="N1292" t="s">
        <v>35</v>
      </c>
    </row>
    <row r="1293" spans="1:14" x14ac:dyDescent="0.25">
      <c r="A1293" t="s">
        <v>3905</v>
      </c>
      <c r="B1293" s="1">
        <v>45925</v>
      </c>
      <c r="C1293" t="s">
        <v>3906</v>
      </c>
      <c r="D1293" t="s">
        <v>3907</v>
      </c>
      <c r="E1293" s="14">
        <v>923377176254</v>
      </c>
      <c r="F1293" t="s">
        <v>67</v>
      </c>
      <c r="G1293" t="s">
        <v>18</v>
      </c>
      <c r="H1293" t="s">
        <v>50</v>
      </c>
      <c r="I1293">
        <v>2</v>
      </c>
      <c r="J1293">
        <v>7664</v>
      </c>
      <c r="K1293">
        <v>15328</v>
      </c>
      <c r="L1293" t="s">
        <v>40</v>
      </c>
      <c r="M1293" t="s">
        <v>45</v>
      </c>
      <c r="N1293" t="s">
        <v>22</v>
      </c>
    </row>
    <row r="1294" spans="1:14" x14ac:dyDescent="0.25">
      <c r="A1294" t="s">
        <v>3908</v>
      </c>
      <c r="B1294" s="1">
        <v>45954</v>
      </c>
      <c r="C1294" t="s">
        <v>3909</v>
      </c>
      <c r="D1294" t="s">
        <v>3910</v>
      </c>
      <c r="E1294" s="14">
        <v>923045079146</v>
      </c>
      <c r="F1294" t="s">
        <v>32</v>
      </c>
      <c r="G1294" t="s">
        <v>18</v>
      </c>
      <c r="H1294" t="s">
        <v>73</v>
      </c>
      <c r="I1294">
        <v>2</v>
      </c>
      <c r="J1294">
        <v>10890</v>
      </c>
      <c r="K1294">
        <v>21780</v>
      </c>
      <c r="L1294" t="s">
        <v>26</v>
      </c>
      <c r="M1294" t="s">
        <v>135</v>
      </c>
      <c r="N1294" t="s">
        <v>28</v>
      </c>
    </row>
    <row r="1295" spans="1:14" x14ac:dyDescent="0.25">
      <c r="A1295" t="s">
        <v>3911</v>
      </c>
      <c r="B1295" s="1">
        <v>45788</v>
      </c>
      <c r="C1295" t="s">
        <v>3912</v>
      </c>
      <c r="D1295" t="s">
        <v>3913</v>
      </c>
      <c r="E1295" s="14">
        <v>923383075307</v>
      </c>
      <c r="F1295" t="s">
        <v>49</v>
      </c>
      <c r="G1295" t="s">
        <v>18</v>
      </c>
      <c r="H1295" t="s">
        <v>73</v>
      </c>
      <c r="I1295">
        <v>2</v>
      </c>
      <c r="J1295">
        <v>13817</v>
      </c>
      <c r="K1295">
        <v>27634</v>
      </c>
      <c r="L1295" t="s">
        <v>68</v>
      </c>
      <c r="M1295" t="s">
        <v>55</v>
      </c>
      <c r="N1295" t="s">
        <v>35</v>
      </c>
    </row>
    <row r="1296" spans="1:14" x14ac:dyDescent="0.25">
      <c r="A1296" t="s">
        <v>3914</v>
      </c>
      <c r="B1296" s="1">
        <v>45962</v>
      </c>
      <c r="C1296" t="s">
        <v>3915</v>
      </c>
      <c r="D1296" t="s">
        <v>3916</v>
      </c>
      <c r="E1296" s="14">
        <v>923184011184</v>
      </c>
      <c r="F1296" t="s">
        <v>49</v>
      </c>
      <c r="G1296" t="s">
        <v>18</v>
      </c>
      <c r="H1296" t="s">
        <v>19</v>
      </c>
      <c r="I1296">
        <v>2</v>
      </c>
      <c r="J1296">
        <v>14096</v>
      </c>
      <c r="K1296">
        <v>28192</v>
      </c>
      <c r="L1296" t="s">
        <v>68</v>
      </c>
      <c r="M1296" t="s">
        <v>45</v>
      </c>
      <c r="N1296" t="s">
        <v>35</v>
      </c>
    </row>
    <row r="1297" spans="1:14" x14ac:dyDescent="0.25">
      <c r="A1297" t="s">
        <v>3917</v>
      </c>
      <c r="B1297" s="1">
        <v>45760</v>
      </c>
      <c r="C1297" t="s">
        <v>3918</v>
      </c>
      <c r="D1297" t="s">
        <v>3919</v>
      </c>
      <c r="E1297" s="14">
        <v>923265187461</v>
      </c>
      <c r="F1297" t="s">
        <v>32</v>
      </c>
      <c r="G1297" t="s">
        <v>18</v>
      </c>
      <c r="H1297" t="s">
        <v>19</v>
      </c>
      <c r="I1297">
        <v>3</v>
      </c>
      <c r="J1297">
        <v>10492</v>
      </c>
      <c r="K1297">
        <v>31476</v>
      </c>
      <c r="L1297" t="s">
        <v>78</v>
      </c>
      <c r="M1297" t="s">
        <v>82</v>
      </c>
      <c r="N1297" t="s">
        <v>69</v>
      </c>
    </row>
    <row r="1298" spans="1:14" x14ac:dyDescent="0.25">
      <c r="A1298" t="s">
        <v>3920</v>
      </c>
      <c r="B1298" s="1">
        <v>46022</v>
      </c>
      <c r="C1298" t="s">
        <v>3921</v>
      </c>
      <c r="D1298" t="s">
        <v>3922</v>
      </c>
      <c r="E1298" s="14">
        <v>923374096212</v>
      </c>
      <c r="F1298" t="s">
        <v>67</v>
      </c>
      <c r="G1298" t="s">
        <v>18</v>
      </c>
      <c r="H1298" t="s">
        <v>39</v>
      </c>
      <c r="I1298">
        <v>2</v>
      </c>
      <c r="J1298">
        <v>9795</v>
      </c>
      <c r="K1298">
        <v>19590</v>
      </c>
      <c r="L1298" t="s">
        <v>68</v>
      </c>
      <c r="M1298" t="s">
        <v>93</v>
      </c>
      <c r="N1298" t="s">
        <v>28</v>
      </c>
    </row>
    <row r="1299" spans="1:14" x14ac:dyDescent="0.25">
      <c r="A1299" t="s">
        <v>3923</v>
      </c>
      <c r="B1299" s="1">
        <v>45869</v>
      </c>
      <c r="C1299" t="s">
        <v>3924</v>
      </c>
      <c r="D1299" t="s">
        <v>3925</v>
      </c>
      <c r="E1299" s="14">
        <v>923144668674</v>
      </c>
      <c r="F1299" t="s">
        <v>92</v>
      </c>
      <c r="G1299" t="s">
        <v>18</v>
      </c>
      <c r="H1299" t="s">
        <v>59</v>
      </c>
      <c r="I1299">
        <v>3</v>
      </c>
      <c r="J1299">
        <v>8706</v>
      </c>
      <c r="K1299">
        <v>26118</v>
      </c>
      <c r="L1299" t="s">
        <v>26</v>
      </c>
      <c r="M1299" t="s">
        <v>45</v>
      </c>
      <c r="N1299" t="s">
        <v>28</v>
      </c>
    </row>
    <row r="1300" spans="1:14" x14ac:dyDescent="0.25">
      <c r="A1300" t="s">
        <v>3926</v>
      </c>
      <c r="B1300" s="1">
        <v>45966</v>
      </c>
      <c r="C1300" t="s">
        <v>3927</v>
      </c>
      <c r="D1300" t="s">
        <v>3928</v>
      </c>
      <c r="E1300" s="14">
        <v>923089389243</v>
      </c>
      <c r="F1300" t="s">
        <v>92</v>
      </c>
      <c r="G1300" t="s">
        <v>18</v>
      </c>
      <c r="H1300" t="s">
        <v>73</v>
      </c>
      <c r="I1300">
        <v>3</v>
      </c>
      <c r="J1300">
        <v>10295</v>
      </c>
      <c r="K1300">
        <v>30885</v>
      </c>
      <c r="L1300" t="s">
        <v>78</v>
      </c>
      <c r="M1300" t="s">
        <v>21</v>
      </c>
      <c r="N1300" t="s">
        <v>35</v>
      </c>
    </row>
    <row r="1301" spans="1:14" x14ac:dyDescent="0.25">
      <c r="A1301" t="s">
        <v>3929</v>
      </c>
      <c r="B1301" s="1">
        <v>45875</v>
      </c>
      <c r="C1301" t="s">
        <v>3930</v>
      </c>
      <c r="D1301" t="s">
        <v>3931</v>
      </c>
      <c r="E1301" s="14">
        <v>923194498415</v>
      </c>
      <c r="F1301" t="s">
        <v>67</v>
      </c>
      <c r="G1301" t="s">
        <v>18</v>
      </c>
      <c r="H1301" t="s">
        <v>50</v>
      </c>
      <c r="I1301">
        <v>1</v>
      </c>
      <c r="J1301">
        <v>9494</v>
      </c>
      <c r="K1301">
        <v>9494</v>
      </c>
      <c r="L1301" t="s">
        <v>26</v>
      </c>
      <c r="M1301" t="s">
        <v>21</v>
      </c>
      <c r="N1301" t="s">
        <v>22</v>
      </c>
    </row>
    <row r="1302" spans="1:14" x14ac:dyDescent="0.25">
      <c r="A1302" t="s">
        <v>3932</v>
      </c>
      <c r="B1302" s="1">
        <v>45829</v>
      </c>
      <c r="C1302" t="s">
        <v>3933</v>
      </c>
      <c r="D1302" t="s">
        <v>3934</v>
      </c>
      <c r="E1302" s="14">
        <v>923100660202</v>
      </c>
      <c r="F1302" t="s">
        <v>92</v>
      </c>
      <c r="G1302" t="s">
        <v>18</v>
      </c>
      <c r="H1302" t="s">
        <v>39</v>
      </c>
      <c r="I1302">
        <v>4</v>
      </c>
      <c r="J1302">
        <v>7839</v>
      </c>
      <c r="K1302">
        <v>31356</v>
      </c>
      <c r="L1302" t="s">
        <v>78</v>
      </c>
      <c r="M1302" t="s">
        <v>21</v>
      </c>
      <c r="N1302" t="s">
        <v>69</v>
      </c>
    </row>
    <row r="1303" spans="1:14" x14ac:dyDescent="0.25">
      <c r="A1303" t="s">
        <v>3935</v>
      </c>
      <c r="B1303" s="1">
        <v>45902</v>
      </c>
      <c r="C1303" t="s">
        <v>3936</v>
      </c>
      <c r="D1303" t="s">
        <v>3937</v>
      </c>
      <c r="E1303" s="14">
        <v>923390163875</v>
      </c>
      <c r="F1303" t="s">
        <v>92</v>
      </c>
      <c r="G1303" t="s">
        <v>18</v>
      </c>
      <c r="H1303" t="s">
        <v>33</v>
      </c>
      <c r="I1303">
        <v>1</v>
      </c>
      <c r="J1303">
        <v>8030</v>
      </c>
      <c r="K1303">
        <v>8030</v>
      </c>
      <c r="L1303" t="s">
        <v>26</v>
      </c>
      <c r="M1303" t="s">
        <v>55</v>
      </c>
      <c r="N1303" t="s">
        <v>35</v>
      </c>
    </row>
    <row r="1304" spans="1:14" x14ac:dyDescent="0.25">
      <c r="A1304" t="s">
        <v>3938</v>
      </c>
      <c r="B1304" s="1">
        <v>45776</v>
      </c>
      <c r="C1304" t="s">
        <v>3939</v>
      </c>
      <c r="D1304" t="s">
        <v>3940</v>
      </c>
      <c r="E1304" s="14">
        <v>923072817624</v>
      </c>
      <c r="F1304" t="s">
        <v>44</v>
      </c>
      <c r="G1304" t="s">
        <v>18</v>
      </c>
      <c r="H1304" t="s">
        <v>33</v>
      </c>
      <c r="I1304">
        <v>4</v>
      </c>
      <c r="J1304">
        <v>9099</v>
      </c>
      <c r="K1304">
        <v>36396</v>
      </c>
      <c r="L1304" t="s">
        <v>78</v>
      </c>
      <c r="M1304" t="s">
        <v>55</v>
      </c>
      <c r="N1304" t="s">
        <v>35</v>
      </c>
    </row>
    <row r="1305" spans="1:14" x14ac:dyDescent="0.25">
      <c r="A1305" t="s">
        <v>3941</v>
      </c>
      <c r="B1305" s="1">
        <v>45901</v>
      </c>
      <c r="C1305" t="s">
        <v>3942</v>
      </c>
      <c r="D1305" t="s">
        <v>3943</v>
      </c>
      <c r="E1305" s="14">
        <v>923238182530</v>
      </c>
      <c r="F1305" t="s">
        <v>54</v>
      </c>
      <c r="G1305" t="s">
        <v>18</v>
      </c>
      <c r="H1305" t="s">
        <v>50</v>
      </c>
      <c r="I1305">
        <v>3</v>
      </c>
      <c r="J1305">
        <v>11032</v>
      </c>
      <c r="K1305">
        <v>33096</v>
      </c>
      <c r="L1305" t="s">
        <v>20</v>
      </c>
      <c r="M1305" t="s">
        <v>21</v>
      </c>
      <c r="N1305" t="s">
        <v>35</v>
      </c>
    </row>
    <row r="1306" spans="1:14" x14ac:dyDescent="0.25">
      <c r="A1306" t="s">
        <v>3944</v>
      </c>
      <c r="B1306" s="1">
        <v>46069</v>
      </c>
      <c r="C1306" t="s">
        <v>3945</v>
      </c>
      <c r="D1306" t="s">
        <v>3946</v>
      </c>
      <c r="E1306" s="14">
        <v>923238018427</v>
      </c>
      <c r="F1306" t="s">
        <v>67</v>
      </c>
      <c r="G1306" t="s">
        <v>18</v>
      </c>
      <c r="H1306" t="s">
        <v>19</v>
      </c>
      <c r="I1306">
        <v>5</v>
      </c>
      <c r="J1306">
        <v>12172</v>
      </c>
      <c r="K1306">
        <v>60860</v>
      </c>
      <c r="L1306" t="s">
        <v>78</v>
      </c>
      <c r="M1306" t="s">
        <v>21</v>
      </c>
      <c r="N1306" t="s">
        <v>69</v>
      </c>
    </row>
    <row r="1307" spans="1:14" x14ac:dyDescent="0.25">
      <c r="A1307" t="s">
        <v>3947</v>
      </c>
      <c r="B1307" s="1">
        <v>46064</v>
      </c>
      <c r="C1307" t="s">
        <v>3948</v>
      </c>
      <c r="D1307" t="s">
        <v>3949</v>
      </c>
      <c r="E1307" s="14">
        <v>923296981765</v>
      </c>
      <c r="F1307" t="s">
        <v>17</v>
      </c>
      <c r="G1307" t="s">
        <v>18</v>
      </c>
      <c r="H1307" t="s">
        <v>73</v>
      </c>
      <c r="I1307">
        <v>5</v>
      </c>
      <c r="J1307">
        <v>14631</v>
      </c>
      <c r="K1307">
        <v>73155</v>
      </c>
      <c r="L1307" t="s">
        <v>40</v>
      </c>
      <c r="M1307" t="s">
        <v>55</v>
      </c>
      <c r="N1307" t="s">
        <v>28</v>
      </c>
    </row>
    <row r="1308" spans="1:14" x14ac:dyDescent="0.25">
      <c r="A1308" t="s">
        <v>3950</v>
      </c>
      <c r="B1308" s="1">
        <v>45873</v>
      </c>
      <c r="C1308" t="s">
        <v>3951</v>
      </c>
      <c r="D1308" t="s">
        <v>3952</v>
      </c>
      <c r="E1308" s="14">
        <v>923154738712</v>
      </c>
      <c r="F1308" t="s">
        <v>67</v>
      </c>
      <c r="G1308" t="s">
        <v>18</v>
      </c>
      <c r="H1308" t="s">
        <v>73</v>
      </c>
      <c r="I1308">
        <v>5</v>
      </c>
      <c r="J1308">
        <v>5781</v>
      </c>
      <c r="K1308">
        <v>28905</v>
      </c>
      <c r="L1308" t="s">
        <v>20</v>
      </c>
      <c r="M1308" t="s">
        <v>93</v>
      </c>
      <c r="N1308" t="s">
        <v>69</v>
      </c>
    </row>
    <row r="1309" spans="1:14" x14ac:dyDescent="0.25">
      <c r="A1309" t="s">
        <v>3953</v>
      </c>
      <c r="B1309" s="1">
        <v>45828</v>
      </c>
      <c r="C1309" t="s">
        <v>3954</v>
      </c>
      <c r="D1309" t="s">
        <v>3955</v>
      </c>
      <c r="E1309" s="14">
        <v>923073079764</v>
      </c>
      <c r="F1309" t="s">
        <v>67</v>
      </c>
      <c r="G1309" t="s">
        <v>18</v>
      </c>
      <c r="H1309" t="s">
        <v>73</v>
      </c>
      <c r="I1309">
        <v>2</v>
      </c>
      <c r="J1309">
        <v>8635</v>
      </c>
      <c r="K1309">
        <v>17270</v>
      </c>
      <c r="L1309" t="s">
        <v>20</v>
      </c>
      <c r="M1309" t="s">
        <v>34</v>
      </c>
      <c r="N1309" t="s">
        <v>35</v>
      </c>
    </row>
    <row r="1310" spans="1:14" x14ac:dyDescent="0.25">
      <c r="A1310" t="s">
        <v>3956</v>
      </c>
      <c r="B1310" s="1">
        <v>45997</v>
      </c>
      <c r="C1310" t="s">
        <v>3957</v>
      </c>
      <c r="D1310" t="s">
        <v>3958</v>
      </c>
      <c r="E1310" s="14">
        <v>923497072342</v>
      </c>
      <c r="F1310" t="s">
        <v>49</v>
      </c>
      <c r="G1310" t="s">
        <v>18</v>
      </c>
      <c r="H1310" t="s">
        <v>33</v>
      </c>
      <c r="I1310">
        <v>1</v>
      </c>
      <c r="J1310">
        <v>14947</v>
      </c>
      <c r="K1310">
        <v>14947</v>
      </c>
      <c r="L1310" t="s">
        <v>20</v>
      </c>
      <c r="M1310" t="s">
        <v>82</v>
      </c>
      <c r="N1310" t="s">
        <v>69</v>
      </c>
    </row>
    <row r="1311" spans="1:14" x14ac:dyDescent="0.25">
      <c r="A1311" t="s">
        <v>3959</v>
      </c>
      <c r="B1311" s="1">
        <v>45899</v>
      </c>
      <c r="C1311" t="s">
        <v>3960</v>
      </c>
      <c r="D1311" t="s">
        <v>3961</v>
      </c>
      <c r="E1311" s="14">
        <v>923095653926</v>
      </c>
      <c r="F1311" t="s">
        <v>122</v>
      </c>
      <c r="G1311" t="s">
        <v>18</v>
      </c>
      <c r="H1311" t="s">
        <v>33</v>
      </c>
      <c r="I1311">
        <v>4</v>
      </c>
      <c r="J1311">
        <v>14886</v>
      </c>
      <c r="K1311">
        <v>59544</v>
      </c>
      <c r="L1311" t="s">
        <v>63</v>
      </c>
      <c r="M1311" t="s">
        <v>27</v>
      </c>
      <c r="N1311" t="s">
        <v>35</v>
      </c>
    </row>
    <row r="1312" spans="1:14" x14ac:dyDescent="0.25">
      <c r="A1312" t="s">
        <v>3962</v>
      </c>
      <c r="B1312" s="1">
        <v>45872</v>
      </c>
      <c r="C1312" t="s">
        <v>3963</v>
      </c>
      <c r="D1312" t="s">
        <v>3964</v>
      </c>
      <c r="E1312" s="14">
        <v>923489368690</v>
      </c>
      <c r="F1312" t="s">
        <v>17</v>
      </c>
      <c r="G1312" t="s">
        <v>18</v>
      </c>
      <c r="H1312" t="s">
        <v>50</v>
      </c>
      <c r="I1312">
        <v>5</v>
      </c>
      <c r="J1312">
        <v>9527</v>
      </c>
      <c r="K1312">
        <v>47635</v>
      </c>
      <c r="L1312" t="s">
        <v>63</v>
      </c>
      <c r="M1312" t="s">
        <v>21</v>
      </c>
      <c r="N1312" t="s">
        <v>22</v>
      </c>
    </row>
    <row r="1313" spans="1:14" x14ac:dyDescent="0.25">
      <c r="A1313" t="s">
        <v>3965</v>
      </c>
      <c r="B1313" s="1">
        <v>45823</v>
      </c>
      <c r="C1313" t="s">
        <v>1141</v>
      </c>
      <c r="D1313" t="s">
        <v>3966</v>
      </c>
      <c r="E1313" s="14">
        <v>923441879089</v>
      </c>
      <c r="F1313" t="s">
        <v>67</v>
      </c>
      <c r="G1313" t="s">
        <v>18</v>
      </c>
      <c r="H1313" t="s">
        <v>59</v>
      </c>
      <c r="I1313">
        <v>5</v>
      </c>
      <c r="J1313">
        <v>6101</v>
      </c>
      <c r="K1313">
        <v>30505</v>
      </c>
      <c r="L1313" t="s">
        <v>26</v>
      </c>
      <c r="M1313" t="s">
        <v>82</v>
      </c>
      <c r="N1313" t="s">
        <v>22</v>
      </c>
    </row>
    <row r="1314" spans="1:14" x14ac:dyDescent="0.25">
      <c r="A1314" t="s">
        <v>3967</v>
      </c>
      <c r="B1314" s="1">
        <v>45937</v>
      </c>
      <c r="C1314" t="s">
        <v>3968</v>
      </c>
      <c r="D1314" t="s">
        <v>3969</v>
      </c>
      <c r="E1314" s="14">
        <v>923426414404</v>
      </c>
      <c r="F1314" t="s">
        <v>44</v>
      </c>
      <c r="G1314" t="s">
        <v>18</v>
      </c>
      <c r="H1314" t="s">
        <v>73</v>
      </c>
      <c r="I1314">
        <v>4</v>
      </c>
      <c r="J1314">
        <v>6334</v>
      </c>
      <c r="K1314">
        <v>25336</v>
      </c>
      <c r="L1314" t="s">
        <v>40</v>
      </c>
      <c r="M1314" t="s">
        <v>135</v>
      </c>
      <c r="N1314" t="s">
        <v>28</v>
      </c>
    </row>
    <row r="1315" spans="1:14" x14ac:dyDescent="0.25">
      <c r="A1315" t="s">
        <v>3970</v>
      </c>
      <c r="B1315" s="1">
        <v>45761</v>
      </c>
      <c r="C1315" t="s">
        <v>3971</v>
      </c>
      <c r="D1315" t="s">
        <v>3972</v>
      </c>
      <c r="E1315" s="14">
        <v>923499707353</v>
      </c>
      <c r="F1315" t="s">
        <v>77</v>
      </c>
      <c r="G1315" t="s">
        <v>18</v>
      </c>
      <c r="H1315" t="s">
        <v>50</v>
      </c>
      <c r="I1315">
        <v>4</v>
      </c>
      <c r="J1315">
        <v>5093</v>
      </c>
      <c r="K1315">
        <v>20372</v>
      </c>
      <c r="L1315" t="s">
        <v>63</v>
      </c>
      <c r="M1315" t="s">
        <v>27</v>
      </c>
      <c r="N1315" t="s">
        <v>22</v>
      </c>
    </row>
    <row r="1316" spans="1:14" x14ac:dyDescent="0.25">
      <c r="A1316" t="s">
        <v>3973</v>
      </c>
      <c r="B1316" s="1">
        <v>46020</v>
      </c>
      <c r="C1316" t="s">
        <v>3974</v>
      </c>
      <c r="D1316" t="s">
        <v>3975</v>
      </c>
      <c r="E1316" s="14">
        <v>923396420869</v>
      </c>
      <c r="F1316" t="s">
        <v>32</v>
      </c>
      <c r="G1316" t="s">
        <v>18</v>
      </c>
      <c r="H1316" t="s">
        <v>19</v>
      </c>
      <c r="I1316">
        <v>2</v>
      </c>
      <c r="J1316">
        <v>7516</v>
      </c>
      <c r="K1316">
        <v>15032</v>
      </c>
      <c r="L1316" t="s">
        <v>68</v>
      </c>
      <c r="M1316" t="s">
        <v>27</v>
      </c>
      <c r="N1316" t="s">
        <v>69</v>
      </c>
    </row>
    <row r="1317" spans="1:14" x14ac:dyDescent="0.25">
      <c r="A1317" t="s">
        <v>3976</v>
      </c>
      <c r="B1317" s="1">
        <v>45789</v>
      </c>
      <c r="C1317" t="s">
        <v>3977</v>
      </c>
      <c r="D1317" t="s">
        <v>3978</v>
      </c>
      <c r="E1317" s="14">
        <v>923389924371</v>
      </c>
      <c r="F1317" t="s">
        <v>17</v>
      </c>
      <c r="G1317" t="s">
        <v>18</v>
      </c>
      <c r="H1317" t="s">
        <v>73</v>
      </c>
      <c r="I1317">
        <v>5</v>
      </c>
      <c r="J1317">
        <v>5675</v>
      </c>
      <c r="K1317">
        <v>28375</v>
      </c>
      <c r="L1317" t="s">
        <v>68</v>
      </c>
      <c r="M1317" t="s">
        <v>82</v>
      </c>
      <c r="N1317" t="s">
        <v>69</v>
      </c>
    </row>
    <row r="1318" spans="1:14" x14ac:dyDescent="0.25">
      <c r="A1318" t="s">
        <v>3979</v>
      </c>
      <c r="B1318" s="1">
        <v>46007</v>
      </c>
      <c r="C1318" t="s">
        <v>3512</v>
      </c>
      <c r="D1318" t="s">
        <v>3980</v>
      </c>
      <c r="E1318" s="14">
        <v>923102849073</v>
      </c>
      <c r="F1318" t="s">
        <v>122</v>
      </c>
      <c r="G1318" t="s">
        <v>18</v>
      </c>
      <c r="H1318" t="s">
        <v>33</v>
      </c>
      <c r="I1318">
        <v>2</v>
      </c>
      <c r="J1318">
        <v>11770</v>
      </c>
      <c r="K1318">
        <v>23540</v>
      </c>
      <c r="L1318" t="s">
        <v>20</v>
      </c>
      <c r="M1318" t="s">
        <v>55</v>
      </c>
      <c r="N1318" t="s">
        <v>69</v>
      </c>
    </row>
    <row r="1319" spans="1:14" x14ac:dyDescent="0.25">
      <c r="A1319" t="s">
        <v>3981</v>
      </c>
      <c r="B1319" s="1">
        <v>45867</v>
      </c>
      <c r="C1319" t="s">
        <v>3982</v>
      </c>
      <c r="D1319" t="s">
        <v>3983</v>
      </c>
      <c r="E1319" s="14">
        <v>923352383913</v>
      </c>
      <c r="F1319" t="s">
        <v>122</v>
      </c>
      <c r="G1319" t="s">
        <v>18</v>
      </c>
      <c r="H1319" t="s">
        <v>73</v>
      </c>
      <c r="I1319">
        <v>3</v>
      </c>
      <c r="J1319">
        <v>9489</v>
      </c>
      <c r="K1319">
        <v>28467</v>
      </c>
      <c r="L1319" t="s">
        <v>78</v>
      </c>
      <c r="M1319" t="s">
        <v>135</v>
      </c>
      <c r="N1319" t="s">
        <v>35</v>
      </c>
    </row>
    <row r="1320" spans="1:14" x14ac:dyDescent="0.25">
      <c r="A1320" t="s">
        <v>3984</v>
      </c>
      <c r="B1320" s="1">
        <v>45736</v>
      </c>
      <c r="C1320" t="s">
        <v>3985</v>
      </c>
      <c r="D1320" t="s">
        <v>3986</v>
      </c>
      <c r="E1320" s="14">
        <v>923122892773</v>
      </c>
      <c r="F1320" t="s">
        <v>44</v>
      </c>
      <c r="G1320" t="s">
        <v>18</v>
      </c>
      <c r="H1320" t="s">
        <v>50</v>
      </c>
      <c r="I1320">
        <v>5</v>
      </c>
      <c r="J1320">
        <v>4711</v>
      </c>
      <c r="K1320">
        <v>23555</v>
      </c>
      <c r="L1320" t="s">
        <v>78</v>
      </c>
      <c r="M1320" t="s">
        <v>27</v>
      </c>
      <c r="N1320" t="s">
        <v>35</v>
      </c>
    </row>
    <row r="1321" spans="1:14" x14ac:dyDescent="0.25">
      <c r="A1321" t="s">
        <v>3987</v>
      </c>
      <c r="B1321" s="1">
        <v>45874</v>
      </c>
      <c r="C1321" t="s">
        <v>2038</v>
      </c>
      <c r="D1321" t="s">
        <v>3988</v>
      </c>
      <c r="E1321" s="14">
        <v>923092911244</v>
      </c>
      <c r="F1321" t="s">
        <v>44</v>
      </c>
      <c r="G1321" t="s">
        <v>18</v>
      </c>
      <c r="H1321" t="s">
        <v>73</v>
      </c>
      <c r="I1321">
        <v>1</v>
      </c>
      <c r="J1321">
        <v>5255</v>
      </c>
      <c r="K1321">
        <v>5255</v>
      </c>
      <c r="L1321" t="s">
        <v>20</v>
      </c>
      <c r="M1321" t="s">
        <v>21</v>
      </c>
      <c r="N1321" t="s">
        <v>69</v>
      </c>
    </row>
    <row r="1322" spans="1:14" x14ac:dyDescent="0.25">
      <c r="A1322" t="s">
        <v>3989</v>
      </c>
      <c r="B1322" s="1">
        <v>45830</v>
      </c>
      <c r="C1322" t="s">
        <v>3990</v>
      </c>
      <c r="D1322" t="s">
        <v>3991</v>
      </c>
      <c r="E1322" s="14">
        <v>923392447081</v>
      </c>
      <c r="F1322" t="s">
        <v>77</v>
      </c>
      <c r="G1322" t="s">
        <v>18</v>
      </c>
      <c r="H1322" t="s">
        <v>73</v>
      </c>
      <c r="I1322">
        <v>4</v>
      </c>
      <c r="J1322">
        <v>12514</v>
      </c>
      <c r="K1322">
        <v>50056</v>
      </c>
      <c r="L1322" t="s">
        <v>63</v>
      </c>
      <c r="M1322" t="s">
        <v>34</v>
      </c>
      <c r="N1322" t="s">
        <v>28</v>
      </c>
    </row>
    <row r="1323" spans="1:14" x14ac:dyDescent="0.25">
      <c r="A1323" t="s">
        <v>3992</v>
      </c>
      <c r="B1323" s="1">
        <v>45863</v>
      </c>
      <c r="C1323" t="s">
        <v>3993</v>
      </c>
      <c r="D1323" t="s">
        <v>3994</v>
      </c>
      <c r="E1323" s="14">
        <v>923335275176</v>
      </c>
      <c r="F1323" t="s">
        <v>17</v>
      </c>
      <c r="G1323" t="s">
        <v>18</v>
      </c>
      <c r="H1323" t="s">
        <v>50</v>
      </c>
      <c r="I1323">
        <v>4</v>
      </c>
      <c r="J1323">
        <v>6756</v>
      </c>
      <c r="K1323">
        <v>27024</v>
      </c>
      <c r="L1323" t="s">
        <v>40</v>
      </c>
      <c r="M1323" t="s">
        <v>82</v>
      </c>
      <c r="N1323" t="s">
        <v>69</v>
      </c>
    </row>
    <row r="1324" spans="1:14" x14ac:dyDescent="0.25">
      <c r="A1324" t="s">
        <v>3995</v>
      </c>
      <c r="B1324" s="1">
        <v>46036</v>
      </c>
      <c r="C1324" t="s">
        <v>3996</v>
      </c>
      <c r="D1324" t="s">
        <v>3997</v>
      </c>
      <c r="E1324" s="14">
        <v>923305677291</v>
      </c>
      <c r="F1324" t="s">
        <v>67</v>
      </c>
      <c r="G1324" t="s">
        <v>18</v>
      </c>
      <c r="H1324" t="s">
        <v>33</v>
      </c>
      <c r="I1324">
        <v>3</v>
      </c>
      <c r="J1324">
        <v>10652</v>
      </c>
      <c r="K1324">
        <v>31956</v>
      </c>
      <c r="L1324" t="s">
        <v>78</v>
      </c>
      <c r="M1324" t="s">
        <v>45</v>
      </c>
      <c r="N1324" t="s">
        <v>22</v>
      </c>
    </row>
    <row r="1325" spans="1:14" x14ac:dyDescent="0.25">
      <c r="A1325" t="s">
        <v>3998</v>
      </c>
      <c r="B1325" s="1">
        <v>45883</v>
      </c>
      <c r="C1325" t="s">
        <v>3999</v>
      </c>
      <c r="D1325" t="s">
        <v>4000</v>
      </c>
      <c r="E1325" s="14">
        <v>923228235820</v>
      </c>
      <c r="F1325" t="s">
        <v>54</v>
      </c>
      <c r="G1325" t="s">
        <v>18</v>
      </c>
      <c r="H1325" t="s">
        <v>73</v>
      </c>
      <c r="I1325">
        <v>5</v>
      </c>
      <c r="J1325">
        <v>12348</v>
      </c>
      <c r="K1325">
        <v>61740</v>
      </c>
      <c r="L1325" t="s">
        <v>40</v>
      </c>
      <c r="M1325" t="s">
        <v>135</v>
      </c>
      <c r="N1325" t="s">
        <v>28</v>
      </c>
    </row>
    <row r="1326" spans="1:14" x14ac:dyDescent="0.25">
      <c r="A1326" t="s">
        <v>4001</v>
      </c>
      <c r="B1326" s="1">
        <v>45741</v>
      </c>
      <c r="C1326" t="s">
        <v>4002</v>
      </c>
      <c r="D1326" t="s">
        <v>4003</v>
      </c>
      <c r="E1326" s="14">
        <v>923057752405</v>
      </c>
      <c r="F1326" t="s">
        <v>92</v>
      </c>
      <c r="G1326" t="s">
        <v>18</v>
      </c>
      <c r="H1326" t="s">
        <v>59</v>
      </c>
      <c r="I1326">
        <v>4</v>
      </c>
      <c r="J1326">
        <v>6160</v>
      </c>
      <c r="K1326">
        <v>24640</v>
      </c>
      <c r="L1326" t="s">
        <v>63</v>
      </c>
      <c r="M1326" t="s">
        <v>82</v>
      </c>
      <c r="N1326" t="s">
        <v>69</v>
      </c>
    </row>
    <row r="1327" spans="1:14" x14ac:dyDescent="0.25">
      <c r="A1327" t="s">
        <v>4004</v>
      </c>
      <c r="B1327" s="1">
        <v>45882</v>
      </c>
      <c r="C1327" t="s">
        <v>4005</v>
      </c>
      <c r="D1327" t="s">
        <v>4006</v>
      </c>
      <c r="E1327" s="14">
        <v>923277623944</v>
      </c>
      <c r="F1327" t="s">
        <v>122</v>
      </c>
      <c r="G1327" t="s">
        <v>18</v>
      </c>
      <c r="H1327" t="s">
        <v>19</v>
      </c>
      <c r="I1327">
        <v>5</v>
      </c>
      <c r="J1327">
        <v>1739</v>
      </c>
      <c r="K1327">
        <v>8695</v>
      </c>
      <c r="L1327" t="s">
        <v>78</v>
      </c>
      <c r="M1327" t="s">
        <v>45</v>
      </c>
      <c r="N1327" t="s">
        <v>28</v>
      </c>
    </row>
    <row r="1328" spans="1:14" x14ac:dyDescent="0.25">
      <c r="A1328" t="s">
        <v>4007</v>
      </c>
      <c r="B1328" s="1">
        <v>45938</v>
      </c>
      <c r="C1328" t="s">
        <v>4008</v>
      </c>
      <c r="D1328" t="s">
        <v>4009</v>
      </c>
      <c r="E1328" s="14">
        <v>923091500611</v>
      </c>
      <c r="F1328" t="s">
        <v>44</v>
      </c>
      <c r="G1328" t="s">
        <v>18</v>
      </c>
      <c r="H1328" t="s">
        <v>33</v>
      </c>
      <c r="I1328">
        <v>3</v>
      </c>
      <c r="J1328">
        <v>12894</v>
      </c>
      <c r="K1328">
        <v>38682</v>
      </c>
      <c r="L1328" t="s">
        <v>40</v>
      </c>
      <c r="M1328" t="s">
        <v>34</v>
      </c>
      <c r="N1328" t="s">
        <v>28</v>
      </c>
    </row>
    <row r="1329" spans="1:14" x14ac:dyDescent="0.25">
      <c r="A1329" t="s">
        <v>4010</v>
      </c>
      <c r="B1329" s="1">
        <v>46059</v>
      </c>
      <c r="C1329" t="s">
        <v>4011</v>
      </c>
      <c r="D1329" t="s">
        <v>4012</v>
      </c>
      <c r="E1329" s="14">
        <v>923097048895</v>
      </c>
      <c r="F1329" t="s">
        <v>77</v>
      </c>
      <c r="G1329" t="s">
        <v>18</v>
      </c>
      <c r="H1329" t="s">
        <v>50</v>
      </c>
      <c r="I1329">
        <v>4</v>
      </c>
      <c r="J1329">
        <v>1426</v>
      </c>
      <c r="K1329">
        <v>5704</v>
      </c>
      <c r="L1329" t="s">
        <v>78</v>
      </c>
      <c r="M1329" t="s">
        <v>34</v>
      </c>
      <c r="N1329" t="s">
        <v>28</v>
      </c>
    </row>
    <row r="1330" spans="1:14" x14ac:dyDescent="0.25">
      <c r="A1330" t="s">
        <v>4013</v>
      </c>
      <c r="B1330" s="1">
        <v>45721</v>
      </c>
      <c r="C1330" t="s">
        <v>4014</v>
      </c>
      <c r="D1330" t="s">
        <v>4015</v>
      </c>
      <c r="E1330" s="14">
        <v>923119210982</v>
      </c>
      <c r="F1330" t="s">
        <v>44</v>
      </c>
      <c r="G1330" t="s">
        <v>18</v>
      </c>
      <c r="H1330" t="s">
        <v>59</v>
      </c>
      <c r="I1330">
        <v>3</v>
      </c>
      <c r="J1330">
        <v>6844</v>
      </c>
      <c r="K1330">
        <v>20532</v>
      </c>
      <c r="L1330" t="s">
        <v>63</v>
      </c>
      <c r="M1330" t="s">
        <v>93</v>
      </c>
      <c r="N1330" t="s">
        <v>35</v>
      </c>
    </row>
    <row r="1331" spans="1:14" x14ac:dyDescent="0.25">
      <c r="A1331" t="s">
        <v>4016</v>
      </c>
      <c r="B1331" s="1">
        <v>45840</v>
      </c>
      <c r="C1331" t="s">
        <v>4017</v>
      </c>
      <c r="D1331" t="s">
        <v>4018</v>
      </c>
      <c r="E1331" s="14">
        <v>923008655076</v>
      </c>
      <c r="F1331" t="s">
        <v>32</v>
      </c>
      <c r="G1331" t="s">
        <v>18</v>
      </c>
      <c r="H1331" t="s">
        <v>50</v>
      </c>
      <c r="I1331">
        <v>3</v>
      </c>
      <c r="J1331">
        <v>6065</v>
      </c>
      <c r="K1331">
        <v>18195</v>
      </c>
      <c r="L1331" t="s">
        <v>20</v>
      </c>
      <c r="M1331" t="s">
        <v>55</v>
      </c>
      <c r="N1331" t="s">
        <v>35</v>
      </c>
    </row>
    <row r="1332" spans="1:14" x14ac:dyDescent="0.25">
      <c r="A1332" t="s">
        <v>4019</v>
      </c>
      <c r="B1332" s="1">
        <v>45970</v>
      </c>
      <c r="C1332" t="s">
        <v>772</v>
      </c>
      <c r="D1332" t="s">
        <v>4020</v>
      </c>
      <c r="E1332" s="14">
        <v>923067451304</v>
      </c>
      <c r="F1332" t="s">
        <v>92</v>
      </c>
      <c r="G1332" t="s">
        <v>18</v>
      </c>
      <c r="H1332" t="s">
        <v>59</v>
      </c>
      <c r="I1332">
        <v>2</v>
      </c>
      <c r="J1332">
        <v>8406</v>
      </c>
      <c r="K1332">
        <v>16812</v>
      </c>
      <c r="L1332" t="s">
        <v>68</v>
      </c>
      <c r="M1332" t="s">
        <v>45</v>
      </c>
      <c r="N1332" t="s">
        <v>28</v>
      </c>
    </row>
    <row r="1333" spans="1:14" x14ac:dyDescent="0.25">
      <c r="A1333" t="s">
        <v>4021</v>
      </c>
      <c r="B1333" s="1">
        <v>45795</v>
      </c>
      <c r="C1333" t="s">
        <v>1945</v>
      </c>
      <c r="D1333" t="s">
        <v>4022</v>
      </c>
      <c r="E1333" s="14">
        <v>923412436031</v>
      </c>
      <c r="F1333" t="s">
        <v>17</v>
      </c>
      <c r="G1333" t="s">
        <v>18</v>
      </c>
      <c r="H1333" t="s">
        <v>39</v>
      </c>
      <c r="I1333">
        <v>4</v>
      </c>
      <c r="J1333">
        <v>12049</v>
      </c>
      <c r="K1333">
        <v>48196</v>
      </c>
      <c r="L1333" t="s">
        <v>20</v>
      </c>
      <c r="M1333" t="s">
        <v>93</v>
      </c>
      <c r="N1333" t="s">
        <v>35</v>
      </c>
    </row>
    <row r="1334" spans="1:14" x14ac:dyDescent="0.25">
      <c r="A1334" t="s">
        <v>4023</v>
      </c>
      <c r="B1334" s="1">
        <v>45842</v>
      </c>
      <c r="C1334" t="s">
        <v>4024</v>
      </c>
      <c r="D1334" t="s">
        <v>4025</v>
      </c>
      <c r="E1334" s="14">
        <v>923176707611</v>
      </c>
      <c r="F1334" t="s">
        <v>17</v>
      </c>
      <c r="G1334" t="s">
        <v>18</v>
      </c>
      <c r="H1334" t="s">
        <v>59</v>
      </c>
      <c r="I1334">
        <v>2</v>
      </c>
      <c r="J1334">
        <v>9661</v>
      </c>
      <c r="K1334">
        <v>19322</v>
      </c>
      <c r="L1334" t="s">
        <v>63</v>
      </c>
      <c r="M1334" t="s">
        <v>34</v>
      </c>
      <c r="N1334" t="s">
        <v>22</v>
      </c>
    </row>
    <row r="1335" spans="1:14" x14ac:dyDescent="0.25">
      <c r="A1335" t="s">
        <v>4026</v>
      </c>
      <c r="B1335" s="1">
        <v>45993</v>
      </c>
      <c r="C1335" t="s">
        <v>4027</v>
      </c>
      <c r="D1335" t="s">
        <v>4028</v>
      </c>
      <c r="E1335" s="14">
        <v>923034809497</v>
      </c>
      <c r="F1335" t="s">
        <v>77</v>
      </c>
      <c r="G1335" t="s">
        <v>18</v>
      </c>
      <c r="H1335" t="s">
        <v>19</v>
      </c>
      <c r="I1335">
        <v>2</v>
      </c>
      <c r="J1335">
        <v>11484</v>
      </c>
      <c r="K1335">
        <v>22968</v>
      </c>
      <c r="L1335" t="s">
        <v>20</v>
      </c>
      <c r="M1335" t="s">
        <v>135</v>
      </c>
      <c r="N1335" t="s">
        <v>28</v>
      </c>
    </row>
    <row r="1336" spans="1:14" x14ac:dyDescent="0.25">
      <c r="A1336" t="s">
        <v>4029</v>
      </c>
      <c r="B1336" s="1">
        <v>45960</v>
      </c>
      <c r="C1336" t="s">
        <v>4030</v>
      </c>
      <c r="D1336" t="s">
        <v>4031</v>
      </c>
      <c r="E1336" s="14">
        <v>923363221591</v>
      </c>
      <c r="F1336" t="s">
        <v>17</v>
      </c>
      <c r="G1336" t="s">
        <v>18</v>
      </c>
      <c r="H1336" t="s">
        <v>33</v>
      </c>
      <c r="I1336">
        <v>3</v>
      </c>
      <c r="J1336">
        <v>7053</v>
      </c>
      <c r="K1336">
        <v>21159</v>
      </c>
      <c r="L1336" t="s">
        <v>68</v>
      </c>
      <c r="M1336" t="s">
        <v>55</v>
      </c>
      <c r="N1336" t="s">
        <v>28</v>
      </c>
    </row>
    <row r="1337" spans="1:14" x14ac:dyDescent="0.25">
      <c r="A1337" t="s">
        <v>4032</v>
      </c>
      <c r="B1337" s="1">
        <v>45799</v>
      </c>
      <c r="C1337" t="s">
        <v>4033</v>
      </c>
      <c r="D1337" t="s">
        <v>4034</v>
      </c>
      <c r="E1337" s="14">
        <v>923003715264</v>
      </c>
      <c r="F1337" t="s">
        <v>44</v>
      </c>
      <c r="G1337" t="s">
        <v>18</v>
      </c>
      <c r="H1337" t="s">
        <v>73</v>
      </c>
      <c r="I1337">
        <v>2</v>
      </c>
      <c r="J1337">
        <v>8093</v>
      </c>
      <c r="K1337">
        <v>16186</v>
      </c>
      <c r="L1337" t="s">
        <v>63</v>
      </c>
      <c r="M1337" t="s">
        <v>55</v>
      </c>
      <c r="N1337" t="s">
        <v>28</v>
      </c>
    </row>
    <row r="1338" spans="1:14" x14ac:dyDescent="0.25">
      <c r="A1338" t="s">
        <v>4035</v>
      </c>
      <c r="B1338" s="1">
        <v>46010</v>
      </c>
      <c r="C1338" t="s">
        <v>4036</v>
      </c>
      <c r="D1338" t="s">
        <v>4037</v>
      </c>
      <c r="E1338" s="14">
        <v>923072296621</v>
      </c>
      <c r="F1338" t="s">
        <v>106</v>
      </c>
      <c r="G1338" t="s">
        <v>18</v>
      </c>
      <c r="H1338" t="s">
        <v>50</v>
      </c>
      <c r="I1338">
        <v>3</v>
      </c>
      <c r="J1338">
        <v>3711</v>
      </c>
      <c r="K1338">
        <v>11133</v>
      </c>
      <c r="L1338" t="s">
        <v>26</v>
      </c>
      <c r="M1338" t="s">
        <v>55</v>
      </c>
      <c r="N1338" t="s">
        <v>22</v>
      </c>
    </row>
    <row r="1339" spans="1:14" x14ac:dyDescent="0.25">
      <c r="A1339" t="s">
        <v>4038</v>
      </c>
      <c r="B1339" s="1">
        <v>45705</v>
      </c>
      <c r="C1339" t="s">
        <v>4039</v>
      </c>
      <c r="D1339" t="s">
        <v>4040</v>
      </c>
      <c r="E1339" s="14">
        <v>923458237848</v>
      </c>
      <c r="F1339" t="s">
        <v>54</v>
      </c>
      <c r="G1339" t="s">
        <v>18</v>
      </c>
      <c r="H1339" t="s">
        <v>50</v>
      </c>
      <c r="I1339">
        <v>3</v>
      </c>
      <c r="J1339">
        <v>14934</v>
      </c>
      <c r="K1339">
        <v>44802</v>
      </c>
      <c r="L1339" t="s">
        <v>78</v>
      </c>
      <c r="M1339" t="s">
        <v>82</v>
      </c>
      <c r="N1339" t="s">
        <v>22</v>
      </c>
    </row>
    <row r="1340" spans="1:14" x14ac:dyDescent="0.25">
      <c r="A1340" t="s">
        <v>4041</v>
      </c>
      <c r="B1340" s="1">
        <v>45866</v>
      </c>
      <c r="C1340" t="s">
        <v>4042</v>
      </c>
      <c r="D1340" t="s">
        <v>4043</v>
      </c>
      <c r="E1340" s="14">
        <v>923070976030</v>
      </c>
      <c r="F1340" t="s">
        <v>49</v>
      </c>
      <c r="G1340" t="s">
        <v>18</v>
      </c>
      <c r="H1340" t="s">
        <v>39</v>
      </c>
      <c r="I1340">
        <v>1</v>
      </c>
      <c r="J1340">
        <v>13358</v>
      </c>
      <c r="K1340">
        <v>13358</v>
      </c>
      <c r="L1340" t="s">
        <v>20</v>
      </c>
      <c r="M1340" t="s">
        <v>82</v>
      </c>
      <c r="N1340" t="s">
        <v>28</v>
      </c>
    </row>
    <row r="1341" spans="1:14" x14ac:dyDescent="0.25">
      <c r="A1341" t="s">
        <v>4044</v>
      </c>
      <c r="B1341" s="1">
        <v>45880</v>
      </c>
      <c r="C1341" t="s">
        <v>4045</v>
      </c>
      <c r="D1341" t="s">
        <v>4046</v>
      </c>
      <c r="E1341" s="14">
        <v>923223614332</v>
      </c>
      <c r="F1341" t="s">
        <v>32</v>
      </c>
      <c r="G1341" t="s">
        <v>18</v>
      </c>
      <c r="H1341" t="s">
        <v>39</v>
      </c>
      <c r="I1341">
        <v>5</v>
      </c>
      <c r="J1341">
        <v>5700</v>
      </c>
      <c r="K1341">
        <v>28500</v>
      </c>
      <c r="L1341" t="s">
        <v>78</v>
      </c>
      <c r="M1341" t="s">
        <v>27</v>
      </c>
      <c r="N1341" t="s">
        <v>22</v>
      </c>
    </row>
    <row r="1342" spans="1:14" x14ac:dyDescent="0.25">
      <c r="A1342" t="s">
        <v>4047</v>
      </c>
      <c r="B1342" s="1">
        <v>46041</v>
      </c>
      <c r="C1342" t="s">
        <v>4048</v>
      </c>
      <c r="D1342" t="s">
        <v>4049</v>
      </c>
      <c r="E1342" s="14">
        <v>923443980547</v>
      </c>
      <c r="F1342" t="s">
        <v>106</v>
      </c>
      <c r="G1342" t="s">
        <v>18</v>
      </c>
      <c r="H1342" t="s">
        <v>59</v>
      </c>
      <c r="I1342">
        <v>4</v>
      </c>
      <c r="J1342">
        <v>8533</v>
      </c>
      <c r="K1342">
        <v>34132</v>
      </c>
      <c r="L1342" t="s">
        <v>20</v>
      </c>
      <c r="M1342" t="s">
        <v>93</v>
      </c>
      <c r="N1342" t="s">
        <v>69</v>
      </c>
    </row>
    <row r="1343" spans="1:14" x14ac:dyDescent="0.25">
      <c r="A1343" t="s">
        <v>4050</v>
      </c>
      <c r="B1343" s="1">
        <v>45741</v>
      </c>
      <c r="C1343" t="s">
        <v>4051</v>
      </c>
      <c r="D1343" t="s">
        <v>4052</v>
      </c>
      <c r="E1343" s="14">
        <v>923065866275</v>
      </c>
      <c r="F1343" t="s">
        <v>106</v>
      </c>
      <c r="G1343" t="s">
        <v>18</v>
      </c>
      <c r="H1343" t="s">
        <v>50</v>
      </c>
      <c r="I1343">
        <v>2</v>
      </c>
      <c r="J1343">
        <v>14769</v>
      </c>
      <c r="K1343">
        <v>29538</v>
      </c>
      <c r="L1343" t="s">
        <v>26</v>
      </c>
      <c r="M1343" t="s">
        <v>82</v>
      </c>
      <c r="N1343" t="s">
        <v>22</v>
      </c>
    </row>
    <row r="1344" spans="1:14" x14ac:dyDescent="0.25">
      <c r="A1344" t="s">
        <v>4053</v>
      </c>
      <c r="B1344" s="1">
        <v>45952</v>
      </c>
      <c r="C1344" t="s">
        <v>4054</v>
      </c>
      <c r="D1344" t="s">
        <v>4055</v>
      </c>
      <c r="E1344" s="14">
        <v>923232668915</v>
      </c>
      <c r="F1344" t="s">
        <v>77</v>
      </c>
      <c r="G1344" t="s">
        <v>18</v>
      </c>
      <c r="H1344" t="s">
        <v>73</v>
      </c>
      <c r="I1344">
        <v>5</v>
      </c>
      <c r="J1344">
        <v>4435</v>
      </c>
      <c r="K1344">
        <v>22175</v>
      </c>
      <c r="L1344" t="s">
        <v>26</v>
      </c>
      <c r="M1344" t="s">
        <v>45</v>
      </c>
      <c r="N1344" t="s">
        <v>69</v>
      </c>
    </row>
    <row r="1345" spans="1:14" x14ac:dyDescent="0.25">
      <c r="A1345" t="s">
        <v>4056</v>
      </c>
      <c r="B1345" s="1">
        <v>45871</v>
      </c>
      <c r="C1345" t="s">
        <v>4057</v>
      </c>
      <c r="D1345" t="s">
        <v>4058</v>
      </c>
      <c r="E1345" s="14">
        <v>923412585972</v>
      </c>
      <c r="F1345" t="s">
        <v>54</v>
      </c>
      <c r="G1345" t="s">
        <v>18</v>
      </c>
      <c r="H1345" t="s">
        <v>50</v>
      </c>
      <c r="I1345">
        <v>2</v>
      </c>
      <c r="J1345">
        <v>12711</v>
      </c>
      <c r="K1345">
        <v>25422</v>
      </c>
      <c r="L1345" t="s">
        <v>78</v>
      </c>
      <c r="M1345" t="s">
        <v>34</v>
      </c>
      <c r="N1345" t="s">
        <v>22</v>
      </c>
    </row>
    <row r="1346" spans="1:14" x14ac:dyDescent="0.25">
      <c r="A1346" t="s">
        <v>4059</v>
      </c>
      <c r="B1346" s="1">
        <v>45941</v>
      </c>
      <c r="C1346" t="s">
        <v>4060</v>
      </c>
      <c r="D1346" t="s">
        <v>4061</v>
      </c>
      <c r="E1346" s="14">
        <v>923379712245</v>
      </c>
      <c r="F1346" t="s">
        <v>122</v>
      </c>
      <c r="G1346" t="s">
        <v>18</v>
      </c>
      <c r="H1346" t="s">
        <v>33</v>
      </c>
      <c r="I1346">
        <v>4</v>
      </c>
      <c r="J1346">
        <v>4337</v>
      </c>
      <c r="K1346">
        <v>17348</v>
      </c>
      <c r="L1346" t="s">
        <v>63</v>
      </c>
      <c r="M1346" t="s">
        <v>93</v>
      </c>
      <c r="N1346" t="s">
        <v>28</v>
      </c>
    </row>
    <row r="1347" spans="1:14" x14ac:dyDescent="0.25">
      <c r="A1347" t="s">
        <v>4062</v>
      </c>
      <c r="B1347" s="1">
        <v>45779</v>
      </c>
      <c r="C1347" t="s">
        <v>4063</v>
      </c>
      <c r="D1347" t="s">
        <v>4064</v>
      </c>
      <c r="E1347" s="14">
        <v>923003297768</v>
      </c>
      <c r="F1347" t="s">
        <v>92</v>
      </c>
      <c r="G1347" t="s">
        <v>18</v>
      </c>
      <c r="H1347" t="s">
        <v>73</v>
      </c>
      <c r="I1347">
        <v>3</v>
      </c>
      <c r="J1347">
        <v>11679</v>
      </c>
      <c r="K1347">
        <v>35037</v>
      </c>
      <c r="L1347" t="s">
        <v>78</v>
      </c>
      <c r="M1347" t="s">
        <v>93</v>
      </c>
      <c r="N1347" t="s">
        <v>28</v>
      </c>
    </row>
    <row r="1348" spans="1:14" x14ac:dyDescent="0.25">
      <c r="A1348" t="s">
        <v>4065</v>
      </c>
      <c r="B1348" s="1">
        <v>45926</v>
      </c>
      <c r="C1348" t="s">
        <v>4066</v>
      </c>
      <c r="D1348" t="s">
        <v>4067</v>
      </c>
      <c r="E1348" s="14">
        <v>923490989832</v>
      </c>
      <c r="F1348" t="s">
        <v>122</v>
      </c>
      <c r="G1348" t="s">
        <v>18</v>
      </c>
      <c r="H1348" t="s">
        <v>33</v>
      </c>
      <c r="I1348">
        <v>1</v>
      </c>
      <c r="J1348">
        <v>11886</v>
      </c>
      <c r="K1348">
        <v>11886</v>
      </c>
      <c r="L1348" t="s">
        <v>26</v>
      </c>
      <c r="M1348" t="s">
        <v>27</v>
      </c>
      <c r="N1348" t="s">
        <v>22</v>
      </c>
    </row>
    <row r="1349" spans="1:14" x14ac:dyDescent="0.25">
      <c r="A1349" t="s">
        <v>4068</v>
      </c>
      <c r="B1349" s="1">
        <v>45706</v>
      </c>
      <c r="C1349" t="s">
        <v>4069</v>
      </c>
      <c r="D1349" t="s">
        <v>4070</v>
      </c>
      <c r="E1349" s="14">
        <v>923368953231</v>
      </c>
      <c r="F1349" t="s">
        <v>92</v>
      </c>
      <c r="G1349" t="s">
        <v>18</v>
      </c>
      <c r="H1349" t="s">
        <v>73</v>
      </c>
      <c r="I1349">
        <v>3</v>
      </c>
      <c r="J1349">
        <v>13218</v>
      </c>
      <c r="K1349">
        <v>39654</v>
      </c>
      <c r="L1349" t="s">
        <v>40</v>
      </c>
      <c r="M1349" t="s">
        <v>45</v>
      </c>
      <c r="N1349" t="s">
        <v>22</v>
      </c>
    </row>
    <row r="1350" spans="1:14" x14ac:dyDescent="0.25">
      <c r="A1350" t="s">
        <v>4071</v>
      </c>
      <c r="B1350" s="1">
        <v>45957</v>
      </c>
      <c r="C1350" t="s">
        <v>4072</v>
      </c>
      <c r="D1350" t="s">
        <v>4073</v>
      </c>
      <c r="E1350" s="14">
        <v>923464844354</v>
      </c>
      <c r="F1350" t="s">
        <v>122</v>
      </c>
      <c r="G1350" t="s">
        <v>18</v>
      </c>
      <c r="H1350" t="s">
        <v>73</v>
      </c>
      <c r="I1350">
        <v>4</v>
      </c>
      <c r="J1350">
        <v>14837</v>
      </c>
      <c r="K1350">
        <v>59348</v>
      </c>
      <c r="L1350" t="s">
        <v>40</v>
      </c>
      <c r="M1350" t="s">
        <v>82</v>
      </c>
      <c r="N1350" t="s">
        <v>69</v>
      </c>
    </row>
    <row r="1351" spans="1:14" x14ac:dyDescent="0.25">
      <c r="A1351" t="s">
        <v>4074</v>
      </c>
      <c r="B1351" s="1">
        <v>46019</v>
      </c>
      <c r="C1351" t="s">
        <v>4075</v>
      </c>
      <c r="D1351" t="s">
        <v>4076</v>
      </c>
      <c r="E1351" s="14">
        <v>923205698012</v>
      </c>
      <c r="F1351" t="s">
        <v>122</v>
      </c>
      <c r="G1351" t="s">
        <v>18</v>
      </c>
      <c r="H1351" t="s">
        <v>50</v>
      </c>
      <c r="I1351">
        <v>4</v>
      </c>
      <c r="J1351">
        <v>5247</v>
      </c>
      <c r="K1351">
        <v>20988</v>
      </c>
      <c r="L1351" t="s">
        <v>63</v>
      </c>
      <c r="M1351" t="s">
        <v>135</v>
      </c>
      <c r="N1351" t="s">
        <v>69</v>
      </c>
    </row>
    <row r="1352" spans="1:14" x14ac:dyDescent="0.25">
      <c r="A1352" t="s">
        <v>4077</v>
      </c>
      <c r="B1352" s="1">
        <v>45919</v>
      </c>
      <c r="C1352" t="s">
        <v>4078</v>
      </c>
      <c r="D1352" t="s">
        <v>4079</v>
      </c>
      <c r="E1352" s="14">
        <v>923315727867</v>
      </c>
      <c r="F1352" t="s">
        <v>92</v>
      </c>
      <c r="G1352" t="s">
        <v>18</v>
      </c>
      <c r="H1352" t="s">
        <v>50</v>
      </c>
      <c r="I1352">
        <v>3</v>
      </c>
      <c r="J1352">
        <v>12322</v>
      </c>
      <c r="K1352">
        <v>36966</v>
      </c>
      <c r="L1352" t="s">
        <v>26</v>
      </c>
      <c r="M1352" t="s">
        <v>45</v>
      </c>
      <c r="N1352" t="s">
        <v>28</v>
      </c>
    </row>
    <row r="1353" spans="1:14" x14ac:dyDescent="0.25">
      <c r="A1353" t="s">
        <v>4080</v>
      </c>
      <c r="B1353" s="1">
        <v>45958</v>
      </c>
      <c r="C1353" t="s">
        <v>4081</v>
      </c>
      <c r="D1353" t="s">
        <v>4082</v>
      </c>
      <c r="E1353" s="14">
        <v>923426394405</v>
      </c>
      <c r="F1353" t="s">
        <v>32</v>
      </c>
      <c r="G1353" t="s">
        <v>18</v>
      </c>
      <c r="H1353" t="s">
        <v>39</v>
      </c>
      <c r="I1353">
        <v>1</v>
      </c>
      <c r="J1353">
        <v>12737</v>
      </c>
      <c r="K1353">
        <v>12737</v>
      </c>
      <c r="L1353" t="s">
        <v>20</v>
      </c>
      <c r="M1353" t="s">
        <v>27</v>
      </c>
      <c r="N1353" t="s">
        <v>22</v>
      </c>
    </row>
    <row r="1354" spans="1:14" x14ac:dyDescent="0.25">
      <c r="A1354" t="s">
        <v>4083</v>
      </c>
      <c r="B1354" s="1">
        <v>45843</v>
      </c>
      <c r="C1354" t="s">
        <v>4084</v>
      </c>
      <c r="D1354" t="s">
        <v>4085</v>
      </c>
      <c r="E1354" s="14">
        <v>923434989488</v>
      </c>
      <c r="F1354" t="s">
        <v>17</v>
      </c>
      <c r="G1354" t="s">
        <v>18</v>
      </c>
      <c r="H1354" t="s">
        <v>59</v>
      </c>
      <c r="I1354">
        <v>4</v>
      </c>
      <c r="J1354">
        <v>7229</v>
      </c>
      <c r="K1354">
        <v>28916</v>
      </c>
      <c r="L1354" t="s">
        <v>68</v>
      </c>
      <c r="M1354" t="s">
        <v>45</v>
      </c>
      <c r="N1354" t="s">
        <v>28</v>
      </c>
    </row>
    <row r="1355" spans="1:14" x14ac:dyDescent="0.25">
      <c r="A1355" t="s">
        <v>4086</v>
      </c>
      <c r="B1355" s="1">
        <v>45735</v>
      </c>
      <c r="C1355" t="s">
        <v>4087</v>
      </c>
      <c r="D1355" t="s">
        <v>4088</v>
      </c>
      <c r="E1355" s="14">
        <v>923280539818</v>
      </c>
      <c r="F1355" t="s">
        <v>54</v>
      </c>
      <c r="G1355" t="s">
        <v>18</v>
      </c>
      <c r="H1355" t="s">
        <v>73</v>
      </c>
      <c r="I1355">
        <v>1</v>
      </c>
      <c r="J1355">
        <v>1867</v>
      </c>
      <c r="K1355">
        <v>1867</v>
      </c>
      <c r="L1355" t="s">
        <v>63</v>
      </c>
      <c r="M1355" t="s">
        <v>135</v>
      </c>
      <c r="N1355" t="s">
        <v>69</v>
      </c>
    </row>
    <row r="1356" spans="1:14" x14ac:dyDescent="0.25">
      <c r="A1356" t="s">
        <v>4089</v>
      </c>
      <c r="B1356" s="1">
        <v>45757</v>
      </c>
      <c r="C1356" t="s">
        <v>4090</v>
      </c>
      <c r="D1356" t="s">
        <v>4091</v>
      </c>
      <c r="E1356" s="14">
        <v>923189557153</v>
      </c>
      <c r="F1356" t="s">
        <v>17</v>
      </c>
      <c r="G1356" t="s">
        <v>18</v>
      </c>
      <c r="H1356" t="s">
        <v>33</v>
      </c>
      <c r="I1356">
        <v>2</v>
      </c>
      <c r="J1356">
        <v>2296</v>
      </c>
      <c r="K1356">
        <v>4592</v>
      </c>
      <c r="L1356" t="s">
        <v>63</v>
      </c>
      <c r="M1356" t="s">
        <v>27</v>
      </c>
      <c r="N1356" t="s">
        <v>69</v>
      </c>
    </row>
    <row r="1357" spans="1:14" x14ac:dyDescent="0.25">
      <c r="A1357" t="s">
        <v>4092</v>
      </c>
      <c r="B1357" s="1">
        <v>45928</v>
      </c>
      <c r="C1357" t="s">
        <v>4093</v>
      </c>
      <c r="D1357" t="s">
        <v>4094</v>
      </c>
      <c r="E1357" s="14">
        <v>923385206544</v>
      </c>
      <c r="F1357" t="s">
        <v>32</v>
      </c>
      <c r="G1357" t="s">
        <v>18</v>
      </c>
      <c r="H1357" t="s">
        <v>73</v>
      </c>
      <c r="I1357">
        <v>4</v>
      </c>
      <c r="J1357">
        <v>14108</v>
      </c>
      <c r="K1357">
        <v>56432</v>
      </c>
      <c r="L1357" t="s">
        <v>78</v>
      </c>
      <c r="M1357" t="s">
        <v>82</v>
      </c>
      <c r="N1357" t="s">
        <v>28</v>
      </c>
    </row>
    <row r="1358" spans="1:14" x14ac:dyDescent="0.25">
      <c r="A1358" t="s">
        <v>4095</v>
      </c>
      <c r="B1358" s="1">
        <v>45994</v>
      </c>
      <c r="C1358" t="s">
        <v>4096</v>
      </c>
      <c r="D1358" t="s">
        <v>4097</v>
      </c>
      <c r="E1358" s="14">
        <v>923141076857</v>
      </c>
      <c r="F1358" t="s">
        <v>44</v>
      </c>
      <c r="G1358" t="s">
        <v>18</v>
      </c>
      <c r="H1358" t="s">
        <v>73</v>
      </c>
      <c r="I1358">
        <v>5</v>
      </c>
      <c r="J1358">
        <v>12342</v>
      </c>
      <c r="K1358">
        <v>61710</v>
      </c>
      <c r="L1358" t="s">
        <v>63</v>
      </c>
      <c r="M1358" t="s">
        <v>135</v>
      </c>
      <c r="N1358" t="s">
        <v>69</v>
      </c>
    </row>
    <row r="1359" spans="1:14" x14ac:dyDescent="0.25">
      <c r="A1359" t="s">
        <v>4098</v>
      </c>
      <c r="B1359" s="1">
        <v>46017</v>
      </c>
      <c r="C1359" t="s">
        <v>4099</v>
      </c>
      <c r="D1359" t="s">
        <v>4100</v>
      </c>
      <c r="E1359" s="14">
        <v>923487220817</v>
      </c>
      <c r="F1359" t="s">
        <v>32</v>
      </c>
      <c r="G1359" t="s">
        <v>18</v>
      </c>
      <c r="H1359" t="s">
        <v>59</v>
      </c>
      <c r="I1359">
        <v>4</v>
      </c>
      <c r="J1359">
        <v>8092</v>
      </c>
      <c r="K1359">
        <v>32368</v>
      </c>
      <c r="L1359" t="s">
        <v>20</v>
      </c>
      <c r="M1359" t="s">
        <v>55</v>
      </c>
      <c r="N1359" t="s">
        <v>69</v>
      </c>
    </row>
    <row r="1360" spans="1:14" x14ac:dyDescent="0.25">
      <c r="A1360" t="s">
        <v>4101</v>
      </c>
      <c r="B1360" s="1">
        <v>46036</v>
      </c>
      <c r="C1360" t="s">
        <v>4102</v>
      </c>
      <c r="D1360" t="s">
        <v>4103</v>
      </c>
      <c r="E1360" s="14">
        <v>923219640692</v>
      </c>
      <c r="F1360" t="s">
        <v>106</v>
      </c>
      <c r="G1360" t="s">
        <v>18</v>
      </c>
      <c r="H1360" t="s">
        <v>73</v>
      </c>
      <c r="I1360">
        <v>1</v>
      </c>
      <c r="J1360">
        <v>4866</v>
      </c>
      <c r="K1360">
        <v>4866</v>
      </c>
      <c r="L1360" t="s">
        <v>40</v>
      </c>
      <c r="M1360" t="s">
        <v>21</v>
      </c>
      <c r="N1360" t="s">
        <v>22</v>
      </c>
    </row>
    <row r="1361" spans="1:14" x14ac:dyDescent="0.25">
      <c r="A1361" t="s">
        <v>4104</v>
      </c>
      <c r="B1361" s="1">
        <v>45742</v>
      </c>
      <c r="C1361" t="s">
        <v>4105</v>
      </c>
      <c r="D1361" t="s">
        <v>4106</v>
      </c>
      <c r="E1361" s="14">
        <v>923344052989</v>
      </c>
      <c r="F1361" t="s">
        <v>49</v>
      </c>
      <c r="G1361" t="s">
        <v>18</v>
      </c>
      <c r="H1361" t="s">
        <v>19</v>
      </c>
      <c r="I1361">
        <v>1</v>
      </c>
      <c r="J1361">
        <v>3728</v>
      </c>
      <c r="K1361">
        <v>3728</v>
      </c>
      <c r="L1361" t="s">
        <v>78</v>
      </c>
      <c r="M1361" t="s">
        <v>55</v>
      </c>
      <c r="N1361" t="s">
        <v>22</v>
      </c>
    </row>
    <row r="1362" spans="1:14" x14ac:dyDescent="0.25">
      <c r="A1362" t="s">
        <v>4107</v>
      </c>
      <c r="B1362" s="1">
        <v>45819</v>
      </c>
      <c r="C1362" t="s">
        <v>4108</v>
      </c>
      <c r="D1362" t="s">
        <v>4109</v>
      </c>
      <c r="E1362" s="14">
        <v>923164493126</v>
      </c>
      <c r="F1362" t="s">
        <v>77</v>
      </c>
      <c r="G1362" t="s">
        <v>18</v>
      </c>
      <c r="H1362" t="s">
        <v>59</v>
      </c>
      <c r="I1362">
        <v>3</v>
      </c>
      <c r="J1362">
        <v>10862</v>
      </c>
      <c r="K1362">
        <v>32586</v>
      </c>
      <c r="L1362" t="s">
        <v>78</v>
      </c>
      <c r="M1362" t="s">
        <v>27</v>
      </c>
      <c r="N1362" t="s">
        <v>28</v>
      </c>
    </row>
    <row r="1363" spans="1:14" x14ac:dyDescent="0.25">
      <c r="A1363" t="s">
        <v>4110</v>
      </c>
      <c r="B1363" s="1">
        <v>45989</v>
      </c>
      <c r="C1363" t="s">
        <v>4111</v>
      </c>
      <c r="D1363" t="s">
        <v>4112</v>
      </c>
      <c r="E1363" s="14">
        <v>923205304624</v>
      </c>
      <c r="F1363" t="s">
        <v>32</v>
      </c>
      <c r="G1363" t="s">
        <v>18</v>
      </c>
      <c r="H1363" t="s">
        <v>19</v>
      </c>
      <c r="I1363">
        <v>2</v>
      </c>
      <c r="J1363">
        <v>5071</v>
      </c>
      <c r="K1363">
        <v>10142</v>
      </c>
      <c r="L1363" t="s">
        <v>26</v>
      </c>
      <c r="M1363" t="s">
        <v>27</v>
      </c>
      <c r="N1363" t="s">
        <v>69</v>
      </c>
    </row>
    <row r="1364" spans="1:14" x14ac:dyDescent="0.25">
      <c r="A1364" t="s">
        <v>4113</v>
      </c>
      <c r="B1364" s="1">
        <v>45822</v>
      </c>
      <c r="C1364" t="s">
        <v>4114</v>
      </c>
      <c r="D1364" t="s">
        <v>4115</v>
      </c>
      <c r="E1364" s="14">
        <v>923127775930</v>
      </c>
      <c r="F1364" t="s">
        <v>44</v>
      </c>
      <c r="G1364" t="s">
        <v>18</v>
      </c>
      <c r="H1364" t="s">
        <v>19</v>
      </c>
      <c r="I1364">
        <v>2</v>
      </c>
      <c r="J1364">
        <v>5423</v>
      </c>
      <c r="K1364">
        <v>10846</v>
      </c>
      <c r="L1364" t="s">
        <v>63</v>
      </c>
      <c r="M1364" t="s">
        <v>82</v>
      </c>
      <c r="N1364" t="s">
        <v>22</v>
      </c>
    </row>
    <row r="1365" spans="1:14" x14ac:dyDescent="0.25">
      <c r="A1365" t="s">
        <v>4116</v>
      </c>
      <c r="B1365" s="1">
        <v>45720</v>
      </c>
      <c r="C1365" t="s">
        <v>4117</v>
      </c>
      <c r="D1365" t="s">
        <v>4118</v>
      </c>
      <c r="E1365" s="14">
        <v>923235223079</v>
      </c>
      <c r="F1365" t="s">
        <v>49</v>
      </c>
      <c r="G1365" t="s">
        <v>18</v>
      </c>
      <c r="H1365" t="s">
        <v>73</v>
      </c>
      <c r="I1365">
        <v>4</v>
      </c>
      <c r="J1365">
        <v>9447</v>
      </c>
      <c r="K1365">
        <v>37788</v>
      </c>
      <c r="L1365" t="s">
        <v>63</v>
      </c>
      <c r="M1365" t="s">
        <v>27</v>
      </c>
      <c r="N1365" t="s">
        <v>69</v>
      </c>
    </row>
    <row r="1366" spans="1:14" x14ac:dyDescent="0.25">
      <c r="A1366" t="s">
        <v>4119</v>
      </c>
      <c r="B1366" s="1">
        <v>45744</v>
      </c>
      <c r="C1366" t="s">
        <v>4120</v>
      </c>
      <c r="D1366" t="s">
        <v>4121</v>
      </c>
      <c r="E1366" s="14">
        <v>923119232400</v>
      </c>
      <c r="F1366" t="s">
        <v>106</v>
      </c>
      <c r="G1366" t="s">
        <v>18</v>
      </c>
      <c r="H1366" t="s">
        <v>39</v>
      </c>
      <c r="I1366">
        <v>2</v>
      </c>
      <c r="J1366">
        <v>5639</v>
      </c>
      <c r="K1366">
        <v>11278</v>
      </c>
      <c r="L1366" t="s">
        <v>63</v>
      </c>
      <c r="M1366" t="s">
        <v>55</v>
      </c>
      <c r="N1366" t="s">
        <v>22</v>
      </c>
    </row>
    <row r="1367" spans="1:14" x14ac:dyDescent="0.25">
      <c r="A1367" t="s">
        <v>4122</v>
      </c>
      <c r="B1367" s="1">
        <v>45804</v>
      </c>
      <c r="C1367" t="s">
        <v>4123</v>
      </c>
      <c r="D1367" t="s">
        <v>4124</v>
      </c>
      <c r="E1367" s="14">
        <v>923223912914</v>
      </c>
      <c r="F1367" t="s">
        <v>67</v>
      </c>
      <c r="G1367" t="s">
        <v>18</v>
      </c>
      <c r="H1367" t="s">
        <v>33</v>
      </c>
      <c r="I1367">
        <v>3</v>
      </c>
      <c r="J1367">
        <v>3855</v>
      </c>
      <c r="K1367">
        <v>11565</v>
      </c>
      <c r="L1367" t="s">
        <v>40</v>
      </c>
      <c r="M1367" t="s">
        <v>27</v>
      </c>
      <c r="N1367" t="s">
        <v>69</v>
      </c>
    </row>
    <row r="1368" spans="1:14" x14ac:dyDescent="0.25">
      <c r="A1368" t="s">
        <v>4125</v>
      </c>
      <c r="B1368" s="1">
        <v>46047</v>
      </c>
      <c r="C1368" t="s">
        <v>4126</v>
      </c>
      <c r="D1368" t="s">
        <v>4127</v>
      </c>
      <c r="E1368" s="14">
        <v>923323076894</v>
      </c>
      <c r="F1368" t="s">
        <v>54</v>
      </c>
      <c r="G1368" t="s">
        <v>18</v>
      </c>
      <c r="H1368" t="s">
        <v>39</v>
      </c>
      <c r="I1368">
        <v>3</v>
      </c>
      <c r="J1368">
        <v>11891</v>
      </c>
      <c r="K1368">
        <v>35673</v>
      </c>
      <c r="L1368" t="s">
        <v>20</v>
      </c>
      <c r="M1368" t="s">
        <v>45</v>
      </c>
      <c r="N1368" t="s">
        <v>22</v>
      </c>
    </row>
    <row r="1369" spans="1:14" x14ac:dyDescent="0.25">
      <c r="A1369" t="s">
        <v>4128</v>
      </c>
      <c r="B1369" s="1">
        <v>45864</v>
      </c>
      <c r="C1369" t="s">
        <v>4129</v>
      </c>
      <c r="D1369" t="s">
        <v>4130</v>
      </c>
      <c r="E1369" s="14">
        <v>923027344450</v>
      </c>
      <c r="F1369" t="s">
        <v>17</v>
      </c>
      <c r="G1369" t="s">
        <v>18</v>
      </c>
      <c r="H1369" t="s">
        <v>19</v>
      </c>
      <c r="I1369">
        <v>1</v>
      </c>
      <c r="J1369">
        <v>7668</v>
      </c>
      <c r="K1369">
        <v>7668</v>
      </c>
      <c r="L1369" t="s">
        <v>40</v>
      </c>
      <c r="M1369" t="s">
        <v>93</v>
      </c>
      <c r="N1369" t="s">
        <v>28</v>
      </c>
    </row>
    <row r="1370" spans="1:14" x14ac:dyDescent="0.25">
      <c r="A1370" t="s">
        <v>4131</v>
      </c>
      <c r="B1370" s="1">
        <v>45988</v>
      </c>
      <c r="C1370" t="s">
        <v>4132</v>
      </c>
      <c r="D1370" t="s">
        <v>4133</v>
      </c>
      <c r="E1370" s="14">
        <v>923409765378</v>
      </c>
      <c r="F1370" t="s">
        <v>49</v>
      </c>
      <c r="G1370" t="s">
        <v>18</v>
      </c>
      <c r="H1370" t="s">
        <v>39</v>
      </c>
      <c r="I1370">
        <v>5</v>
      </c>
      <c r="J1370">
        <v>4825</v>
      </c>
      <c r="K1370">
        <v>24125</v>
      </c>
      <c r="L1370" t="s">
        <v>63</v>
      </c>
      <c r="M1370" t="s">
        <v>82</v>
      </c>
      <c r="N1370" t="s">
        <v>69</v>
      </c>
    </row>
    <row r="1371" spans="1:14" x14ac:dyDescent="0.25">
      <c r="A1371" t="s">
        <v>4134</v>
      </c>
      <c r="B1371" s="1">
        <v>45705</v>
      </c>
      <c r="C1371" t="s">
        <v>4135</v>
      </c>
      <c r="D1371" t="s">
        <v>4136</v>
      </c>
      <c r="E1371" s="14">
        <v>923307585238</v>
      </c>
      <c r="F1371" t="s">
        <v>54</v>
      </c>
      <c r="G1371" t="s">
        <v>18</v>
      </c>
      <c r="H1371" t="s">
        <v>19</v>
      </c>
      <c r="I1371">
        <v>2</v>
      </c>
      <c r="J1371">
        <v>7321</v>
      </c>
      <c r="K1371">
        <v>14642</v>
      </c>
      <c r="L1371" t="s">
        <v>68</v>
      </c>
      <c r="M1371" t="s">
        <v>34</v>
      </c>
      <c r="N1371" t="s">
        <v>28</v>
      </c>
    </row>
    <row r="1372" spans="1:14" x14ac:dyDescent="0.25">
      <c r="A1372" t="s">
        <v>4137</v>
      </c>
      <c r="B1372" s="1">
        <v>46012</v>
      </c>
      <c r="C1372" t="s">
        <v>4138</v>
      </c>
      <c r="D1372" t="s">
        <v>4139</v>
      </c>
      <c r="E1372" s="14">
        <v>923057031522</v>
      </c>
      <c r="F1372" t="s">
        <v>92</v>
      </c>
      <c r="G1372" t="s">
        <v>18</v>
      </c>
      <c r="H1372" t="s">
        <v>50</v>
      </c>
      <c r="I1372">
        <v>5</v>
      </c>
      <c r="J1372">
        <v>10117</v>
      </c>
      <c r="K1372">
        <v>50585</v>
      </c>
      <c r="L1372" t="s">
        <v>26</v>
      </c>
      <c r="M1372" t="s">
        <v>27</v>
      </c>
      <c r="N1372" t="s">
        <v>22</v>
      </c>
    </row>
    <row r="1373" spans="1:14" x14ac:dyDescent="0.25">
      <c r="A1373" t="s">
        <v>4140</v>
      </c>
      <c r="B1373" s="1">
        <v>45717</v>
      </c>
      <c r="C1373" t="s">
        <v>4141</v>
      </c>
      <c r="D1373" t="s">
        <v>4142</v>
      </c>
      <c r="E1373" s="14">
        <v>923011713584</v>
      </c>
      <c r="F1373" t="s">
        <v>54</v>
      </c>
      <c r="G1373" t="s">
        <v>18</v>
      </c>
      <c r="H1373" t="s">
        <v>59</v>
      </c>
      <c r="I1373">
        <v>4</v>
      </c>
      <c r="J1373">
        <v>6717</v>
      </c>
      <c r="K1373">
        <v>26868</v>
      </c>
      <c r="L1373" t="s">
        <v>68</v>
      </c>
      <c r="M1373" t="s">
        <v>55</v>
      </c>
      <c r="N1373" t="s">
        <v>35</v>
      </c>
    </row>
    <row r="1374" spans="1:14" x14ac:dyDescent="0.25">
      <c r="A1374" t="s">
        <v>4143</v>
      </c>
      <c r="B1374" s="1">
        <v>45821</v>
      </c>
      <c r="C1374" t="s">
        <v>4144</v>
      </c>
      <c r="D1374" t="s">
        <v>4145</v>
      </c>
      <c r="E1374" s="14">
        <v>923426466186</v>
      </c>
      <c r="F1374" t="s">
        <v>32</v>
      </c>
      <c r="G1374" t="s">
        <v>18</v>
      </c>
      <c r="H1374" t="s">
        <v>19</v>
      </c>
      <c r="I1374">
        <v>3</v>
      </c>
      <c r="J1374">
        <v>1687</v>
      </c>
      <c r="K1374">
        <v>5061</v>
      </c>
      <c r="L1374" t="s">
        <v>40</v>
      </c>
      <c r="M1374" t="s">
        <v>93</v>
      </c>
      <c r="N1374" t="s">
        <v>35</v>
      </c>
    </row>
    <row r="1375" spans="1:14" x14ac:dyDescent="0.25">
      <c r="A1375" t="s">
        <v>4146</v>
      </c>
      <c r="B1375" s="1">
        <v>45774</v>
      </c>
      <c r="C1375" t="s">
        <v>4147</v>
      </c>
      <c r="D1375" t="s">
        <v>4148</v>
      </c>
      <c r="E1375" s="14">
        <v>923480680068</v>
      </c>
      <c r="F1375" t="s">
        <v>77</v>
      </c>
      <c r="G1375" t="s">
        <v>18</v>
      </c>
      <c r="H1375" t="s">
        <v>50</v>
      </c>
      <c r="I1375">
        <v>3</v>
      </c>
      <c r="J1375">
        <v>14217</v>
      </c>
      <c r="K1375">
        <v>42651</v>
      </c>
      <c r="L1375" t="s">
        <v>63</v>
      </c>
      <c r="M1375" t="s">
        <v>34</v>
      </c>
      <c r="N1375" t="s">
        <v>28</v>
      </c>
    </row>
    <row r="1376" spans="1:14" x14ac:dyDescent="0.25">
      <c r="A1376" t="s">
        <v>4149</v>
      </c>
      <c r="B1376" s="1">
        <v>45716</v>
      </c>
      <c r="C1376" t="s">
        <v>4150</v>
      </c>
      <c r="D1376" t="s">
        <v>4151</v>
      </c>
      <c r="E1376" s="14">
        <v>923371115456</v>
      </c>
      <c r="F1376" t="s">
        <v>67</v>
      </c>
      <c r="G1376" t="s">
        <v>18</v>
      </c>
      <c r="H1376" t="s">
        <v>39</v>
      </c>
      <c r="I1376">
        <v>4</v>
      </c>
      <c r="J1376">
        <v>11988</v>
      </c>
      <c r="K1376">
        <v>47952</v>
      </c>
      <c r="L1376" t="s">
        <v>26</v>
      </c>
      <c r="M1376" t="s">
        <v>21</v>
      </c>
      <c r="N1376" t="s">
        <v>69</v>
      </c>
    </row>
    <row r="1377" spans="1:14" x14ac:dyDescent="0.25">
      <c r="A1377" t="s">
        <v>4152</v>
      </c>
      <c r="B1377" s="1">
        <v>45977</v>
      </c>
      <c r="C1377" t="s">
        <v>4153</v>
      </c>
      <c r="D1377" t="s">
        <v>4154</v>
      </c>
      <c r="E1377" s="14">
        <v>923281823759</v>
      </c>
      <c r="F1377" t="s">
        <v>32</v>
      </c>
      <c r="G1377" t="s">
        <v>18</v>
      </c>
      <c r="H1377" t="s">
        <v>19</v>
      </c>
      <c r="I1377">
        <v>3</v>
      </c>
      <c r="J1377">
        <v>10742</v>
      </c>
      <c r="K1377">
        <v>32226</v>
      </c>
      <c r="L1377" t="s">
        <v>26</v>
      </c>
      <c r="M1377" t="s">
        <v>21</v>
      </c>
      <c r="N1377" t="s">
        <v>69</v>
      </c>
    </row>
    <row r="1378" spans="1:14" x14ac:dyDescent="0.25">
      <c r="A1378" t="s">
        <v>4155</v>
      </c>
      <c r="B1378" s="1">
        <v>45942</v>
      </c>
      <c r="C1378" t="s">
        <v>4156</v>
      </c>
      <c r="D1378" t="s">
        <v>4157</v>
      </c>
      <c r="E1378" s="14">
        <v>923346232977</v>
      </c>
      <c r="F1378" t="s">
        <v>67</v>
      </c>
      <c r="G1378" t="s">
        <v>18</v>
      </c>
      <c r="H1378" t="s">
        <v>73</v>
      </c>
      <c r="I1378">
        <v>1</v>
      </c>
      <c r="J1378">
        <v>8101</v>
      </c>
      <c r="K1378">
        <v>8101</v>
      </c>
      <c r="L1378" t="s">
        <v>26</v>
      </c>
      <c r="M1378" t="s">
        <v>82</v>
      </c>
      <c r="N1378" t="s">
        <v>22</v>
      </c>
    </row>
    <row r="1379" spans="1:14" x14ac:dyDescent="0.25">
      <c r="A1379" t="s">
        <v>4158</v>
      </c>
      <c r="B1379" s="1">
        <v>45716</v>
      </c>
      <c r="C1379" t="s">
        <v>4159</v>
      </c>
      <c r="D1379" t="s">
        <v>4160</v>
      </c>
      <c r="E1379" s="14">
        <v>923455701860</v>
      </c>
      <c r="F1379" t="s">
        <v>32</v>
      </c>
      <c r="G1379" t="s">
        <v>18</v>
      </c>
      <c r="H1379" t="s">
        <v>19</v>
      </c>
      <c r="I1379">
        <v>3</v>
      </c>
      <c r="J1379">
        <v>14642</v>
      </c>
      <c r="K1379">
        <v>43926</v>
      </c>
      <c r="L1379" t="s">
        <v>40</v>
      </c>
      <c r="M1379" t="s">
        <v>55</v>
      </c>
      <c r="N1379" t="s">
        <v>28</v>
      </c>
    </row>
    <row r="1380" spans="1:14" x14ac:dyDescent="0.25">
      <c r="A1380" t="s">
        <v>4161</v>
      </c>
      <c r="B1380" s="1">
        <v>45788</v>
      </c>
      <c r="C1380" t="s">
        <v>4162</v>
      </c>
      <c r="D1380" t="s">
        <v>4163</v>
      </c>
      <c r="E1380" s="14">
        <v>923138387805</v>
      </c>
      <c r="F1380" t="s">
        <v>77</v>
      </c>
      <c r="G1380" t="s">
        <v>18</v>
      </c>
      <c r="H1380" t="s">
        <v>39</v>
      </c>
      <c r="I1380">
        <v>2</v>
      </c>
      <c r="J1380">
        <v>1356</v>
      </c>
      <c r="K1380">
        <v>2712</v>
      </c>
      <c r="L1380" t="s">
        <v>20</v>
      </c>
      <c r="M1380" t="s">
        <v>21</v>
      </c>
      <c r="N1380" t="s">
        <v>22</v>
      </c>
    </row>
    <row r="1381" spans="1:14" x14ac:dyDescent="0.25">
      <c r="A1381" t="s">
        <v>4164</v>
      </c>
      <c r="B1381" s="1">
        <v>46037</v>
      </c>
      <c r="C1381" t="s">
        <v>4165</v>
      </c>
      <c r="D1381" t="s">
        <v>4166</v>
      </c>
      <c r="E1381" s="14">
        <v>923409429433</v>
      </c>
      <c r="F1381" t="s">
        <v>32</v>
      </c>
      <c r="G1381" t="s">
        <v>18</v>
      </c>
      <c r="H1381" t="s">
        <v>50</v>
      </c>
      <c r="I1381">
        <v>1</v>
      </c>
      <c r="J1381">
        <v>14523</v>
      </c>
      <c r="K1381">
        <v>14523</v>
      </c>
      <c r="L1381" t="s">
        <v>40</v>
      </c>
      <c r="M1381" t="s">
        <v>82</v>
      </c>
      <c r="N1381" t="s">
        <v>69</v>
      </c>
    </row>
    <row r="1382" spans="1:14" x14ac:dyDescent="0.25">
      <c r="A1382" t="s">
        <v>4167</v>
      </c>
      <c r="B1382" s="1">
        <v>46070</v>
      </c>
      <c r="C1382" t="s">
        <v>4168</v>
      </c>
      <c r="D1382" t="s">
        <v>4169</v>
      </c>
      <c r="E1382" s="14">
        <v>923487452408</v>
      </c>
      <c r="F1382" t="s">
        <v>49</v>
      </c>
      <c r="G1382" t="s">
        <v>18</v>
      </c>
      <c r="H1382" t="s">
        <v>50</v>
      </c>
      <c r="I1382">
        <v>1</v>
      </c>
      <c r="J1382">
        <v>4332</v>
      </c>
      <c r="K1382">
        <v>4332</v>
      </c>
      <c r="L1382" t="s">
        <v>63</v>
      </c>
      <c r="M1382" t="s">
        <v>21</v>
      </c>
      <c r="N1382" t="s">
        <v>69</v>
      </c>
    </row>
    <row r="1383" spans="1:14" x14ac:dyDescent="0.25">
      <c r="A1383" t="s">
        <v>4170</v>
      </c>
      <c r="B1383" s="1">
        <v>46032</v>
      </c>
      <c r="C1383" t="s">
        <v>4171</v>
      </c>
      <c r="D1383" t="s">
        <v>4172</v>
      </c>
      <c r="E1383" s="14">
        <v>923323096770</v>
      </c>
      <c r="F1383" t="s">
        <v>49</v>
      </c>
      <c r="G1383" t="s">
        <v>18</v>
      </c>
      <c r="H1383" t="s">
        <v>50</v>
      </c>
      <c r="I1383">
        <v>5</v>
      </c>
      <c r="J1383">
        <v>5525</v>
      </c>
      <c r="K1383">
        <v>27625</v>
      </c>
      <c r="L1383" t="s">
        <v>68</v>
      </c>
      <c r="M1383" t="s">
        <v>135</v>
      </c>
      <c r="N1383" t="s">
        <v>69</v>
      </c>
    </row>
    <row r="1384" spans="1:14" x14ac:dyDescent="0.25">
      <c r="A1384" t="s">
        <v>4173</v>
      </c>
      <c r="B1384" s="1">
        <v>45992</v>
      </c>
      <c r="C1384" t="s">
        <v>4174</v>
      </c>
      <c r="D1384" t="s">
        <v>4175</v>
      </c>
      <c r="E1384" s="14">
        <v>923225322326</v>
      </c>
      <c r="F1384" t="s">
        <v>106</v>
      </c>
      <c r="G1384" t="s">
        <v>18</v>
      </c>
      <c r="H1384" t="s">
        <v>59</v>
      </c>
      <c r="I1384">
        <v>3</v>
      </c>
      <c r="J1384">
        <v>6969</v>
      </c>
      <c r="K1384">
        <v>20907</v>
      </c>
      <c r="L1384" t="s">
        <v>40</v>
      </c>
      <c r="M1384" t="s">
        <v>55</v>
      </c>
      <c r="N1384" t="s">
        <v>35</v>
      </c>
    </row>
    <row r="1385" spans="1:14" x14ac:dyDescent="0.25">
      <c r="A1385" t="s">
        <v>4176</v>
      </c>
      <c r="B1385" s="1">
        <v>45843</v>
      </c>
      <c r="C1385" t="s">
        <v>4177</v>
      </c>
      <c r="D1385" t="s">
        <v>4178</v>
      </c>
      <c r="E1385" s="14">
        <v>923011092738</v>
      </c>
      <c r="F1385" t="s">
        <v>67</v>
      </c>
      <c r="G1385" t="s">
        <v>18</v>
      </c>
      <c r="H1385" t="s">
        <v>33</v>
      </c>
      <c r="I1385">
        <v>5</v>
      </c>
      <c r="J1385">
        <v>3389</v>
      </c>
      <c r="K1385">
        <v>16945</v>
      </c>
      <c r="L1385" t="s">
        <v>63</v>
      </c>
      <c r="M1385" t="s">
        <v>45</v>
      </c>
      <c r="N1385" t="s">
        <v>28</v>
      </c>
    </row>
    <row r="1386" spans="1:14" x14ac:dyDescent="0.25">
      <c r="A1386" t="s">
        <v>4179</v>
      </c>
      <c r="B1386" s="1">
        <v>45832</v>
      </c>
      <c r="C1386" t="s">
        <v>4180</v>
      </c>
      <c r="D1386" t="s">
        <v>4181</v>
      </c>
      <c r="E1386" s="14">
        <v>923093972961</v>
      </c>
      <c r="F1386" t="s">
        <v>122</v>
      </c>
      <c r="G1386" t="s">
        <v>18</v>
      </c>
      <c r="H1386" t="s">
        <v>73</v>
      </c>
      <c r="I1386">
        <v>5</v>
      </c>
      <c r="J1386">
        <v>13157</v>
      </c>
      <c r="K1386">
        <v>65785</v>
      </c>
      <c r="L1386" t="s">
        <v>68</v>
      </c>
      <c r="M1386" t="s">
        <v>135</v>
      </c>
      <c r="N1386" t="s">
        <v>28</v>
      </c>
    </row>
    <row r="1387" spans="1:14" x14ac:dyDescent="0.25">
      <c r="A1387" t="s">
        <v>4182</v>
      </c>
      <c r="B1387" s="1">
        <v>45893</v>
      </c>
      <c r="C1387" t="s">
        <v>4183</v>
      </c>
      <c r="D1387" t="s">
        <v>4184</v>
      </c>
      <c r="E1387" s="14">
        <v>923048833173</v>
      </c>
      <c r="F1387" t="s">
        <v>54</v>
      </c>
      <c r="G1387" t="s">
        <v>18</v>
      </c>
      <c r="H1387" t="s">
        <v>73</v>
      </c>
      <c r="I1387">
        <v>1</v>
      </c>
      <c r="J1387">
        <v>13106</v>
      </c>
      <c r="K1387">
        <v>13106</v>
      </c>
      <c r="L1387" t="s">
        <v>68</v>
      </c>
      <c r="M1387" t="s">
        <v>45</v>
      </c>
      <c r="N1387" t="s">
        <v>28</v>
      </c>
    </row>
    <row r="1388" spans="1:14" x14ac:dyDescent="0.25">
      <c r="A1388" t="s">
        <v>4185</v>
      </c>
      <c r="B1388" s="1">
        <v>45739</v>
      </c>
      <c r="C1388" t="s">
        <v>4186</v>
      </c>
      <c r="D1388" t="s">
        <v>4187</v>
      </c>
      <c r="E1388" s="14">
        <v>923319736896</v>
      </c>
      <c r="F1388" t="s">
        <v>122</v>
      </c>
      <c r="G1388" t="s">
        <v>18</v>
      </c>
      <c r="H1388" t="s">
        <v>39</v>
      </c>
      <c r="I1388">
        <v>5</v>
      </c>
      <c r="J1388">
        <v>9525</v>
      </c>
      <c r="K1388">
        <v>47625</v>
      </c>
      <c r="L1388" t="s">
        <v>26</v>
      </c>
      <c r="M1388" t="s">
        <v>55</v>
      </c>
      <c r="N1388" t="s">
        <v>35</v>
      </c>
    </row>
    <row r="1389" spans="1:14" x14ac:dyDescent="0.25">
      <c r="A1389" t="s">
        <v>4188</v>
      </c>
      <c r="B1389" s="1">
        <v>45921</v>
      </c>
      <c r="C1389" t="s">
        <v>4189</v>
      </c>
      <c r="D1389" t="s">
        <v>4190</v>
      </c>
      <c r="E1389" s="14">
        <v>923203017613</v>
      </c>
      <c r="F1389" t="s">
        <v>92</v>
      </c>
      <c r="G1389" t="s">
        <v>18</v>
      </c>
      <c r="H1389" t="s">
        <v>59</v>
      </c>
      <c r="I1389">
        <v>1</v>
      </c>
      <c r="J1389">
        <v>9841</v>
      </c>
      <c r="K1389">
        <v>9841</v>
      </c>
      <c r="L1389" t="s">
        <v>78</v>
      </c>
      <c r="M1389" t="s">
        <v>45</v>
      </c>
      <c r="N1389" t="s">
        <v>22</v>
      </c>
    </row>
    <row r="1390" spans="1:14" x14ac:dyDescent="0.25">
      <c r="A1390" t="s">
        <v>4191</v>
      </c>
      <c r="B1390" s="1">
        <v>45969</v>
      </c>
      <c r="C1390" t="s">
        <v>4192</v>
      </c>
      <c r="D1390" t="s">
        <v>4193</v>
      </c>
      <c r="E1390" s="14">
        <v>923069362179</v>
      </c>
      <c r="F1390" t="s">
        <v>67</v>
      </c>
      <c r="G1390" t="s">
        <v>18</v>
      </c>
      <c r="H1390" t="s">
        <v>50</v>
      </c>
      <c r="I1390">
        <v>4</v>
      </c>
      <c r="J1390">
        <v>6531</v>
      </c>
      <c r="K1390">
        <v>26124</v>
      </c>
      <c r="L1390" t="s">
        <v>26</v>
      </c>
      <c r="M1390" t="s">
        <v>21</v>
      </c>
      <c r="N1390" t="s">
        <v>69</v>
      </c>
    </row>
    <row r="1391" spans="1:14" x14ac:dyDescent="0.25">
      <c r="A1391" t="s">
        <v>4194</v>
      </c>
      <c r="B1391" s="1">
        <v>45767</v>
      </c>
      <c r="C1391" t="s">
        <v>4195</v>
      </c>
      <c r="D1391" t="s">
        <v>4196</v>
      </c>
      <c r="E1391" s="14">
        <v>923146885202</v>
      </c>
      <c r="F1391" t="s">
        <v>32</v>
      </c>
      <c r="G1391" t="s">
        <v>18</v>
      </c>
      <c r="H1391" t="s">
        <v>50</v>
      </c>
      <c r="I1391">
        <v>5</v>
      </c>
      <c r="J1391">
        <v>7715</v>
      </c>
      <c r="K1391">
        <v>38575</v>
      </c>
      <c r="L1391" t="s">
        <v>40</v>
      </c>
      <c r="M1391" t="s">
        <v>82</v>
      </c>
      <c r="N1391" t="s">
        <v>22</v>
      </c>
    </row>
    <row r="1392" spans="1:14" x14ac:dyDescent="0.25">
      <c r="A1392" t="s">
        <v>4197</v>
      </c>
      <c r="B1392" s="1">
        <v>45720</v>
      </c>
      <c r="C1392" t="s">
        <v>2827</v>
      </c>
      <c r="D1392" t="s">
        <v>4198</v>
      </c>
      <c r="E1392" s="14">
        <v>923425357122</v>
      </c>
      <c r="F1392" t="s">
        <v>106</v>
      </c>
      <c r="G1392" t="s">
        <v>18</v>
      </c>
      <c r="H1392" t="s">
        <v>39</v>
      </c>
      <c r="I1392">
        <v>5</v>
      </c>
      <c r="J1392">
        <v>5124</v>
      </c>
      <c r="K1392">
        <v>25620</v>
      </c>
      <c r="L1392" t="s">
        <v>26</v>
      </c>
      <c r="M1392" t="s">
        <v>55</v>
      </c>
      <c r="N1392" t="s">
        <v>35</v>
      </c>
    </row>
    <row r="1393" spans="1:14" x14ac:dyDescent="0.25">
      <c r="A1393" t="s">
        <v>4199</v>
      </c>
      <c r="B1393" s="1">
        <v>45710</v>
      </c>
      <c r="C1393" t="s">
        <v>4200</v>
      </c>
      <c r="D1393" t="s">
        <v>4201</v>
      </c>
      <c r="E1393" s="14">
        <v>923221216449</v>
      </c>
      <c r="F1393" t="s">
        <v>44</v>
      </c>
      <c r="G1393" t="s">
        <v>18</v>
      </c>
      <c r="H1393" t="s">
        <v>33</v>
      </c>
      <c r="I1393">
        <v>2</v>
      </c>
      <c r="J1393">
        <v>1865</v>
      </c>
      <c r="K1393">
        <v>3730</v>
      </c>
      <c r="L1393" t="s">
        <v>78</v>
      </c>
      <c r="M1393" t="s">
        <v>27</v>
      </c>
      <c r="N1393" t="s">
        <v>28</v>
      </c>
    </row>
    <row r="1394" spans="1:14" x14ac:dyDescent="0.25">
      <c r="A1394" t="s">
        <v>4202</v>
      </c>
      <c r="B1394" s="1">
        <v>45726</v>
      </c>
      <c r="C1394" t="s">
        <v>4203</v>
      </c>
      <c r="D1394" t="s">
        <v>4204</v>
      </c>
      <c r="E1394" s="14">
        <v>923383610277</v>
      </c>
      <c r="F1394" t="s">
        <v>44</v>
      </c>
      <c r="G1394" t="s">
        <v>18</v>
      </c>
      <c r="H1394" t="s">
        <v>39</v>
      </c>
      <c r="I1394">
        <v>2</v>
      </c>
      <c r="J1394">
        <v>5584</v>
      </c>
      <c r="K1394">
        <v>11168</v>
      </c>
      <c r="L1394" t="s">
        <v>40</v>
      </c>
      <c r="M1394" t="s">
        <v>34</v>
      </c>
      <c r="N1394" t="s">
        <v>28</v>
      </c>
    </row>
    <row r="1395" spans="1:14" x14ac:dyDescent="0.25">
      <c r="A1395" t="s">
        <v>4205</v>
      </c>
      <c r="B1395" s="1">
        <v>46001</v>
      </c>
      <c r="C1395" t="s">
        <v>4206</v>
      </c>
      <c r="D1395" t="s">
        <v>4207</v>
      </c>
      <c r="E1395" s="14">
        <v>923111538319</v>
      </c>
      <c r="F1395" t="s">
        <v>49</v>
      </c>
      <c r="G1395" t="s">
        <v>18</v>
      </c>
      <c r="H1395" t="s">
        <v>39</v>
      </c>
      <c r="I1395">
        <v>4</v>
      </c>
      <c r="J1395">
        <v>14257</v>
      </c>
      <c r="K1395">
        <v>57028</v>
      </c>
      <c r="L1395" t="s">
        <v>63</v>
      </c>
      <c r="M1395" t="s">
        <v>27</v>
      </c>
      <c r="N1395" t="s">
        <v>28</v>
      </c>
    </row>
    <row r="1396" spans="1:14" x14ac:dyDescent="0.25">
      <c r="A1396" t="s">
        <v>4208</v>
      </c>
      <c r="B1396" s="1">
        <v>45729</v>
      </c>
      <c r="C1396" t="s">
        <v>4209</v>
      </c>
      <c r="D1396" t="s">
        <v>4210</v>
      </c>
      <c r="E1396" s="14">
        <v>923459221535</v>
      </c>
      <c r="F1396" t="s">
        <v>77</v>
      </c>
      <c r="G1396" t="s">
        <v>18</v>
      </c>
      <c r="H1396" t="s">
        <v>73</v>
      </c>
      <c r="I1396">
        <v>4</v>
      </c>
      <c r="J1396">
        <v>5472</v>
      </c>
      <c r="K1396">
        <v>21888</v>
      </c>
      <c r="L1396" t="s">
        <v>63</v>
      </c>
      <c r="M1396" t="s">
        <v>135</v>
      </c>
      <c r="N1396" t="s">
        <v>35</v>
      </c>
    </row>
    <row r="1397" spans="1:14" x14ac:dyDescent="0.25">
      <c r="A1397" t="s">
        <v>4211</v>
      </c>
      <c r="B1397" s="1">
        <v>46055</v>
      </c>
      <c r="C1397" t="s">
        <v>4212</v>
      </c>
      <c r="D1397" t="s">
        <v>4213</v>
      </c>
      <c r="E1397" s="14">
        <v>923356119153</v>
      </c>
      <c r="F1397" t="s">
        <v>106</v>
      </c>
      <c r="G1397" t="s">
        <v>18</v>
      </c>
      <c r="H1397" t="s">
        <v>19</v>
      </c>
      <c r="I1397">
        <v>5</v>
      </c>
      <c r="J1397">
        <v>3666</v>
      </c>
      <c r="K1397">
        <v>18330</v>
      </c>
      <c r="L1397" t="s">
        <v>26</v>
      </c>
      <c r="M1397" t="s">
        <v>21</v>
      </c>
      <c r="N1397" t="s">
        <v>22</v>
      </c>
    </row>
    <row r="1398" spans="1:14" x14ac:dyDescent="0.25">
      <c r="A1398" t="s">
        <v>4214</v>
      </c>
      <c r="B1398" s="1">
        <v>45958</v>
      </c>
      <c r="C1398" t="s">
        <v>4215</v>
      </c>
      <c r="D1398" t="s">
        <v>4216</v>
      </c>
      <c r="E1398" s="14">
        <v>923223735838</v>
      </c>
      <c r="F1398" t="s">
        <v>92</v>
      </c>
      <c r="G1398" t="s">
        <v>18</v>
      </c>
      <c r="H1398" t="s">
        <v>59</v>
      </c>
      <c r="I1398">
        <v>4</v>
      </c>
      <c r="J1398">
        <v>12781</v>
      </c>
      <c r="K1398">
        <v>51124</v>
      </c>
      <c r="L1398" t="s">
        <v>40</v>
      </c>
      <c r="M1398" t="s">
        <v>45</v>
      </c>
      <c r="N1398" t="s">
        <v>35</v>
      </c>
    </row>
    <row r="1399" spans="1:14" x14ac:dyDescent="0.25">
      <c r="A1399" t="s">
        <v>4217</v>
      </c>
      <c r="B1399" s="1">
        <v>45893</v>
      </c>
      <c r="C1399" t="s">
        <v>4218</v>
      </c>
      <c r="D1399" t="s">
        <v>4219</v>
      </c>
      <c r="E1399" s="14">
        <v>923048483055</v>
      </c>
      <c r="F1399" t="s">
        <v>122</v>
      </c>
      <c r="G1399" t="s">
        <v>18</v>
      </c>
      <c r="H1399" t="s">
        <v>33</v>
      </c>
      <c r="I1399">
        <v>4</v>
      </c>
      <c r="J1399">
        <v>1597</v>
      </c>
      <c r="K1399">
        <v>6388</v>
      </c>
      <c r="L1399" t="s">
        <v>78</v>
      </c>
      <c r="M1399" t="s">
        <v>27</v>
      </c>
      <c r="N1399" t="s">
        <v>22</v>
      </c>
    </row>
    <row r="1400" spans="1:14" x14ac:dyDescent="0.25">
      <c r="A1400" t="s">
        <v>4220</v>
      </c>
      <c r="B1400" s="1">
        <v>46011</v>
      </c>
      <c r="C1400" t="s">
        <v>4221</v>
      </c>
      <c r="D1400" t="s">
        <v>4222</v>
      </c>
      <c r="E1400" s="14">
        <v>923109107063</v>
      </c>
      <c r="F1400" t="s">
        <v>77</v>
      </c>
      <c r="G1400" t="s">
        <v>18</v>
      </c>
      <c r="H1400" t="s">
        <v>39</v>
      </c>
      <c r="I1400">
        <v>2</v>
      </c>
      <c r="J1400">
        <v>11734</v>
      </c>
      <c r="K1400">
        <v>23468</v>
      </c>
      <c r="L1400" t="s">
        <v>26</v>
      </c>
      <c r="M1400" t="s">
        <v>93</v>
      </c>
      <c r="N1400" t="s">
        <v>69</v>
      </c>
    </row>
    <row r="1401" spans="1:14" x14ac:dyDescent="0.25">
      <c r="A1401" t="s">
        <v>4223</v>
      </c>
      <c r="B1401" s="1">
        <v>45948</v>
      </c>
      <c r="C1401" t="s">
        <v>4224</v>
      </c>
      <c r="D1401" t="s">
        <v>4225</v>
      </c>
      <c r="E1401" s="14">
        <v>923032245117</v>
      </c>
      <c r="F1401" t="s">
        <v>92</v>
      </c>
      <c r="G1401" t="s">
        <v>18</v>
      </c>
      <c r="H1401" t="s">
        <v>19</v>
      </c>
      <c r="I1401">
        <v>1</v>
      </c>
      <c r="J1401">
        <v>7787</v>
      </c>
      <c r="K1401">
        <v>7787</v>
      </c>
      <c r="L1401" t="s">
        <v>78</v>
      </c>
      <c r="M1401" t="s">
        <v>135</v>
      </c>
      <c r="N1401" t="s">
        <v>69</v>
      </c>
    </row>
    <row r="1402" spans="1:14" x14ac:dyDescent="0.25">
      <c r="A1402" t="s">
        <v>4226</v>
      </c>
      <c r="B1402" s="1">
        <v>45848</v>
      </c>
      <c r="C1402" t="s">
        <v>4227</v>
      </c>
      <c r="D1402" t="s">
        <v>4228</v>
      </c>
      <c r="E1402" s="14">
        <v>923142777443</v>
      </c>
      <c r="F1402" t="s">
        <v>32</v>
      </c>
      <c r="G1402" t="s">
        <v>18</v>
      </c>
      <c r="H1402" t="s">
        <v>73</v>
      </c>
      <c r="I1402">
        <v>4</v>
      </c>
      <c r="J1402">
        <v>10260</v>
      </c>
      <c r="K1402">
        <v>41040</v>
      </c>
      <c r="L1402" t="s">
        <v>20</v>
      </c>
      <c r="M1402" t="s">
        <v>27</v>
      </c>
      <c r="N1402" t="s">
        <v>22</v>
      </c>
    </row>
    <row r="1403" spans="1:14" x14ac:dyDescent="0.25">
      <c r="A1403" t="s">
        <v>4229</v>
      </c>
      <c r="B1403" s="1">
        <v>45765</v>
      </c>
      <c r="C1403" t="s">
        <v>4230</v>
      </c>
      <c r="D1403" t="s">
        <v>4231</v>
      </c>
      <c r="E1403" s="14">
        <v>923279485282</v>
      </c>
      <c r="F1403" t="s">
        <v>106</v>
      </c>
      <c r="G1403" t="s">
        <v>18</v>
      </c>
      <c r="H1403" t="s">
        <v>50</v>
      </c>
      <c r="I1403">
        <v>4</v>
      </c>
      <c r="J1403">
        <v>2664</v>
      </c>
      <c r="K1403">
        <v>10656</v>
      </c>
      <c r="L1403" t="s">
        <v>78</v>
      </c>
      <c r="M1403" t="s">
        <v>135</v>
      </c>
      <c r="N1403" t="s">
        <v>69</v>
      </c>
    </row>
    <row r="1404" spans="1:14" x14ac:dyDescent="0.25">
      <c r="A1404" t="s">
        <v>4232</v>
      </c>
      <c r="B1404" s="1">
        <v>45758</v>
      </c>
      <c r="C1404" t="s">
        <v>4233</v>
      </c>
      <c r="D1404" t="s">
        <v>4234</v>
      </c>
      <c r="E1404" s="14">
        <v>923256043580</v>
      </c>
      <c r="F1404" t="s">
        <v>44</v>
      </c>
      <c r="G1404" t="s">
        <v>18</v>
      </c>
      <c r="H1404" t="s">
        <v>39</v>
      </c>
      <c r="I1404">
        <v>3</v>
      </c>
      <c r="J1404">
        <v>10855</v>
      </c>
      <c r="K1404">
        <v>32565</v>
      </c>
      <c r="L1404" t="s">
        <v>78</v>
      </c>
      <c r="M1404" t="s">
        <v>21</v>
      </c>
      <c r="N1404" t="s">
        <v>35</v>
      </c>
    </row>
    <row r="1405" spans="1:14" x14ac:dyDescent="0.25">
      <c r="A1405" t="s">
        <v>4235</v>
      </c>
      <c r="B1405" s="1">
        <v>46031</v>
      </c>
      <c r="C1405" t="s">
        <v>4236</v>
      </c>
      <c r="D1405" t="s">
        <v>4237</v>
      </c>
      <c r="E1405" s="14">
        <v>923483298477</v>
      </c>
      <c r="F1405" t="s">
        <v>49</v>
      </c>
      <c r="G1405" t="s">
        <v>18</v>
      </c>
      <c r="H1405" t="s">
        <v>73</v>
      </c>
      <c r="I1405">
        <v>5</v>
      </c>
      <c r="J1405">
        <v>4372</v>
      </c>
      <c r="K1405">
        <v>21860</v>
      </c>
      <c r="L1405" t="s">
        <v>26</v>
      </c>
      <c r="M1405" t="s">
        <v>82</v>
      </c>
      <c r="N1405" t="s">
        <v>22</v>
      </c>
    </row>
    <row r="1406" spans="1:14" x14ac:dyDescent="0.25">
      <c r="A1406" t="s">
        <v>4238</v>
      </c>
      <c r="B1406" s="1">
        <v>45791</v>
      </c>
      <c r="C1406" t="s">
        <v>4239</v>
      </c>
      <c r="D1406" t="s">
        <v>4240</v>
      </c>
      <c r="E1406" s="14">
        <v>923306940885</v>
      </c>
      <c r="F1406" t="s">
        <v>122</v>
      </c>
      <c r="G1406" t="s">
        <v>18</v>
      </c>
      <c r="H1406" t="s">
        <v>19</v>
      </c>
      <c r="I1406">
        <v>4</v>
      </c>
      <c r="J1406">
        <v>12078</v>
      </c>
      <c r="K1406">
        <v>48312</v>
      </c>
      <c r="L1406" t="s">
        <v>20</v>
      </c>
      <c r="M1406" t="s">
        <v>82</v>
      </c>
      <c r="N1406" t="s">
        <v>69</v>
      </c>
    </row>
    <row r="1407" spans="1:14" x14ac:dyDescent="0.25">
      <c r="A1407" t="s">
        <v>4241</v>
      </c>
      <c r="B1407" s="1">
        <v>45749</v>
      </c>
      <c r="C1407" t="s">
        <v>4242</v>
      </c>
      <c r="D1407" t="s">
        <v>4243</v>
      </c>
      <c r="E1407" s="14">
        <v>923284173458</v>
      </c>
      <c r="F1407" t="s">
        <v>49</v>
      </c>
      <c r="G1407" t="s">
        <v>18</v>
      </c>
      <c r="H1407" t="s">
        <v>50</v>
      </c>
      <c r="I1407">
        <v>5</v>
      </c>
      <c r="J1407">
        <v>3877</v>
      </c>
      <c r="K1407">
        <v>19385</v>
      </c>
      <c r="L1407" t="s">
        <v>78</v>
      </c>
      <c r="M1407" t="s">
        <v>55</v>
      </c>
      <c r="N1407" t="s">
        <v>69</v>
      </c>
    </row>
    <row r="1408" spans="1:14" x14ac:dyDescent="0.25">
      <c r="A1408" t="s">
        <v>4244</v>
      </c>
      <c r="B1408" s="1">
        <v>45880</v>
      </c>
      <c r="C1408" t="s">
        <v>4245</v>
      </c>
      <c r="D1408" t="s">
        <v>4246</v>
      </c>
      <c r="E1408" s="14">
        <v>923183470494</v>
      </c>
      <c r="F1408" t="s">
        <v>92</v>
      </c>
      <c r="G1408" t="s">
        <v>18</v>
      </c>
      <c r="H1408" t="s">
        <v>33</v>
      </c>
      <c r="I1408">
        <v>2</v>
      </c>
      <c r="J1408">
        <v>5868</v>
      </c>
      <c r="K1408">
        <v>11736</v>
      </c>
      <c r="L1408" t="s">
        <v>78</v>
      </c>
      <c r="M1408" t="s">
        <v>34</v>
      </c>
      <c r="N1408" t="s">
        <v>69</v>
      </c>
    </row>
    <row r="1409" spans="1:14" x14ac:dyDescent="0.25">
      <c r="A1409" t="s">
        <v>4247</v>
      </c>
      <c r="B1409" s="1">
        <v>45842</v>
      </c>
      <c r="C1409" t="s">
        <v>4248</v>
      </c>
      <c r="D1409" t="s">
        <v>4249</v>
      </c>
      <c r="E1409" s="14">
        <v>923284448956</v>
      </c>
      <c r="F1409" t="s">
        <v>32</v>
      </c>
      <c r="G1409" t="s">
        <v>18</v>
      </c>
      <c r="H1409" t="s">
        <v>33</v>
      </c>
      <c r="I1409">
        <v>3</v>
      </c>
      <c r="J1409">
        <v>1869</v>
      </c>
      <c r="K1409">
        <v>5607</v>
      </c>
      <c r="L1409" t="s">
        <v>26</v>
      </c>
      <c r="M1409" t="s">
        <v>27</v>
      </c>
      <c r="N1409" t="s">
        <v>28</v>
      </c>
    </row>
    <row r="1410" spans="1:14" x14ac:dyDescent="0.25">
      <c r="A1410" t="s">
        <v>4250</v>
      </c>
      <c r="B1410" s="1">
        <v>45915</v>
      </c>
      <c r="C1410" t="s">
        <v>4251</v>
      </c>
      <c r="D1410" t="s">
        <v>4252</v>
      </c>
      <c r="E1410" s="14">
        <v>923007481916</v>
      </c>
      <c r="F1410" t="s">
        <v>17</v>
      </c>
      <c r="G1410" t="s">
        <v>18</v>
      </c>
      <c r="H1410" t="s">
        <v>19</v>
      </c>
      <c r="I1410">
        <v>3</v>
      </c>
      <c r="J1410">
        <v>1923</v>
      </c>
      <c r="K1410">
        <v>5769</v>
      </c>
      <c r="L1410" t="s">
        <v>26</v>
      </c>
      <c r="M1410" t="s">
        <v>21</v>
      </c>
      <c r="N1410" t="s">
        <v>28</v>
      </c>
    </row>
    <row r="1411" spans="1:14" x14ac:dyDescent="0.25">
      <c r="A1411" t="s">
        <v>4253</v>
      </c>
      <c r="B1411" s="1">
        <v>45935</v>
      </c>
      <c r="C1411" t="s">
        <v>4254</v>
      </c>
      <c r="D1411" t="s">
        <v>4255</v>
      </c>
      <c r="E1411" s="14">
        <v>923140074266</v>
      </c>
      <c r="F1411" t="s">
        <v>92</v>
      </c>
      <c r="G1411" t="s">
        <v>18</v>
      </c>
      <c r="H1411" t="s">
        <v>59</v>
      </c>
      <c r="I1411">
        <v>5</v>
      </c>
      <c r="J1411">
        <v>11924</v>
      </c>
      <c r="K1411">
        <v>59620</v>
      </c>
      <c r="L1411" t="s">
        <v>68</v>
      </c>
      <c r="M1411" t="s">
        <v>55</v>
      </c>
      <c r="N1411" t="s">
        <v>35</v>
      </c>
    </row>
    <row r="1412" spans="1:14" x14ac:dyDescent="0.25">
      <c r="A1412" t="s">
        <v>4256</v>
      </c>
      <c r="B1412" s="1">
        <v>46051</v>
      </c>
      <c r="C1412" t="s">
        <v>4257</v>
      </c>
      <c r="D1412" t="s">
        <v>4258</v>
      </c>
      <c r="E1412" s="14">
        <v>923056571471</v>
      </c>
      <c r="F1412" t="s">
        <v>17</v>
      </c>
      <c r="G1412" t="s">
        <v>18</v>
      </c>
      <c r="H1412" t="s">
        <v>39</v>
      </c>
      <c r="I1412">
        <v>5</v>
      </c>
      <c r="J1412">
        <v>5115</v>
      </c>
      <c r="K1412">
        <v>25575</v>
      </c>
      <c r="L1412" t="s">
        <v>78</v>
      </c>
      <c r="M1412" t="s">
        <v>135</v>
      </c>
      <c r="N1412" t="s">
        <v>28</v>
      </c>
    </row>
    <row r="1413" spans="1:14" x14ac:dyDescent="0.25">
      <c r="A1413" t="s">
        <v>4259</v>
      </c>
      <c r="B1413" s="1">
        <v>45861</v>
      </c>
      <c r="C1413" t="s">
        <v>4260</v>
      </c>
      <c r="D1413" t="s">
        <v>4261</v>
      </c>
      <c r="E1413" s="14">
        <v>923370848691</v>
      </c>
      <c r="F1413" t="s">
        <v>77</v>
      </c>
      <c r="G1413" t="s">
        <v>18</v>
      </c>
      <c r="H1413" t="s">
        <v>59</v>
      </c>
      <c r="I1413">
        <v>1</v>
      </c>
      <c r="J1413">
        <v>14599</v>
      </c>
      <c r="K1413">
        <v>14599</v>
      </c>
      <c r="L1413" t="s">
        <v>63</v>
      </c>
      <c r="M1413" t="s">
        <v>45</v>
      </c>
      <c r="N1413" t="s">
        <v>69</v>
      </c>
    </row>
    <row r="1414" spans="1:14" x14ac:dyDescent="0.25">
      <c r="A1414" t="s">
        <v>4262</v>
      </c>
      <c r="B1414" s="1">
        <v>45887</v>
      </c>
      <c r="C1414" t="s">
        <v>4263</v>
      </c>
      <c r="D1414" t="s">
        <v>4264</v>
      </c>
      <c r="E1414" s="14">
        <v>923075397710</v>
      </c>
      <c r="F1414" t="s">
        <v>106</v>
      </c>
      <c r="G1414" t="s">
        <v>18</v>
      </c>
      <c r="H1414" t="s">
        <v>73</v>
      </c>
      <c r="I1414">
        <v>5</v>
      </c>
      <c r="J1414">
        <v>2002</v>
      </c>
      <c r="K1414">
        <v>10010</v>
      </c>
      <c r="L1414" t="s">
        <v>20</v>
      </c>
      <c r="M1414" t="s">
        <v>45</v>
      </c>
      <c r="N1414" t="s">
        <v>69</v>
      </c>
    </row>
    <row r="1415" spans="1:14" x14ac:dyDescent="0.25">
      <c r="A1415" t="s">
        <v>4265</v>
      </c>
      <c r="B1415" s="1">
        <v>46062</v>
      </c>
      <c r="C1415" t="s">
        <v>4266</v>
      </c>
      <c r="D1415" t="s">
        <v>4267</v>
      </c>
      <c r="E1415" s="14">
        <v>923170780892</v>
      </c>
      <c r="F1415" t="s">
        <v>17</v>
      </c>
      <c r="G1415" t="s">
        <v>18</v>
      </c>
      <c r="H1415" t="s">
        <v>39</v>
      </c>
      <c r="I1415">
        <v>2</v>
      </c>
      <c r="J1415">
        <v>10590</v>
      </c>
      <c r="K1415">
        <v>21180</v>
      </c>
      <c r="L1415" t="s">
        <v>63</v>
      </c>
      <c r="M1415" t="s">
        <v>82</v>
      </c>
      <c r="N1415" t="s">
        <v>35</v>
      </c>
    </row>
    <row r="1416" spans="1:14" x14ac:dyDescent="0.25">
      <c r="A1416" t="s">
        <v>4268</v>
      </c>
      <c r="B1416" s="1">
        <v>45902</v>
      </c>
      <c r="C1416" t="s">
        <v>4269</v>
      </c>
      <c r="D1416" t="s">
        <v>4270</v>
      </c>
      <c r="E1416" s="14">
        <v>923308721890</v>
      </c>
      <c r="F1416" t="s">
        <v>122</v>
      </c>
      <c r="G1416" t="s">
        <v>18</v>
      </c>
      <c r="H1416" t="s">
        <v>73</v>
      </c>
      <c r="I1416">
        <v>5</v>
      </c>
      <c r="J1416">
        <v>12426</v>
      </c>
      <c r="K1416">
        <v>62130</v>
      </c>
      <c r="L1416" t="s">
        <v>26</v>
      </c>
      <c r="M1416" t="s">
        <v>27</v>
      </c>
      <c r="N1416" t="s">
        <v>69</v>
      </c>
    </row>
    <row r="1417" spans="1:14" x14ac:dyDescent="0.25">
      <c r="A1417" t="s">
        <v>4271</v>
      </c>
      <c r="B1417" s="1">
        <v>45815</v>
      </c>
      <c r="C1417" t="s">
        <v>4272</v>
      </c>
      <c r="D1417" t="s">
        <v>4273</v>
      </c>
      <c r="E1417" s="14">
        <v>923385256410</v>
      </c>
      <c r="F1417" t="s">
        <v>17</v>
      </c>
      <c r="G1417" t="s">
        <v>18</v>
      </c>
      <c r="H1417" t="s">
        <v>59</v>
      </c>
      <c r="I1417">
        <v>2</v>
      </c>
      <c r="J1417">
        <v>3757</v>
      </c>
      <c r="K1417">
        <v>7514</v>
      </c>
      <c r="L1417" t="s">
        <v>78</v>
      </c>
      <c r="M1417" t="s">
        <v>135</v>
      </c>
      <c r="N1417" t="s">
        <v>28</v>
      </c>
    </row>
    <row r="1418" spans="1:14" x14ac:dyDescent="0.25">
      <c r="A1418" t="s">
        <v>4274</v>
      </c>
      <c r="B1418" s="1">
        <v>46010</v>
      </c>
      <c r="C1418" t="s">
        <v>4275</v>
      </c>
      <c r="D1418" t="s">
        <v>4276</v>
      </c>
      <c r="E1418" s="14">
        <v>923469071794</v>
      </c>
      <c r="F1418" t="s">
        <v>54</v>
      </c>
      <c r="G1418" t="s">
        <v>18</v>
      </c>
      <c r="H1418" t="s">
        <v>39</v>
      </c>
      <c r="I1418">
        <v>4</v>
      </c>
      <c r="J1418">
        <v>1912</v>
      </c>
      <c r="K1418">
        <v>7648</v>
      </c>
      <c r="L1418" t="s">
        <v>78</v>
      </c>
      <c r="M1418" t="s">
        <v>27</v>
      </c>
      <c r="N1418" t="s">
        <v>22</v>
      </c>
    </row>
    <row r="1419" spans="1:14" x14ac:dyDescent="0.25">
      <c r="A1419" t="s">
        <v>4277</v>
      </c>
      <c r="B1419" s="1">
        <v>45721</v>
      </c>
      <c r="C1419" t="s">
        <v>4278</v>
      </c>
      <c r="D1419" t="s">
        <v>4279</v>
      </c>
      <c r="E1419" s="14">
        <v>923159760778</v>
      </c>
      <c r="F1419" t="s">
        <v>49</v>
      </c>
      <c r="G1419" t="s">
        <v>18</v>
      </c>
      <c r="H1419" t="s">
        <v>33</v>
      </c>
      <c r="I1419">
        <v>5</v>
      </c>
      <c r="J1419">
        <v>5468</v>
      </c>
      <c r="K1419">
        <v>27340</v>
      </c>
      <c r="L1419" t="s">
        <v>68</v>
      </c>
      <c r="M1419" t="s">
        <v>82</v>
      </c>
      <c r="N1419" t="s">
        <v>35</v>
      </c>
    </row>
    <row r="1420" spans="1:14" x14ac:dyDescent="0.25">
      <c r="A1420" t="s">
        <v>4280</v>
      </c>
      <c r="B1420" s="1">
        <v>45886</v>
      </c>
      <c r="C1420" t="s">
        <v>4281</v>
      </c>
      <c r="D1420" t="s">
        <v>4282</v>
      </c>
      <c r="E1420" s="14">
        <v>923412074408</v>
      </c>
      <c r="F1420" t="s">
        <v>67</v>
      </c>
      <c r="G1420" t="s">
        <v>18</v>
      </c>
      <c r="H1420" t="s">
        <v>59</v>
      </c>
      <c r="I1420">
        <v>1</v>
      </c>
      <c r="J1420">
        <v>6564</v>
      </c>
      <c r="K1420">
        <v>6564</v>
      </c>
      <c r="L1420" t="s">
        <v>68</v>
      </c>
      <c r="M1420" t="s">
        <v>82</v>
      </c>
      <c r="N1420" t="s">
        <v>28</v>
      </c>
    </row>
    <row r="1421" spans="1:14" x14ac:dyDescent="0.25">
      <c r="A1421" t="s">
        <v>4283</v>
      </c>
      <c r="B1421" s="1">
        <v>45782</v>
      </c>
      <c r="C1421" t="s">
        <v>4284</v>
      </c>
      <c r="D1421" t="s">
        <v>4285</v>
      </c>
      <c r="E1421" s="14">
        <v>923143160599</v>
      </c>
      <c r="F1421" t="s">
        <v>49</v>
      </c>
      <c r="G1421" t="s">
        <v>18</v>
      </c>
      <c r="H1421" t="s">
        <v>19</v>
      </c>
      <c r="I1421">
        <v>2</v>
      </c>
      <c r="J1421">
        <v>12516</v>
      </c>
      <c r="K1421">
        <v>25032</v>
      </c>
      <c r="L1421" t="s">
        <v>20</v>
      </c>
      <c r="M1421" t="s">
        <v>82</v>
      </c>
      <c r="N1421" t="s">
        <v>22</v>
      </c>
    </row>
    <row r="1422" spans="1:14" x14ac:dyDescent="0.25">
      <c r="A1422" t="s">
        <v>4286</v>
      </c>
      <c r="B1422" s="1">
        <v>46000</v>
      </c>
      <c r="C1422" t="s">
        <v>4287</v>
      </c>
      <c r="D1422" t="s">
        <v>4288</v>
      </c>
      <c r="E1422" s="14">
        <v>923491488084</v>
      </c>
      <c r="F1422" t="s">
        <v>54</v>
      </c>
      <c r="G1422" t="s">
        <v>18</v>
      </c>
      <c r="H1422" t="s">
        <v>59</v>
      </c>
      <c r="I1422">
        <v>3</v>
      </c>
      <c r="J1422">
        <v>8681</v>
      </c>
      <c r="K1422">
        <v>26043</v>
      </c>
      <c r="L1422" t="s">
        <v>40</v>
      </c>
      <c r="M1422" t="s">
        <v>21</v>
      </c>
      <c r="N1422" t="s">
        <v>69</v>
      </c>
    </row>
    <row r="1423" spans="1:14" x14ac:dyDescent="0.25">
      <c r="A1423" t="s">
        <v>4289</v>
      </c>
      <c r="B1423" s="1">
        <v>45719</v>
      </c>
      <c r="C1423" t="s">
        <v>4290</v>
      </c>
      <c r="D1423" t="s">
        <v>4291</v>
      </c>
      <c r="E1423" s="14">
        <v>923154368950</v>
      </c>
      <c r="F1423" t="s">
        <v>122</v>
      </c>
      <c r="G1423" t="s">
        <v>18</v>
      </c>
      <c r="H1423" t="s">
        <v>59</v>
      </c>
      <c r="I1423">
        <v>1</v>
      </c>
      <c r="J1423">
        <v>11483</v>
      </c>
      <c r="K1423">
        <v>11483</v>
      </c>
      <c r="L1423" t="s">
        <v>20</v>
      </c>
      <c r="M1423" t="s">
        <v>21</v>
      </c>
      <c r="N1423" t="s">
        <v>35</v>
      </c>
    </row>
    <row r="1424" spans="1:14" x14ac:dyDescent="0.25">
      <c r="A1424" t="s">
        <v>4292</v>
      </c>
      <c r="B1424" s="1">
        <v>46013</v>
      </c>
      <c r="C1424" t="s">
        <v>4293</v>
      </c>
      <c r="D1424" t="s">
        <v>4294</v>
      </c>
      <c r="E1424" s="14">
        <v>923109680881</v>
      </c>
      <c r="F1424" t="s">
        <v>49</v>
      </c>
      <c r="G1424" t="s">
        <v>18</v>
      </c>
      <c r="H1424" t="s">
        <v>50</v>
      </c>
      <c r="I1424">
        <v>4</v>
      </c>
      <c r="J1424">
        <v>5001</v>
      </c>
      <c r="K1424">
        <v>20004</v>
      </c>
      <c r="L1424" t="s">
        <v>68</v>
      </c>
      <c r="M1424" t="s">
        <v>93</v>
      </c>
      <c r="N1424" t="s">
        <v>35</v>
      </c>
    </row>
    <row r="1425" spans="1:14" x14ac:dyDescent="0.25">
      <c r="A1425" t="s">
        <v>4295</v>
      </c>
      <c r="B1425" s="1">
        <v>45821</v>
      </c>
      <c r="C1425" t="s">
        <v>4296</v>
      </c>
      <c r="D1425" t="s">
        <v>4297</v>
      </c>
      <c r="E1425" s="14">
        <v>923220556199</v>
      </c>
      <c r="F1425" t="s">
        <v>32</v>
      </c>
      <c r="G1425" t="s">
        <v>18</v>
      </c>
      <c r="H1425" t="s">
        <v>39</v>
      </c>
      <c r="I1425">
        <v>5</v>
      </c>
      <c r="J1425">
        <v>12177</v>
      </c>
      <c r="K1425">
        <v>60885</v>
      </c>
      <c r="L1425" t="s">
        <v>20</v>
      </c>
      <c r="M1425" t="s">
        <v>45</v>
      </c>
      <c r="N1425" t="s">
        <v>22</v>
      </c>
    </row>
    <row r="1426" spans="1:14" x14ac:dyDescent="0.25">
      <c r="A1426" t="s">
        <v>4298</v>
      </c>
      <c r="B1426" s="1">
        <v>45718</v>
      </c>
      <c r="C1426" t="s">
        <v>4299</v>
      </c>
      <c r="D1426" t="s">
        <v>4300</v>
      </c>
      <c r="E1426" s="14">
        <v>923221814069</v>
      </c>
      <c r="F1426" t="s">
        <v>92</v>
      </c>
      <c r="G1426" t="s">
        <v>18</v>
      </c>
      <c r="H1426" t="s">
        <v>73</v>
      </c>
      <c r="I1426">
        <v>4</v>
      </c>
      <c r="J1426">
        <v>8227</v>
      </c>
      <c r="K1426">
        <v>32908</v>
      </c>
      <c r="L1426" t="s">
        <v>68</v>
      </c>
      <c r="M1426" t="s">
        <v>55</v>
      </c>
      <c r="N1426" t="s">
        <v>22</v>
      </c>
    </row>
    <row r="1427" spans="1:14" x14ac:dyDescent="0.25">
      <c r="A1427" t="s">
        <v>4301</v>
      </c>
      <c r="B1427" s="1">
        <v>45735</v>
      </c>
      <c r="C1427" t="s">
        <v>4302</v>
      </c>
      <c r="D1427" t="s">
        <v>4303</v>
      </c>
      <c r="E1427" s="14">
        <v>923336700336</v>
      </c>
      <c r="F1427" t="s">
        <v>54</v>
      </c>
      <c r="G1427" t="s">
        <v>18</v>
      </c>
      <c r="H1427" t="s">
        <v>50</v>
      </c>
      <c r="I1427">
        <v>3</v>
      </c>
      <c r="J1427">
        <v>6015</v>
      </c>
      <c r="K1427">
        <v>18045</v>
      </c>
      <c r="L1427" t="s">
        <v>20</v>
      </c>
      <c r="M1427" t="s">
        <v>45</v>
      </c>
      <c r="N1427" t="s">
        <v>35</v>
      </c>
    </row>
    <row r="1428" spans="1:14" x14ac:dyDescent="0.25">
      <c r="A1428" t="s">
        <v>4304</v>
      </c>
      <c r="B1428" s="1">
        <v>45764</v>
      </c>
      <c r="C1428" t="s">
        <v>4305</v>
      </c>
      <c r="D1428" t="s">
        <v>4306</v>
      </c>
      <c r="E1428" s="14">
        <v>923352367163</v>
      </c>
      <c r="F1428" t="s">
        <v>77</v>
      </c>
      <c r="G1428" t="s">
        <v>18</v>
      </c>
      <c r="H1428" t="s">
        <v>33</v>
      </c>
      <c r="I1428">
        <v>3</v>
      </c>
      <c r="J1428">
        <v>4069</v>
      </c>
      <c r="K1428">
        <v>12207</v>
      </c>
      <c r="L1428" t="s">
        <v>26</v>
      </c>
      <c r="M1428" t="s">
        <v>27</v>
      </c>
      <c r="N1428" t="s">
        <v>28</v>
      </c>
    </row>
    <row r="1429" spans="1:14" x14ac:dyDescent="0.25">
      <c r="A1429" t="s">
        <v>4307</v>
      </c>
      <c r="B1429" s="1">
        <v>46030</v>
      </c>
      <c r="C1429" t="s">
        <v>4308</v>
      </c>
      <c r="D1429" t="s">
        <v>4309</v>
      </c>
      <c r="E1429" s="14">
        <v>923258330974</v>
      </c>
      <c r="F1429" t="s">
        <v>106</v>
      </c>
      <c r="G1429" t="s">
        <v>18</v>
      </c>
      <c r="H1429" t="s">
        <v>39</v>
      </c>
      <c r="I1429">
        <v>5</v>
      </c>
      <c r="J1429">
        <v>2941</v>
      </c>
      <c r="K1429">
        <v>14705</v>
      </c>
      <c r="L1429" t="s">
        <v>63</v>
      </c>
      <c r="M1429" t="s">
        <v>55</v>
      </c>
      <c r="N1429" t="s">
        <v>22</v>
      </c>
    </row>
    <row r="1430" spans="1:14" x14ac:dyDescent="0.25">
      <c r="A1430" t="s">
        <v>4310</v>
      </c>
      <c r="B1430" s="1">
        <v>45975</v>
      </c>
      <c r="C1430" t="s">
        <v>4311</v>
      </c>
      <c r="D1430" t="s">
        <v>4312</v>
      </c>
      <c r="E1430" s="14">
        <v>923237235613</v>
      </c>
      <c r="F1430" t="s">
        <v>122</v>
      </c>
      <c r="G1430" t="s">
        <v>18</v>
      </c>
      <c r="H1430" t="s">
        <v>39</v>
      </c>
      <c r="I1430">
        <v>3</v>
      </c>
      <c r="J1430">
        <v>1791</v>
      </c>
      <c r="K1430">
        <v>5373</v>
      </c>
      <c r="L1430" t="s">
        <v>63</v>
      </c>
      <c r="M1430" t="s">
        <v>27</v>
      </c>
      <c r="N1430" t="s">
        <v>28</v>
      </c>
    </row>
    <row r="1431" spans="1:14" x14ac:dyDescent="0.25">
      <c r="A1431" t="s">
        <v>4313</v>
      </c>
      <c r="B1431" s="1">
        <v>46043</v>
      </c>
      <c r="C1431" t="s">
        <v>4314</v>
      </c>
      <c r="D1431" t="s">
        <v>4315</v>
      </c>
      <c r="E1431" s="14">
        <v>923157450559</v>
      </c>
      <c r="F1431" t="s">
        <v>49</v>
      </c>
      <c r="G1431" t="s">
        <v>18</v>
      </c>
      <c r="H1431" t="s">
        <v>73</v>
      </c>
      <c r="I1431">
        <v>1</v>
      </c>
      <c r="J1431">
        <v>6562</v>
      </c>
      <c r="K1431">
        <v>6562</v>
      </c>
      <c r="L1431" t="s">
        <v>40</v>
      </c>
      <c r="M1431" t="s">
        <v>82</v>
      </c>
      <c r="N1431" t="s">
        <v>69</v>
      </c>
    </row>
    <row r="1432" spans="1:14" x14ac:dyDescent="0.25">
      <c r="A1432" t="s">
        <v>4316</v>
      </c>
      <c r="B1432" s="1">
        <v>45749</v>
      </c>
      <c r="C1432" t="s">
        <v>4317</v>
      </c>
      <c r="D1432" t="s">
        <v>4318</v>
      </c>
      <c r="E1432" s="14">
        <v>923072236786</v>
      </c>
      <c r="F1432" t="s">
        <v>17</v>
      </c>
      <c r="G1432" t="s">
        <v>18</v>
      </c>
      <c r="H1432" t="s">
        <v>50</v>
      </c>
      <c r="I1432">
        <v>3</v>
      </c>
      <c r="J1432">
        <v>9212</v>
      </c>
      <c r="K1432">
        <v>27636</v>
      </c>
      <c r="L1432" t="s">
        <v>20</v>
      </c>
      <c r="M1432" t="s">
        <v>45</v>
      </c>
      <c r="N1432" t="s">
        <v>69</v>
      </c>
    </row>
    <row r="1433" spans="1:14" x14ac:dyDescent="0.25">
      <c r="A1433" t="s">
        <v>4319</v>
      </c>
      <c r="B1433" s="1">
        <v>45707</v>
      </c>
      <c r="C1433" t="s">
        <v>4320</v>
      </c>
      <c r="D1433" t="s">
        <v>4321</v>
      </c>
      <c r="E1433" s="14">
        <v>923380375009</v>
      </c>
      <c r="F1433" t="s">
        <v>32</v>
      </c>
      <c r="G1433" t="s">
        <v>18</v>
      </c>
      <c r="H1433" t="s">
        <v>33</v>
      </c>
      <c r="I1433">
        <v>4</v>
      </c>
      <c r="J1433">
        <v>9649</v>
      </c>
      <c r="K1433">
        <v>38596</v>
      </c>
      <c r="L1433" t="s">
        <v>40</v>
      </c>
      <c r="M1433" t="s">
        <v>135</v>
      </c>
      <c r="N1433" t="s">
        <v>69</v>
      </c>
    </row>
    <row r="1434" spans="1:14" x14ac:dyDescent="0.25">
      <c r="A1434" t="s">
        <v>4322</v>
      </c>
      <c r="B1434" s="1">
        <v>45942</v>
      </c>
      <c r="C1434" t="s">
        <v>4323</v>
      </c>
      <c r="D1434" t="s">
        <v>4324</v>
      </c>
      <c r="E1434" s="14">
        <v>923031377272</v>
      </c>
      <c r="F1434" t="s">
        <v>44</v>
      </c>
      <c r="G1434" t="s">
        <v>18</v>
      </c>
      <c r="H1434" t="s">
        <v>59</v>
      </c>
      <c r="I1434">
        <v>2</v>
      </c>
      <c r="J1434">
        <v>11430</v>
      </c>
      <c r="K1434">
        <v>22860</v>
      </c>
      <c r="L1434" t="s">
        <v>40</v>
      </c>
      <c r="M1434" t="s">
        <v>93</v>
      </c>
      <c r="N1434" t="s">
        <v>35</v>
      </c>
    </row>
    <row r="1435" spans="1:14" x14ac:dyDescent="0.25">
      <c r="A1435" t="s">
        <v>4325</v>
      </c>
      <c r="B1435" s="1">
        <v>45890</v>
      </c>
      <c r="C1435" t="s">
        <v>4326</v>
      </c>
      <c r="D1435" t="s">
        <v>4327</v>
      </c>
      <c r="E1435" s="14">
        <v>923403536642</v>
      </c>
      <c r="F1435" t="s">
        <v>44</v>
      </c>
      <c r="G1435" t="s">
        <v>18</v>
      </c>
      <c r="H1435" t="s">
        <v>50</v>
      </c>
      <c r="I1435">
        <v>2</v>
      </c>
      <c r="J1435">
        <v>4078</v>
      </c>
      <c r="K1435">
        <v>8156</v>
      </c>
      <c r="L1435" t="s">
        <v>26</v>
      </c>
      <c r="M1435" t="s">
        <v>93</v>
      </c>
      <c r="N1435" t="s">
        <v>22</v>
      </c>
    </row>
    <row r="1436" spans="1:14" x14ac:dyDescent="0.25">
      <c r="A1436" t="s">
        <v>4328</v>
      </c>
      <c r="B1436" s="1">
        <v>45800</v>
      </c>
      <c r="C1436" t="s">
        <v>4329</v>
      </c>
      <c r="D1436" t="s">
        <v>4330</v>
      </c>
      <c r="E1436" s="14">
        <v>923295236431</v>
      </c>
      <c r="F1436" t="s">
        <v>77</v>
      </c>
      <c r="G1436" t="s">
        <v>18</v>
      </c>
      <c r="H1436" t="s">
        <v>73</v>
      </c>
      <c r="I1436">
        <v>2</v>
      </c>
      <c r="J1436">
        <v>1144</v>
      </c>
      <c r="K1436">
        <v>2288</v>
      </c>
      <c r="L1436" t="s">
        <v>63</v>
      </c>
      <c r="M1436" t="s">
        <v>135</v>
      </c>
      <c r="N1436" t="s">
        <v>22</v>
      </c>
    </row>
    <row r="1437" spans="1:14" x14ac:dyDescent="0.25">
      <c r="A1437" t="s">
        <v>4331</v>
      </c>
      <c r="B1437" s="1">
        <v>45987</v>
      </c>
      <c r="C1437" t="s">
        <v>4332</v>
      </c>
      <c r="D1437" t="s">
        <v>4333</v>
      </c>
      <c r="E1437" s="14">
        <v>923128516758</v>
      </c>
      <c r="F1437" t="s">
        <v>92</v>
      </c>
      <c r="G1437" t="s">
        <v>18</v>
      </c>
      <c r="H1437" t="s">
        <v>59</v>
      </c>
      <c r="I1437">
        <v>1</v>
      </c>
      <c r="J1437">
        <v>8423</v>
      </c>
      <c r="K1437">
        <v>8423</v>
      </c>
      <c r="L1437" t="s">
        <v>63</v>
      </c>
      <c r="M1437" t="s">
        <v>135</v>
      </c>
      <c r="N1437" t="s">
        <v>22</v>
      </c>
    </row>
    <row r="1438" spans="1:14" x14ac:dyDescent="0.25">
      <c r="A1438" t="s">
        <v>4334</v>
      </c>
      <c r="B1438" s="1">
        <v>45757</v>
      </c>
      <c r="C1438" t="s">
        <v>4335</v>
      </c>
      <c r="D1438" t="s">
        <v>4336</v>
      </c>
      <c r="E1438" s="14">
        <v>923004646200</v>
      </c>
      <c r="F1438" t="s">
        <v>54</v>
      </c>
      <c r="G1438" t="s">
        <v>18</v>
      </c>
      <c r="H1438" t="s">
        <v>73</v>
      </c>
      <c r="I1438">
        <v>4</v>
      </c>
      <c r="J1438">
        <v>6616</v>
      </c>
      <c r="K1438">
        <v>26464</v>
      </c>
      <c r="L1438" t="s">
        <v>26</v>
      </c>
      <c r="M1438" t="s">
        <v>135</v>
      </c>
      <c r="N1438" t="s">
        <v>35</v>
      </c>
    </row>
    <row r="1439" spans="1:14" x14ac:dyDescent="0.25">
      <c r="A1439" t="s">
        <v>4337</v>
      </c>
      <c r="B1439" s="1">
        <v>45956</v>
      </c>
      <c r="C1439" t="s">
        <v>4338</v>
      </c>
      <c r="D1439" t="s">
        <v>4339</v>
      </c>
      <c r="E1439" s="14">
        <v>923478390899</v>
      </c>
      <c r="F1439" t="s">
        <v>54</v>
      </c>
      <c r="G1439" t="s">
        <v>18</v>
      </c>
      <c r="H1439" t="s">
        <v>73</v>
      </c>
      <c r="I1439">
        <v>1</v>
      </c>
      <c r="J1439">
        <v>8593</v>
      </c>
      <c r="K1439">
        <v>8593</v>
      </c>
      <c r="L1439" t="s">
        <v>40</v>
      </c>
      <c r="M1439" t="s">
        <v>21</v>
      </c>
      <c r="N1439" t="s">
        <v>69</v>
      </c>
    </row>
    <row r="1440" spans="1:14" x14ac:dyDescent="0.25">
      <c r="A1440" t="s">
        <v>4340</v>
      </c>
      <c r="B1440" s="1">
        <v>46044</v>
      </c>
      <c r="C1440" t="s">
        <v>4341</v>
      </c>
      <c r="D1440" t="s">
        <v>4342</v>
      </c>
      <c r="E1440" s="14">
        <v>923148294914</v>
      </c>
      <c r="F1440" t="s">
        <v>92</v>
      </c>
      <c r="G1440" t="s">
        <v>18</v>
      </c>
      <c r="H1440" t="s">
        <v>59</v>
      </c>
      <c r="I1440">
        <v>2</v>
      </c>
      <c r="J1440">
        <v>12421</v>
      </c>
      <c r="K1440">
        <v>24842</v>
      </c>
      <c r="L1440" t="s">
        <v>26</v>
      </c>
      <c r="M1440" t="s">
        <v>93</v>
      </c>
      <c r="N1440" t="s">
        <v>69</v>
      </c>
    </row>
    <row r="1441" spans="1:14" x14ac:dyDescent="0.25">
      <c r="A1441" t="s">
        <v>4343</v>
      </c>
      <c r="B1441" s="1">
        <v>45990</v>
      </c>
      <c r="C1441" t="s">
        <v>4344</v>
      </c>
      <c r="D1441" t="s">
        <v>4345</v>
      </c>
      <c r="E1441" s="14">
        <v>923261183179</v>
      </c>
      <c r="F1441" t="s">
        <v>106</v>
      </c>
      <c r="G1441" t="s">
        <v>18</v>
      </c>
      <c r="H1441" t="s">
        <v>33</v>
      </c>
      <c r="I1441">
        <v>5</v>
      </c>
      <c r="J1441">
        <v>2026</v>
      </c>
      <c r="K1441">
        <v>10130</v>
      </c>
      <c r="L1441" t="s">
        <v>40</v>
      </c>
      <c r="M1441" t="s">
        <v>21</v>
      </c>
      <c r="N1441" t="s">
        <v>35</v>
      </c>
    </row>
    <row r="1442" spans="1:14" x14ac:dyDescent="0.25">
      <c r="A1442" t="s">
        <v>4346</v>
      </c>
      <c r="B1442" s="1">
        <v>45763</v>
      </c>
      <c r="C1442" t="s">
        <v>4347</v>
      </c>
      <c r="D1442" t="s">
        <v>4348</v>
      </c>
      <c r="E1442" s="14">
        <v>923203374391</v>
      </c>
      <c r="F1442" t="s">
        <v>49</v>
      </c>
      <c r="G1442" t="s">
        <v>18</v>
      </c>
      <c r="H1442" t="s">
        <v>59</v>
      </c>
      <c r="I1442">
        <v>1</v>
      </c>
      <c r="J1442">
        <v>2445</v>
      </c>
      <c r="K1442">
        <v>2445</v>
      </c>
      <c r="L1442" t="s">
        <v>20</v>
      </c>
      <c r="M1442" t="s">
        <v>27</v>
      </c>
      <c r="N1442" t="s">
        <v>35</v>
      </c>
    </row>
    <row r="1443" spans="1:14" x14ac:dyDescent="0.25">
      <c r="A1443" t="s">
        <v>4349</v>
      </c>
      <c r="B1443" s="1">
        <v>45843</v>
      </c>
      <c r="C1443" t="s">
        <v>4350</v>
      </c>
      <c r="D1443" t="s">
        <v>4351</v>
      </c>
      <c r="E1443" s="14">
        <v>923447905650</v>
      </c>
      <c r="F1443" t="s">
        <v>77</v>
      </c>
      <c r="G1443" t="s">
        <v>18</v>
      </c>
      <c r="H1443" t="s">
        <v>50</v>
      </c>
      <c r="I1443">
        <v>3</v>
      </c>
      <c r="J1443">
        <v>4667</v>
      </c>
      <c r="K1443">
        <v>14001</v>
      </c>
      <c r="L1443" t="s">
        <v>40</v>
      </c>
      <c r="M1443" t="s">
        <v>93</v>
      </c>
      <c r="N1443" t="s">
        <v>35</v>
      </c>
    </row>
    <row r="1444" spans="1:14" x14ac:dyDescent="0.25">
      <c r="A1444" t="s">
        <v>4352</v>
      </c>
      <c r="B1444" s="1">
        <v>45915</v>
      </c>
      <c r="C1444" t="s">
        <v>4353</v>
      </c>
      <c r="D1444" t="s">
        <v>4354</v>
      </c>
      <c r="E1444" s="14">
        <v>923407160405</v>
      </c>
      <c r="F1444" t="s">
        <v>17</v>
      </c>
      <c r="G1444" t="s">
        <v>18</v>
      </c>
      <c r="H1444" t="s">
        <v>59</v>
      </c>
      <c r="I1444">
        <v>2</v>
      </c>
      <c r="J1444">
        <v>13222</v>
      </c>
      <c r="K1444">
        <v>26444</v>
      </c>
      <c r="L1444" t="s">
        <v>26</v>
      </c>
      <c r="M1444" t="s">
        <v>93</v>
      </c>
      <c r="N1444" t="s">
        <v>35</v>
      </c>
    </row>
    <row r="1445" spans="1:14" x14ac:dyDescent="0.25">
      <c r="A1445" t="s">
        <v>4355</v>
      </c>
      <c r="B1445" s="1">
        <v>45894</v>
      </c>
      <c r="C1445" t="s">
        <v>4356</v>
      </c>
      <c r="D1445" t="s">
        <v>4357</v>
      </c>
      <c r="E1445" s="14">
        <v>923116720922</v>
      </c>
      <c r="F1445" t="s">
        <v>92</v>
      </c>
      <c r="G1445" t="s">
        <v>18</v>
      </c>
      <c r="H1445" t="s">
        <v>73</v>
      </c>
      <c r="I1445">
        <v>4</v>
      </c>
      <c r="J1445">
        <v>13738</v>
      </c>
      <c r="K1445">
        <v>54952</v>
      </c>
      <c r="L1445" t="s">
        <v>20</v>
      </c>
      <c r="M1445" t="s">
        <v>34</v>
      </c>
      <c r="N1445" t="s">
        <v>35</v>
      </c>
    </row>
    <row r="1446" spans="1:14" x14ac:dyDescent="0.25">
      <c r="A1446" t="s">
        <v>4358</v>
      </c>
      <c r="B1446" s="1">
        <v>46068</v>
      </c>
      <c r="C1446" t="s">
        <v>4359</v>
      </c>
      <c r="D1446" t="s">
        <v>4360</v>
      </c>
      <c r="E1446" s="14">
        <v>923279005711</v>
      </c>
      <c r="F1446" t="s">
        <v>54</v>
      </c>
      <c r="G1446" t="s">
        <v>18</v>
      </c>
      <c r="H1446" t="s">
        <v>33</v>
      </c>
      <c r="I1446">
        <v>5</v>
      </c>
      <c r="J1446">
        <v>12304</v>
      </c>
      <c r="K1446">
        <v>61520</v>
      </c>
      <c r="L1446" t="s">
        <v>26</v>
      </c>
      <c r="M1446" t="s">
        <v>55</v>
      </c>
      <c r="N1446" t="s">
        <v>35</v>
      </c>
    </row>
    <row r="1447" spans="1:14" x14ac:dyDescent="0.25">
      <c r="A1447" t="s">
        <v>4361</v>
      </c>
      <c r="B1447" s="1">
        <v>45723</v>
      </c>
      <c r="C1447" t="s">
        <v>3176</v>
      </c>
      <c r="D1447" t="s">
        <v>4362</v>
      </c>
      <c r="E1447" s="14">
        <v>923481889368</v>
      </c>
      <c r="F1447" t="s">
        <v>122</v>
      </c>
      <c r="G1447" t="s">
        <v>18</v>
      </c>
      <c r="H1447" t="s">
        <v>59</v>
      </c>
      <c r="I1447">
        <v>3</v>
      </c>
      <c r="J1447">
        <v>8864</v>
      </c>
      <c r="K1447">
        <v>26592</v>
      </c>
      <c r="L1447" t="s">
        <v>26</v>
      </c>
      <c r="M1447" t="s">
        <v>93</v>
      </c>
      <c r="N1447" t="s">
        <v>69</v>
      </c>
    </row>
    <row r="1448" spans="1:14" x14ac:dyDescent="0.25">
      <c r="A1448" t="s">
        <v>4363</v>
      </c>
      <c r="B1448" s="1">
        <v>45786</v>
      </c>
      <c r="C1448" t="s">
        <v>4364</v>
      </c>
      <c r="D1448" t="s">
        <v>4365</v>
      </c>
      <c r="E1448" s="14">
        <v>923117523742</v>
      </c>
      <c r="F1448" t="s">
        <v>54</v>
      </c>
      <c r="G1448" t="s">
        <v>18</v>
      </c>
      <c r="H1448" t="s">
        <v>39</v>
      </c>
      <c r="I1448">
        <v>2</v>
      </c>
      <c r="J1448">
        <v>11845</v>
      </c>
      <c r="K1448">
        <v>23690</v>
      </c>
      <c r="L1448" t="s">
        <v>78</v>
      </c>
      <c r="M1448" t="s">
        <v>45</v>
      </c>
      <c r="N1448" t="s">
        <v>22</v>
      </c>
    </row>
    <row r="1449" spans="1:14" x14ac:dyDescent="0.25">
      <c r="A1449" t="s">
        <v>4366</v>
      </c>
      <c r="B1449" s="1">
        <v>45975</v>
      </c>
      <c r="C1449" t="s">
        <v>4367</v>
      </c>
      <c r="D1449" t="s">
        <v>4368</v>
      </c>
      <c r="E1449" s="14">
        <v>923129287073</v>
      </c>
      <c r="F1449" t="s">
        <v>49</v>
      </c>
      <c r="G1449" t="s">
        <v>18</v>
      </c>
      <c r="H1449" t="s">
        <v>19</v>
      </c>
      <c r="I1449">
        <v>4</v>
      </c>
      <c r="J1449">
        <v>6734</v>
      </c>
      <c r="K1449">
        <v>26936</v>
      </c>
      <c r="L1449" t="s">
        <v>68</v>
      </c>
      <c r="M1449" t="s">
        <v>45</v>
      </c>
      <c r="N1449" t="s">
        <v>22</v>
      </c>
    </row>
    <row r="1450" spans="1:14" x14ac:dyDescent="0.25">
      <c r="A1450" t="s">
        <v>4369</v>
      </c>
      <c r="B1450" s="1">
        <v>45823</v>
      </c>
      <c r="C1450" t="s">
        <v>4370</v>
      </c>
      <c r="D1450" t="s">
        <v>4371</v>
      </c>
      <c r="E1450" s="14">
        <v>923063468085</v>
      </c>
      <c r="F1450" t="s">
        <v>77</v>
      </c>
      <c r="G1450" t="s">
        <v>18</v>
      </c>
      <c r="H1450" t="s">
        <v>39</v>
      </c>
      <c r="I1450">
        <v>5</v>
      </c>
      <c r="J1450">
        <v>8643</v>
      </c>
      <c r="K1450">
        <v>43215</v>
      </c>
      <c r="L1450" t="s">
        <v>20</v>
      </c>
      <c r="M1450" t="s">
        <v>55</v>
      </c>
      <c r="N1450" t="s">
        <v>69</v>
      </c>
    </row>
    <row r="1451" spans="1:14" x14ac:dyDescent="0.25">
      <c r="A1451" t="s">
        <v>4372</v>
      </c>
      <c r="B1451" s="1">
        <v>45953</v>
      </c>
      <c r="C1451" t="s">
        <v>4373</v>
      </c>
      <c r="D1451" t="s">
        <v>4374</v>
      </c>
      <c r="E1451" s="14">
        <v>923255330043</v>
      </c>
      <c r="F1451" t="s">
        <v>106</v>
      </c>
      <c r="G1451" t="s">
        <v>18</v>
      </c>
      <c r="H1451" t="s">
        <v>73</v>
      </c>
      <c r="I1451">
        <v>1</v>
      </c>
      <c r="J1451">
        <v>3633</v>
      </c>
      <c r="K1451">
        <v>3633</v>
      </c>
      <c r="L1451" t="s">
        <v>78</v>
      </c>
      <c r="M1451" t="s">
        <v>82</v>
      </c>
      <c r="N1451" t="s">
        <v>22</v>
      </c>
    </row>
    <row r="1452" spans="1:14" x14ac:dyDescent="0.25">
      <c r="A1452" t="s">
        <v>4375</v>
      </c>
      <c r="B1452" s="1">
        <v>45791</v>
      </c>
      <c r="C1452" t="s">
        <v>4376</v>
      </c>
      <c r="D1452" t="s">
        <v>4377</v>
      </c>
      <c r="E1452" s="14">
        <v>923365581300</v>
      </c>
      <c r="F1452" t="s">
        <v>77</v>
      </c>
      <c r="G1452" t="s">
        <v>18</v>
      </c>
      <c r="H1452" t="s">
        <v>59</v>
      </c>
      <c r="I1452">
        <v>5</v>
      </c>
      <c r="J1452">
        <v>11321</v>
      </c>
      <c r="K1452">
        <v>56605</v>
      </c>
      <c r="L1452" t="s">
        <v>26</v>
      </c>
      <c r="M1452" t="s">
        <v>34</v>
      </c>
      <c r="N1452" t="s">
        <v>69</v>
      </c>
    </row>
    <row r="1453" spans="1:14" x14ac:dyDescent="0.25">
      <c r="A1453" t="s">
        <v>4378</v>
      </c>
      <c r="B1453" s="1">
        <v>46016</v>
      </c>
      <c r="C1453" t="s">
        <v>4379</v>
      </c>
      <c r="D1453" t="s">
        <v>4380</v>
      </c>
      <c r="E1453" s="14">
        <v>923145965955</v>
      </c>
      <c r="F1453" t="s">
        <v>92</v>
      </c>
      <c r="G1453" t="s">
        <v>18</v>
      </c>
      <c r="H1453" t="s">
        <v>39</v>
      </c>
      <c r="I1453">
        <v>3</v>
      </c>
      <c r="J1453">
        <v>5029</v>
      </c>
      <c r="K1453">
        <v>15087</v>
      </c>
      <c r="L1453" t="s">
        <v>63</v>
      </c>
      <c r="M1453" t="s">
        <v>135</v>
      </c>
      <c r="N1453" t="s">
        <v>69</v>
      </c>
    </row>
    <row r="1454" spans="1:14" x14ac:dyDescent="0.25">
      <c r="A1454" t="s">
        <v>4381</v>
      </c>
      <c r="B1454" s="1">
        <v>45922</v>
      </c>
      <c r="C1454" t="s">
        <v>4382</v>
      </c>
      <c r="D1454" t="s">
        <v>4383</v>
      </c>
      <c r="E1454" s="14">
        <v>923450142891</v>
      </c>
      <c r="F1454" t="s">
        <v>54</v>
      </c>
      <c r="G1454" t="s">
        <v>18</v>
      </c>
      <c r="H1454" t="s">
        <v>33</v>
      </c>
      <c r="I1454">
        <v>1</v>
      </c>
      <c r="J1454">
        <v>10015</v>
      </c>
      <c r="K1454">
        <v>10015</v>
      </c>
      <c r="L1454" t="s">
        <v>68</v>
      </c>
      <c r="M1454" t="s">
        <v>82</v>
      </c>
      <c r="N1454" t="s">
        <v>22</v>
      </c>
    </row>
    <row r="1455" spans="1:14" x14ac:dyDescent="0.25">
      <c r="A1455" t="s">
        <v>4384</v>
      </c>
      <c r="B1455" s="1">
        <v>45756</v>
      </c>
      <c r="C1455" t="s">
        <v>4385</v>
      </c>
      <c r="D1455" t="s">
        <v>4386</v>
      </c>
      <c r="E1455" s="14">
        <v>923433459210</v>
      </c>
      <c r="F1455" t="s">
        <v>67</v>
      </c>
      <c r="G1455" t="s">
        <v>18</v>
      </c>
      <c r="H1455" t="s">
        <v>50</v>
      </c>
      <c r="I1455">
        <v>5</v>
      </c>
      <c r="J1455">
        <v>13157</v>
      </c>
      <c r="K1455">
        <v>65785</v>
      </c>
      <c r="L1455" t="s">
        <v>63</v>
      </c>
      <c r="M1455" t="s">
        <v>55</v>
      </c>
      <c r="N1455" t="s">
        <v>69</v>
      </c>
    </row>
    <row r="1456" spans="1:14" x14ac:dyDescent="0.25">
      <c r="A1456" t="s">
        <v>4387</v>
      </c>
      <c r="B1456" s="1">
        <v>45775</v>
      </c>
      <c r="C1456" t="s">
        <v>4388</v>
      </c>
      <c r="D1456" t="s">
        <v>4389</v>
      </c>
      <c r="E1456" s="14">
        <v>923114333143</v>
      </c>
      <c r="F1456" t="s">
        <v>54</v>
      </c>
      <c r="G1456" t="s">
        <v>18</v>
      </c>
      <c r="H1456" t="s">
        <v>59</v>
      </c>
      <c r="I1456">
        <v>3</v>
      </c>
      <c r="J1456">
        <v>10640</v>
      </c>
      <c r="K1456">
        <v>31920</v>
      </c>
      <c r="L1456" t="s">
        <v>68</v>
      </c>
      <c r="M1456" t="s">
        <v>55</v>
      </c>
      <c r="N1456" t="s">
        <v>69</v>
      </c>
    </row>
    <row r="1457" spans="1:14" x14ac:dyDescent="0.25">
      <c r="A1457" t="s">
        <v>4390</v>
      </c>
      <c r="B1457" s="1">
        <v>46019</v>
      </c>
      <c r="C1457" t="s">
        <v>4391</v>
      </c>
      <c r="D1457" t="s">
        <v>4392</v>
      </c>
      <c r="E1457" s="14">
        <v>923090230849</v>
      </c>
      <c r="F1457" t="s">
        <v>106</v>
      </c>
      <c r="G1457" t="s">
        <v>18</v>
      </c>
      <c r="H1457" t="s">
        <v>33</v>
      </c>
      <c r="I1457">
        <v>1</v>
      </c>
      <c r="J1457">
        <v>10027</v>
      </c>
      <c r="K1457">
        <v>10027</v>
      </c>
      <c r="L1457" t="s">
        <v>26</v>
      </c>
      <c r="M1457" t="s">
        <v>93</v>
      </c>
      <c r="N1457" t="s">
        <v>69</v>
      </c>
    </row>
    <row r="1458" spans="1:14" x14ac:dyDescent="0.25">
      <c r="A1458" t="s">
        <v>4393</v>
      </c>
      <c r="B1458" s="1">
        <v>45784</v>
      </c>
      <c r="C1458" t="s">
        <v>4394</v>
      </c>
      <c r="D1458" t="s">
        <v>4395</v>
      </c>
      <c r="E1458" s="14">
        <v>923009676070</v>
      </c>
      <c r="F1458" t="s">
        <v>17</v>
      </c>
      <c r="G1458" t="s">
        <v>18</v>
      </c>
      <c r="H1458" t="s">
        <v>33</v>
      </c>
      <c r="I1458">
        <v>1</v>
      </c>
      <c r="J1458">
        <v>4217</v>
      </c>
      <c r="K1458">
        <v>4217</v>
      </c>
      <c r="L1458" t="s">
        <v>40</v>
      </c>
      <c r="M1458" t="s">
        <v>45</v>
      </c>
      <c r="N1458" t="s">
        <v>28</v>
      </c>
    </row>
    <row r="1459" spans="1:14" x14ac:dyDescent="0.25">
      <c r="A1459" t="s">
        <v>4396</v>
      </c>
      <c r="B1459" s="1">
        <v>45835</v>
      </c>
      <c r="C1459" t="s">
        <v>4397</v>
      </c>
      <c r="D1459" t="s">
        <v>4398</v>
      </c>
      <c r="E1459" s="14">
        <v>923138934416</v>
      </c>
      <c r="F1459" t="s">
        <v>17</v>
      </c>
      <c r="G1459" t="s">
        <v>18</v>
      </c>
      <c r="H1459" t="s">
        <v>39</v>
      </c>
      <c r="I1459">
        <v>1</v>
      </c>
      <c r="J1459">
        <v>1460</v>
      </c>
      <c r="K1459">
        <v>1460</v>
      </c>
      <c r="L1459" t="s">
        <v>78</v>
      </c>
      <c r="M1459" t="s">
        <v>21</v>
      </c>
      <c r="N1459" t="s">
        <v>69</v>
      </c>
    </row>
    <row r="1460" spans="1:14" x14ac:dyDescent="0.25">
      <c r="A1460" t="s">
        <v>4399</v>
      </c>
      <c r="B1460" s="1">
        <v>45756</v>
      </c>
      <c r="C1460" t="s">
        <v>4400</v>
      </c>
      <c r="D1460" t="s">
        <v>4401</v>
      </c>
      <c r="E1460" s="14">
        <v>923231640222</v>
      </c>
      <c r="F1460" t="s">
        <v>49</v>
      </c>
      <c r="G1460" t="s">
        <v>18</v>
      </c>
      <c r="H1460" t="s">
        <v>50</v>
      </c>
      <c r="I1460">
        <v>2</v>
      </c>
      <c r="J1460">
        <v>3135</v>
      </c>
      <c r="K1460">
        <v>6270</v>
      </c>
      <c r="L1460" t="s">
        <v>26</v>
      </c>
      <c r="M1460" t="s">
        <v>93</v>
      </c>
      <c r="N1460" t="s">
        <v>28</v>
      </c>
    </row>
    <row r="1461" spans="1:14" x14ac:dyDescent="0.25">
      <c r="A1461" t="s">
        <v>4402</v>
      </c>
      <c r="B1461" s="1">
        <v>45849</v>
      </c>
      <c r="C1461" t="s">
        <v>4403</v>
      </c>
      <c r="D1461" t="s">
        <v>4404</v>
      </c>
      <c r="E1461" s="14">
        <v>923354557322</v>
      </c>
      <c r="F1461" t="s">
        <v>17</v>
      </c>
      <c r="G1461" t="s">
        <v>18</v>
      </c>
      <c r="H1461" t="s">
        <v>50</v>
      </c>
      <c r="I1461">
        <v>4</v>
      </c>
      <c r="J1461">
        <v>13469</v>
      </c>
      <c r="K1461">
        <v>53876</v>
      </c>
      <c r="L1461" t="s">
        <v>63</v>
      </c>
      <c r="M1461" t="s">
        <v>27</v>
      </c>
      <c r="N1461" t="s">
        <v>69</v>
      </c>
    </row>
    <row r="1462" spans="1:14" x14ac:dyDescent="0.25">
      <c r="A1462" t="s">
        <v>4405</v>
      </c>
      <c r="B1462" s="1">
        <v>45906</v>
      </c>
      <c r="C1462" t="s">
        <v>4406</v>
      </c>
      <c r="D1462" t="s">
        <v>4407</v>
      </c>
      <c r="E1462" s="14">
        <v>923395934093</v>
      </c>
      <c r="F1462" t="s">
        <v>49</v>
      </c>
      <c r="G1462" t="s">
        <v>18</v>
      </c>
      <c r="H1462" t="s">
        <v>19</v>
      </c>
      <c r="I1462">
        <v>1</v>
      </c>
      <c r="J1462">
        <v>8952</v>
      </c>
      <c r="K1462">
        <v>8952</v>
      </c>
      <c r="L1462" t="s">
        <v>68</v>
      </c>
      <c r="M1462" t="s">
        <v>135</v>
      </c>
      <c r="N1462" t="s">
        <v>69</v>
      </c>
    </row>
    <row r="1463" spans="1:14" x14ac:dyDescent="0.25">
      <c r="A1463" t="s">
        <v>4408</v>
      </c>
      <c r="B1463" s="1">
        <v>45885</v>
      </c>
      <c r="C1463" t="s">
        <v>4409</v>
      </c>
      <c r="D1463" t="s">
        <v>4410</v>
      </c>
      <c r="E1463" s="14">
        <v>923346076005</v>
      </c>
      <c r="F1463" t="s">
        <v>77</v>
      </c>
      <c r="G1463" t="s">
        <v>18</v>
      </c>
      <c r="H1463" t="s">
        <v>50</v>
      </c>
      <c r="I1463">
        <v>1</v>
      </c>
      <c r="J1463">
        <v>10626</v>
      </c>
      <c r="K1463">
        <v>10626</v>
      </c>
      <c r="L1463" t="s">
        <v>20</v>
      </c>
      <c r="M1463" t="s">
        <v>55</v>
      </c>
      <c r="N1463" t="s">
        <v>69</v>
      </c>
    </row>
    <row r="1464" spans="1:14" x14ac:dyDescent="0.25">
      <c r="A1464" t="s">
        <v>4411</v>
      </c>
      <c r="B1464" s="1">
        <v>45830</v>
      </c>
      <c r="C1464" t="s">
        <v>4412</v>
      </c>
      <c r="D1464" t="s">
        <v>4413</v>
      </c>
      <c r="E1464" s="14">
        <v>923309459428</v>
      </c>
      <c r="F1464" t="s">
        <v>32</v>
      </c>
      <c r="G1464" t="s">
        <v>18</v>
      </c>
      <c r="H1464" t="s">
        <v>59</v>
      </c>
      <c r="I1464">
        <v>1</v>
      </c>
      <c r="J1464">
        <v>2099</v>
      </c>
      <c r="K1464">
        <v>2099</v>
      </c>
      <c r="L1464" t="s">
        <v>63</v>
      </c>
      <c r="M1464" t="s">
        <v>34</v>
      </c>
      <c r="N1464" t="s">
        <v>28</v>
      </c>
    </row>
    <row r="1465" spans="1:14" x14ac:dyDescent="0.25">
      <c r="A1465" t="s">
        <v>4414</v>
      </c>
      <c r="B1465" s="1">
        <v>46037</v>
      </c>
      <c r="C1465" t="s">
        <v>4415</v>
      </c>
      <c r="D1465" t="s">
        <v>4416</v>
      </c>
      <c r="E1465" s="14">
        <v>923354316318</v>
      </c>
      <c r="F1465" t="s">
        <v>54</v>
      </c>
      <c r="G1465" t="s">
        <v>18</v>
      </c>
      <c r="H1465" t="s">
        <v>39</v>
      </c>
      <c r="I1465">
        <v>1</v>
      </c>
      <c r="J1465">
        <v>12357</v>
      </c>
      <c r="K1465">
        <v>12357</v>
      </c>
      <c r="L1465" t="s">
        <v>40</v>
      </c>
      <c r="M1465" t="s">
        <v>55</v>
      </c>
      <c r="N1465" t="s">
        <v>22</v>
      </c>
    </row>
    <row r="1466" spans="1:14" x14ac:dyDescent="0.25">
      <c r="A1466" t="s">
        <v>4417</v>
      </c>
      <c r="B1466" s="1">
        <v>45838</v>
      </c>
      <c r="C1466" t="s">
        <v>4418</v>
      </c>
      <c r="D1466" t="s">
        <v>4419</v>
      </c>
      <c r="E1466" s="14">
        <v>923439566491</v>
      </c>
      <c r="F1466" t="s">
        <v>92</v>
      </c>
      <c r="G1466" t="s">
        <v>18</v>
      </c>
      <c r="H1466" t="s">
        <v>39</v>
      </c>
      <c r="I1466">
        <v>3</v>
      </c>
      <c r="J1466">
        <v>12119</v>
      </c>
      <c r="K1466">
        <v>36357</v>
      </c>
      <c r="L1466" t="s">
        <v>26</v>
      </c>
      <c r="M1466" t="s">
        <v>93</v>
      </c>
      <c r="N1466" t="s">
        <v>28</v>
      </c>
    </row>
    <row r="1467" spans="1:14" x14ac:dyDescent="0.25">
      <c r="A1467" t="s">
        <v>4420</v>
      </c>
      <c r="B1467" s="1">
        <v>45906</v>
      </c>
      <c r="C1467" t="s">
        <v>4421</v>
      </c>
      <c r="D1467" t="s">
        <v>4422</v>
      </c>
      <c r="E1467" s="14">
        <v>923007309542</v>
      </c>
      <c r="F1467" t="s">
        <v>122</v>
      </c>
      <c r="G1467" t="s">
        <v>18</v>
      </c>
      <c r="H1467" t="s">
        <v>50</v>
      </c>
      <c r="I1467">
        <v>1</v>
      </c>
      <c r="J1467">
        <v>3470</v>
      </c>
      <c r="K1467">
        <v>3470</v>
      </c>
      <c r="L1467" t="s">
        <v>78</v>
      </c>
      <c r="M1467" t="s">
        <v>34</v>
      </c>
      <c r="N1467" t="s">
        <v>35</v>
      </c>
    </row>
    <row r="1468" spans="1:14" x14ac:dyDescent="0.25">
      <c r="A1468" t="s">
        <v>4423</v>
      </c>
      <c r="B1468" s="1">
        <v>45754</v>
      </c>
      <c r="C1468" t="s">
        <v>4424</v>
      </c>
      <c r="D1468" t="s">
        <v>4425</v>
      </c>
      <c r="E1468" s="14">
        <v>923015364342</v>
      </c>
      <c r="F1468" t="s">
        <v>44</v>
      </c>
      <c r="G1468" t="s">
        <v>18</v>
      </c>
      <c r="H1468" t="s">
        <v>39</v>
      </c>
      <c r="I1468">
        <v>5</v>
      </c>
      <c r="J1468">
        <v>2390</v>
      </c>
      <c r="K1468">
        <v>11950</v>
      </c>
      <c r="L1468" t="s">
        <v>20</v>
      </c>
      <c r="M1468" t="s">
        <v>93</v>
      </c>
      <c r="N1468" t="s">
        <v>69</v>
      </c>
    </row>
    <row r="1469" spans="1:14" x14ac:dyDescent="0.25">
      <c r="A1469" t="s">
        <v>4426</v>
      </c>
      <c r="B1469" s="1">
        <v>45714</v>
      </c>
      <c r="C1469" t="s">
        <v>4427</v>
      </c>
      <c r="D1469" t="s">
        <v>4428</v>
      </c>
      <c r="E1469" s="14">
        <v>923278030560</v>
      </c>
      <c r="F1469" t="s">
        <v>92</v>
      </c>
      <c r="G1469" t="s">
        <v>18</v>
      </c>
      <c r="H1469" t="s">
        <v>39</v>
      </c>
      <c r="I1469">
        <v>1</v>
      </c>
      <c r="J1469">
        <v>3193</v>
      </c>
      <c r="K1469">
        <v>3193</v>
      </c>
      <c r="L1469" t="s">
        <v>68</v>
      </c>
      <c r="M1469" t="s">
        <v>93</v>
      </c>
      <c r="N1469" t="s">
        <v>28</v>
      </c>
    </row>
    <row r="1470" spans="1:14" x14ac:dyDescent="0.25">
      <c r="A1470" t="s">
        <v>4429</v>
      </c>
      <c r="B1470" s="1">
        <v>45795</v>
      </c>
      <c r="C1470" t="s">
        <v>4430</v>
      </c>
      <c r="D1470" t="s">
        <v>4431</v>
      </c>
      <c r="E1470" s="14">
        <v>923358368903</v>
      </c>
      <c r="F1470" t="s">
        <v>122</v>
      </c>
      <c r="G1470" t="s">
        <v>18</v>
      </c>
      <c r="H1470" t="s">
        <v>19</v>
      </c>
      <c r="I1470">
        <v>2</v>
      </c>
      <c r="J1470">
        <v>10516</v>
      </c>
      <c r="K1470">
        <v>21032</v>
      </c>
      <c r="L1470" t="s">
        <v>40</v>
      </c>
      <c r="M1470" t="s">
        <v>55</v>
      </c>
      <c r="N1470" t="s">
        <v>28</v>
      </c>
    </row>
    <row r="1471" spans="1:14" x14ac:dyDescent="0.25">
      <c r="A1471" t="s">
        <v>4432</v>
      </c>
      <c r="B1471" s="1">
        <v>45967</v>
      </c>
      <c r="C1471" t="s">
        <v>4433</v>
      </c>
      <c r="D1471" t="s">
        <v>4434</v>
      </c>
      <c r="E1471" s="14">
        <v>923213768158</v>
      </c>
      <c r="F1471" t="s">
        <v>106</v>
      </c>
      <c r="G1471" t="s">
        <v>18</v>
      </c>
      <c r="H1471" t="s">
        <v>59</v>
      </c>
      <c r="I1471">
        <v>4</v>
      </c>
      <c r="J1471">
        <v>10811</v>
      </c>
      <c r="K1471">
        <v>43244</v>
      </c>
      <c r="L1471" t="s">
        <v>63</v>
      </c>
      <c r="M1471" t="s">
        <v>27</v>
      </c>
      <c r="N1471" t="s">
        <v>28</v>
      </c>
    </row>
    <row r="1472" spans="1:14" x14ac:dyDescent="0.25">
      <c r="A1472" t="s">
        <v>4435</v>
      </c>
      <c r="B1472" s="1">
        <v>45941</v>
      </c>
      <c r="C1472" t="s">
        <v>4436</v>
      </c>
      <c r="D1472" t="s">
        <v>4437</v>
      </c>
      <c r="E1472" s="14">
        <v>923465075698</v>
      </c>
      <c r="F1472" t="s">
        <v>17</v>
      </c>
      <c r="G1472" t="s">
        <v>18</v>
      </c>
      <c r="H1472" t="s">
        <v>59</v>
      </c>
      <c r="I1472">
        <v>5</v>
      </c>
      <c r="J1472">
        <v>1164</v>
      </c>
      <c r="K1472">
        <v>5820</v>
      </c>
      <c r="L1472" t="s">
        <v>68</v>
      </c>
      <c r="M1472" t="s">
        <v>93</v>
      </c>
      <c r="N1472" t="s">
        <v>28</v>
      </c>
    </row>
    <row r="1473" spans="1:14" x14ac:dyDescent="0.25">
      <c r="A1473" t="s">
        <v>4438</v>
      </c>
      <c r="B1473" s="1">
        <v>45927</v>
      </c>
      <c r="C1473" t="s">
        <v>4439</v>
      </c>
      <c r="D1473" t="s">
        <v>4440</v>
      </c>
      <c r="E1473" s="14">
        <v>923000034243</v>
      </c>
      <c r="F1473" t="s">
        <v>44</v>
      </c>
      <c r="G1473" t="s">
        <v>18</v>
      </c>
      <c r="H1473" t="s">
        <v>59</v>
      </c>
      <c r="I1473">
        <v>1</v>
      </c>
      <c r="J1473">
        <v>5405</v>
      </c>
      <c r="K1473">
        <v>5405</v>
      </c>
      <c r="L1473" t="s">
        <v>68</v>
      </c>
      <c r="M1473" t="s">
        <v>93</v>
      </c>
      <c r="N1473" t="s">
        <v>35</v>
      </c>
    </row>
    <row r="1474" spans="1:14" x14ac:dyDescent="0.25">
      <c r="A1474" t="s">
        <v>4441</v>
      </c>
      <c r="B1474" s="1">
        <v>45767</v>
      </c>
      <c r="C1474" t="s">
        <v>4442</v>
      </c>
      <c r="D1474" t="s">
        <v>4443</v>
      </c>
      <c r="E1474" s="14">
        <v>923262642010</v>
      </c>
      <c r="F1474" t="s">
        <v>54</v>
      </c>
      <c r="G1474" t="s">
        <v>18</v>
      </c>
      <c r="H1474" t="s">
        <v>33</v>
      </c>
      <c r="I1474">
        <v>3</v>
      </c>
      <c r="J1474">
        <v>3285</v>
      </c>
      <c r="K1474">
        <v>9855</v>
      </c>
      <c r="L1474" t="s">
        <v>68</v>
      </c>
      <c r="M1474" t="s">
        <v>82</v>
      </c>
      <c r="N1474" t="s">
        <v>28</v>
      </c>
    </row>
    <row r="1475" spans="1:14" x14ac:dyDescent="0.25">
      <c r="A1475" t="s">
        <v>4444</v>
      </c>
      <c r="B1475" s="1">
        <v>45721</v>
      </c>
      <c r="C1475" t="s">
        <v>4445</v>
      </c>
      <c r="D1475" t="s">
        <v>4446</v>
      </c>
      <c r="E1475" s="14">
        <v>923037562178</v>
      </c>
      <c r="F1475" t="s">
        <v>92</v>
      </c>
      <c r="G1475" t="s">
        <v>18</v>
      </c>
      <c r="H1475" t="s">
        <v>19</v>
      </c>
      <c r="I1475">
        <v>4</v>
      </c>
      <c r="J1475">
        <v>3019</v>
      </c>
      <c r="K1475">
        <v>12076</v>
      </c>
      <c r="L1475" t="s">
        <v>20</v>
      </c>
      <c r="M1475" t="s">
        <v>27</v>
      </c>
      <c r="N1475" t="s">
        <v>28</v>
      </c>
    </row>
    <row r="1476" spans="1:14" x14ac:dyDescent="0.25">
      <c r="A1476" t="s">
        <v>4447</v>
      </c>
      <c r="B1476" s="1">
        <v>45982</v>
      </c>
      <c r="C1476" t="s">
        <v>4448</v>
      </c>
      <c r="D1476" t="s">
        <v>4449</v>
      </c>
      <c r="E1476" s="14">
        <v>923357489206</v>
      </c>
      <c r="F1476" t="s">
        <v>44</v>
      </c>
      <c r="G1476" t="s">
        <v>18</v>
      </c>
      <c r="H1476" t="s">
        <v>39</v>
      </c>
      <c r="I1476">
        <v>5</v>
      </c>
      <c r="J1476">
        <v>12182</v>
      </c>
      <c r="K1476">
        <v>60910</v>
      </c>
      <c r="L1476" t="s">
        <v>68</v>
      </c>
      <c r="M1476" t="s">
        <v>55</v>
      </c>
      <c r="N1476" t="s">
        <v>35</v>
      </c>
    </row>
    <row r="1477" spans="1:14" x14ac:dyDescent="0.25">
      <c r="A1477" t="s">
        <v>4450</v>
      </c>
      <c r="B1477" s="1">
        <v>45974</v>
      </c>
      <c r="C1477" t="s">
        <v>4451</v>
      </c>
      <c r="D1477" t="s">
        <v>4452</v>
      </c>
      <c r="E1477" s="14">
        <v>923187033435</v>
      </c>
      <c r="F1477" t="s">
        <v>92</v>
      </c>
      <c r="G1477" t="s">
        <v>18</v>
      </c>
      <c r="H1477" t="s">
        <v>39</v>
      </c>
      <c r="I1477">
        <v>3</v>
      </c>
      <c r="J1477">
        <v>6222</v>
      </c>
      <c r="K1477">
        <v>18666</v>
      </c>
      <c r="L1477" t="s">
        <v>63</v>
      </c>
      <c r="M1477" t="s">
        <v>82</v>
      </c>
      <c r="N1477" t="s">
        <v>69</v>
      </c>
    </row>
    <row r="1478" spans="1:14" x14ac:dyDescent="0.25">
      <c r="A1478" t="s">
        <v>4453</v>
      </c>
      <c r="B1478" s="1">
        <v>46025</v>
      </c>
      <c r="C1478" t="s">
        <v>4454</v>
      </c>
      <c r="D1478" t="s">
        <v>4455</v>
      </c>
      <c r="E1478" s="14">
        <v>923037182525</v>
      </c>
      <c r="F1478" t="s">
        <v>122</v>
      </c>
      <c r="G1478" t="s">
        <v>18</v>
      </c>
      <c r="H1478" t="s">
        <v>39</v>
      </c>
      <c r="I1478">
        <v>5</v>
      </c>
      <c r="J1478">
        <v>7928</v>
      </c>
      <c r="K1478">
        <v>39640</v>
      </c>
      <c r="L1478" t="s">
        <v>63</v>
      </c>
      <c r="M1478" t="s">
        <v>82</v>
      </c>
      <c r="N1478" t="s">
        <v>22</v>
      </c>
    </row>
    <row r="1479" spans="1:14" x14ac:dyDescent="0.25">
      <c r="A1479" t="s">
        <v>4456</v>
      </c>
      <c r="B1479" s="1">
        <v>45940</v>
      </c>
      <c r="C1479" t="s">
        <v>4457</v>
      </c>
      <c r="D1479" t="s">
        <v>4458</v>
      </c>
      <c r="E1479" s="14">
        <v>923266922750</v>
      </c>
      <c r="F1479" t="s">
        <v>106</v>
      </c>
      <c r="G1479" t="s">
        <v>18</v>
      </c>
      <c r="H1479" t="s">
        <v>59</v>
      </c>
      <c r="I1479">
        <v>1</v>
      </c>
      <c r="J1479">
        <v>1521</v>
      </c>
      <c r="K1479">
        <v>1521</v>
      </c>
      <c r="L1479" t="s">
        <v>63</v>
      </c>
      <c r="M1479" t="s">
        <v>135</v>
      </c>
      <c r="N1479" t="s">
        <v>28</v>
      </c>
    </row>
    <row r="1480" spans="1:14" x14ac:dyDescent="0.25">
      <c r="A1480" t="s">
        <v>4459</v>
      </c>
      <c r="B1480" s="1">
        <v>45819</v>
      </c>
      <c r="C1480" t="s">
        <v>4460</v>
      </c>
      <c r="D1480" t="s">
        <v>4461</v>
      </c>
      <c r="E1480" s="14">
        <v>923046662708</v>
      </c>
      <c r="F1480" t="s">
        <v>49</v>
      </c>
      <c r="G1480" t="s">
        <v>18</v>
      </c>
      <c r="H1480" t="s">
        <v>33</v>
      </c>
      <c r="I1480">
        <v>4</v>
      </c>
      <c r="J1480">
        <v>13485</v>
      </c>
      <c r="K1480">
        <v>53940</v>
      </c>
      <c r="L1480" t="s">
        <v>78</v>
      </c>
      <c r="M1480" t="s">
        <v>82</v>
      </c>
      <c r="N1480" t="s">
        <v>35</v>
      </c>
    </row>
    <row r="1481" spans="1:14" x14ac:dyDescent="0.25">
      <c r="A1481" t="s">
        <v>4462</v>
      </c>
      <c r="B1481" s="1">
        <v>46067</v>
      </c>
      <c r="C1481" t="s">
        <v>4463</v>
      </c>
      <c r="D1481" t="s">
        <v>4464</v>
      </c>
      <c r="E1481" s="14">
        <v>923420036853</v>
      </c>
      <c r="F1481" t="s">
        <v>54</v>
      </c>
      <c r="G1481" t="s">
        <v>18</v>
      </c>
      <c r="H1481" t="s">
        <v>39</v>
      </c>
      <c r="I1481">
        <v>1</v>
      </c>
      <c r="J1481">
        <v>9174</v>
      </c>
      <c r="K1481">
        <v>9174</v>
      </c>
      <c r="L1481" t="s">
        <v>40</v>
      </c>
      <c r="M1481" t="s">
        <v>27</v>
      </c>
      <c r="N1481" t="s">
        <v>35</v>
      </c>
    </row>
    <row r="1482" spans="1:14" x14ac:dyDescent="0.25">
      <c r="A1482" t="s">
        <v>4465</v>
      </c>
      <c r="B1482" s="1">
        <v>46031</v>
      </c>
      <c r="C1482" t="s">
        <v>4466</v>
      </c>
      <c r="D1482" t="s">
        <v>4467</v>
      </c>
      <c r="E1482" s="14">
        <v>923332498282</v>
      </c>
      <c r="F1482" t="s">
        <v>92</v>
      </c>
      <c r="G1482" t="s">
        <v>18</v>
      </c>
      <c r="H1482" t="s">
        <v>19</v>
      </c>
      <c r="I1482">
        <v>5</v>
      </c>
      <c r="J1482">
        <v>13750</v>
      </c>
      <c r="K1482">
        <v>68750</v>
      </c>
      <c r="L1482" t="s">
        <v>78</v>
      </c>
      <c r="M1482" t="s">
        <v>45</v>
      </c>
      <c r="N1482" t="s">
        <v>28</v>
      </c>
    </row>
    <row r="1483" spans="1:14" x14ac:dyDescent="0.25">
      <c r="A1483" t="s">
        <v>4468</v>
      </c>
      <c r="B1483" s="1">
        <v>46058</v>
      </c>
      <c r="C1483" t="s">
        <v>4469</v>
      </c>
      <c r="D1483" t="s">
        <v>4470</v>
      </c>
      <c r="E1483" s="14">
        <v>923245168064</v>
      </c>
      <c r="F1483" t="s">
        <v>44</v>
      </c>
      <c r="G1483" t="s">
        <v>18</v>
      </c>
      <c r="H1483" t="s">
        <v>50</v>
      </c>
      <c r="I1483">
        <v>4</v>
      </c>
      <c r="J1483">
        <v>1995</v>
      </c>
      <c r="K1483">
        <v>7980</v>
      </c>
      <c r="L1483" t="s">
        <v>68</v>
      </c>
      <c r="M1483" t="s">
        <v>21</v>
      </c>
      <c r="N1483" t="s">
        <v>28</v>
      </c>
    </row>
    <row r="1484" spans="1:14" x14ac:dyDescent="0.25">
      <c r="A1484" t="s">
        <v>4471</v>
      </c>
      <c r="B1484" s="1">
        <v>45807</v>
      </c>
      <c r="C1484" t="s">
        <v>4472</v>
      </c>
      <c r="D1484" t="s">
        <v>4473</v>
      </c>
      <c r="E1484" s="14">
        <v>923441613904</v>
      </c>
      <c r="F1484" t="s">
        <v>106</v>
      </c>
      <c r="G1484" t="s">
        <v>18</v>
      </c>
      <c r="H1484" t="s">
        <v>59</v>
      </c>
      <c r="I1484">
        <v>3</v>
      </c>
      <c r="J1484">
        <v>6952</v>
      </c>
      <c r="K1484">
        <v>20856</v>
      </c>
      <c r="L1484" t="s">
        <v>26</v>
      </c>
      <c r="M1484" t="s">
        <v>34</v>
      </c>
      <c r="N1484" t="s">
        <v>69</v>
      </c>
    </row>
    <row r="1485" spans="1:14" x14ac:dyDescent="0.25">
      <c r="A1485" t="s">
        <v>4474</v>
      </c>
      <c r="B1485" s="1">
        <v>45940</v>
      </c>
      <c r="C1485" t="s">
        <v>4475</v>
      </c>
      <c r="D1485" t="s">
        <v>4476</v>
      </c>
      <c r="E1485" s="14">
        <v>923023492257</v>
      </c>
      <c r="F1485" t="s">
        <v>32</v>
      </c>
      <c r="G1485" t="s">
        <v>18</v>
      </c>
      <c r="H1485" t="s">
        <v>59</v>
      </c>
      <c r="I1485">
        <v>4</v>
      </c>
      <c r="J1485">
        <v>10937</v>
      </c>
      <c r="K1485">
        <v>43748</v>
      </c>
      <c r="L1485" t="s">
        <v>78</v>
      </c>
      <c r="M1485" t="s">
        <v>82</v>
      </c>
      <c r="N1485" t="s">
        <v>28</v>
      </c>
    </row>
    <row r="1486" spans="1:14" x14ac:dyDescent="0.25">
      <c r="A1486" t="s">
        <v>4477</v>
      </c>
      <c r="B1486" s="1">
        <v>46021</v>
      </c>
      <c r="C1486" t="s">
        <v>4478</v>
      </c>
      <c r="D1486" t="s">
        <v>4479</v>
      </c>
      <c r="E1486" s="14">
        <v>923069658022</v>
      </c>
      <c r="F1486" t="s">
        <v>77</v>
      </c>
      <c r="G1486" t="s">
        <v>18</v>
      </c>
      <c r="H1486" t="s">
        <v>50</v>
      </c>
      <c r="I1486">
        <v>3</v>
      </c>
      <c r="J1486">
        <v>6716</v>
      </c>
      <c r="K1486">
        <v>20148</v>
      </c>
      <c r="L1486" t="s">
        <v>63</v>
      </c>
      <c r="M1486" t="s">
        <v>82</v>
      </c>
      <c r="N1486" t="s">
        <v>22</v>
      </c>
    </row>
    <row r="1487" spans="1:14" x14ac:dyDescent="0.25">
      <c r="A1487" t="s">
        <v>4480</v>
      </c>
      <c r="B1487" s="1">
        <v>45741</v>
      </c>
      <c r="C1487" t="s">
        <v>4481</v>
      </c>
      <c r="D1487" t="s">
        <v>4482</v>
      </c>
      <c r="E1487" s="14">
        <v>923338841373</v>
      </c>
      <c r="F1487" t="s">
        <v>67</v>
      </c>
      <c r="G1487" t="s">
        <v>18</v>
      </c>
      <c r="H1487" t="s">
        <v>59</v>
      </c>
      <c r="I1487">
        <v>2</v>
      </c>
      <c r="J1487">
        <v>12650</v>
      </c>
      <c r="K1487">
        <v>25300</v>
      </c>
      <c r="L1487" t="s">
        <v>26</v>
      </c>
      <c r="M1487" t="s">
        <v>27</v>
      </c>
      <c r="N1487" t="s">
        <v>69</v>
      </c>
    </row>
    <row r="1488" spans="1:14" x14ac:dyDescent="0.25">
      <c r="A1488" t="s">
        <v>4483</v>
      </c>
      <c r="B1488" s="1">
        <v>45728</v>
      </c>
      <c r="C1488" t="s">
        <v>4484</v>
      </c>
      <c r="D1488" t="s">
        <v>4485</v>
      </c>
      <c r="E1488" s="14">
        <v>923386142812</v>
      </c>
      <c r="F1488" t="s">
        <v>106</v>
      </c>
      <c r="G1488" t="s">
        <v>18</v>
      </c>
      <c r="H1488" t="s">
        <v>33</v>
      </c>
      <c r="I1488">
        <v>2</v>
      </c>
      <c r="J1488">
        <v>7393</v>
      </c>
      <c r="K1488">
        <v>14786</v>
      </c>
      <c r="L1488" t="s">
        <v>68</v>
      </c>
      <c r="M1488" t="s">
        <v>82</v>
      </c>
      <c r="N1488" t="s">
        <v>28</v>
      </c>
    </row>
    <row r="1489" spans="1:14" x14ac:dyDescent="0.25">
      <c r="A1489" t="s">
        <v>4486</v>
      </c>
      <c r="B1489" s="1">
        <v>45916</v>
      </c>
      <c r="C1489" t="s">
        <v>4487</v>
      </c>
      <c r="D1489" t="s">
        <v>4488</v>
      </c>
      <c r="E1489" s="14">
        <v>923326553282</v>
      </c>
      <c r="F1489" t="s">
        <v>54</v>
      </c>
      <c r="G1489" t="s">
        <v>18</v>
      </c>
      <c r="H1489" t="s">
        <v>39</v>
      </c>
      <c r="I1489">
        <v>5</v>
      </c>
      <c r="J1489">
        <v>4341</v>
      </c>
      <c r="K1489">
        <v>21705</v>
      </c>
      <c r="L1489" t="s">
        <v>78</v>
      </c>
      <c r="M1489" t="s">
        <v>93</v>
      </c>
      <c r="N1489" t="s">
        <v>35</v>
      </c>
    </row>
    <row r="1490" spans="1:14" x14ac:dyDescent="0.25">
      <c r="A1490" t="s">
        <v>4489</v>
      </c>
      <c r="B1490" s="1">
        <v>46026</v>
      </c>
      <c r="C1490" t="s">
        <v>4490</v>
      </c>
      <c r="D1490" t="s">
        <v>4491</v>
      </c>
      <c r="E1490" s="14">
        <v>923077352039</v>
      </c>
      <c r="F1490" t="s">
        <v>32</v>
      </c>
      <c r="G1490" t="s">
        <v>18</v>
      </c>
      <c r="H1490" t="s">
        <v>59</v>
      </c>
      <c r="I1490">
        <v>4</v>
      </c>
      <c r="J1490">
        <v>14180</v>
      </c>
      <c r="K1490">
        <v>56720</v>
      </c>
      <c r="L1490" t="s">
        <v>63</v>
      </c>
      <c r="M1490" t="s">
        <v>135</v>
      </c>
      <c r="N1490" t="s">
        <v>28</v>
      </c>
    </row>
    <row r="1491" spans="1:14" x14ac:dyDescent="0.25">
      <c r="A1491" t="s">
        <v>4492</v>
      </c>
      <c r="B1491" s="1">
        <v>45843</v>
      </c>
      <c r="C1491" t="s">
        <v>4493</v>
      </c>
      <c r="D1491" t="s">
        <v>4494</v>
      </c>
      <c r="E1491" s="14">
        <v>923406183456</v>
      </c>
      <c r="F1491" t="s">
        <v>122</v>
      </c>
      <c r="G1491" t="s">
        <v>18</v>
      </c>
      <c r="H1491" t="s">
        <v>50</v>
      </c>
      <c r="I1491">
        <v>2</v>
      </c>
      <c r="J1491">
        <v>5722</v>
      </c>
      <c r="K1491">
        <v>11444</v>
      </c>
      <c r="L1491" t="s">
        <v>26</v>
      </c>
      <c r="M1491" t="s">
        <v>82</v>
      </c>
      <c r="N1491" t="s">
        <v>35</v>
      </c>
    </row>
    <row r="1492" spans="1:14" x14ac:dyDescent="0.25">
      <c r="A1492" t="s">
        <v>4495</v>
      </c>
      <c r="B1492" s="1">
        <v>45851</v>
      </c>
      <c r="C1492" t="s">
        <v>4496</v>
      </c>
      <c r="D1492" t="s">
        <v>4497</v>
      </c>
      <c r="E1492" s="14">
        <v>923267402722</v>
      </c>
      <c r="F1492" t="s">
        <v>122</v>
      </c>
      <c r="G1492" t="s">
        <v>18</v>
      </c>
      <c r="H1492" t="s">
        <v>39</v>
      </c>
      <c r="I1492">
        <v>5</v>
      </c>
      <c r="J1492">
        <v>12498</v>
      </c>
      <c r="K1492">
        <v>62490</v>
      </c>
      <c r="L1492" t="s">
        <v>20</v>
      </c>
      <c r="M1492" t="s">
        <v>82</v>
      </c>
      <c r="N1492" t="s">
        <v>35</v>
      </c>
    </row>
    <row r="1493" spans="1:14" x14ac:dyDescent="0.25">
      <c r="A1493" t="s">
        <v>4498</v>
      </c>
      <c r="B1493" s="1">
        <v>46045</v>
      </c>
      <c r="C1493" t="s">
        <v>4499</v>
      </c>
      <c r="D1493" t="s">
        <v>4500</v>
      </c>
      <c r="E1493" s="14">
        <v>923381920768</v>
      </c>
      <c r="F1493" t="s">
        <v>54</v>
      </c>
      <c r="G1493" t="s">
        <v>18</v>
      </c>
      <c r="H1493" t="s">
        <v>39</v>
      </c>
      <c r="I1493">
        <v>2</v>
      </c>
      <c r="J1493">
        <v>5037</v>
      </c>
      <c r="K1493">
        <v>10074</v>
      </c>
      <c r="L1493" t="s">
        <v>20</v>
      </c>
      <c r="M1493" t="s">
        <v>55</v>
      </c>
      <c r="N1493" t="s">
        <v>22</v>
      </c>
    </row>
    <row r="1494" spans="1:14" x14ac:dyDescent="0.25">
      <c r="A1494" t="s">
        <v>4501</v>
      </c>
      <c r="B1494" s="1">
        <v>46052</v>
      </c>
      <c r="C1494" t="s">
        <v>4502</v>
      </c>
      <c r="D1494" t="s">
        <v>4503</v>
      </c>
      <c r="E1494" s="14">
        <v>923088307210</v>
      </c>
      <c r="F1494" t="s">
        <v>106</v>
      </c>
      <c r="G1494" t="s">
        <v>18</v>
      </c>
      <c r="H1494" t="s">
        <v>39</v>
      </c>
      <c r="I1494">
        <v>5</v>
      </c>
      <c r="J1494">
        <v>3813</v>
      </c>
      <c r="K1494">
        <v>19065</v>
      </c>
      <c r="L1494" t="s">
        <v>63</v>
      </c>
      <c r="M1494" t="s">
        <v>45</v>
      </c>
      <c r="N1494" t="s">
        <v>28</v>
      </c>
    </row>
    <row r="1495" spans="1:14" x14ac:dyDescent="0.25">
      <c r="A1495" t="s">
        <v>4504</v>
      </c>
      <c r="B1495" s="1">
        <v>45715</v>
      </c>
      <c r="C1495" t="s">
        <v>4505</v>
      </c>
      <c r="D1495" t="s">
        <v>4506</v>
      </c>
      <c r="E1495" s="14">
        <v>923148724851</v>
      </c>
      <c r="F1495" t="s">
        <v>122</v>
      </c>
      <c r="G1495" t="s">
        <v>18</v>
      </c>
      <c r="H1495" t="s">
        <v>19</v>
      </c>
      <c r="I1495">
        <v>4</v>
      </c>
      <c r="J1495">
        <v>5216</v>
      </c>
      <c r="K1495">
        <v>20864</v>
      </c>
      <c r="L1495" t="s">
        <v>63</v>
      </c>
      <c r="M1495" t="s">
        <v>21</v>
      </c>
      <c r="N1495" t="s">
        <v>69</v>
      </c>
    </row>
    <row r="1496" spans="1:14" x14ac:dyDescent="0.25">
      <c r="A1496" t="s">
        <v>4507</v>
      </c>
      <c r="B1496" s="1">
        <v>45990</v>
      </c>
      <c r="C1496" t="s">
        <v>3643</v>
      </c>
      <c r="D1496" t="s">
        <v>4508</v>
      </c>
      <c r="E1496" s="14">
        <v>923114062654</v>
      </c>
      <c r="F1496" t="s">
        <v>54</v>
      </c>
      <c r="G1496" t="s">
        <v>18</v>
      </c>
      <c r="H1496" t="s">
        <v>50</v>
      </c>
      <c r="I1496">
        <v>4</v>
      </c>
      <c r="J1496">
        <v>6116</v>
      </c>
      <c r="K1496">
        <v>24464</v>
      </c>
      <c r="L1496" t="s">
        <v>78</v>
      </c>
      <c r="M1496" t="s">
        <v>55</v>
      </c>
      <c r="N1496" t="s">
        <v>69</v>
      </c>
    </row>
    <row r="1497" spans="1:14" x14ac:dyDescent="0.25">
      <c r="A1497" t="s">
        <v>4509</v>
      </c>
      <c r="B1497" s="1">
        <v>45870</v>
      </c>
      <c r="C1497" t="s">
        <v>4510</v>
      </c>
      <c r="D1497" t="s">
        <v>4511</v>
      </c>
      <c r="E1497" s="14">
        <v>923308580824</v>
      </c>
      <c r="F1497" t="s">
        <v>17</v>
      </c>
      <c r="G1497" t="s">
        <v>18</v>
      </c>
      <c r="H1497" t="s">
        <v>73</v>
      </c>
      <c r="I1497">
        <v>1</v>
      </c>
      <c r="J1497">
        <v>13320</v>
      </c>
      <c r="K1497">
        <v>13320</v>
      </c>
      <c r="L1497" t="s">
        <v>26</v>
      </c>
      <c r="M1497" t="s">
        <v>27</v>
      </c>
      <c r="N1497" t="s">
        <v>22</v>
      </c>
    </row>
    <row r="1498" spans="1:14" x14ac:dyDescent="0.25">
      <c r="A1498" t="s">
        <v>4512</v>
      </c>
      <c r="B1498" s="1">
        <v>45930</v>
      </c>
      <c r="C1498" t="s">
        <v>4513</v>
      </c>
      <c r="D1498" t="s">
        <v>4514</v>
      </c>
      <c r="E1498" s="14">
        <v>923180018398</v>
      </c>
      <c r="F1498" t="s">
        <v>17</v>
      </c>
      <c r="G1498" t="s">
        <v>18</v>
      </c>
      <c r="H1498" t="s">
        <v>50</v>
      </c>
      <c r="I1498">
        <v>1</v>
      </c>
      <c r="J1498">
        <v>6101</v>
      </c>
      <c r="K1498">
        <v>6101</v>
      </c>
      <c r="L1498" t="s">
        <v>26</v>
      </c>
      <c r="M1498" t="s">
        <v>27</v>
      </c>
      <c r="N1498" t="s">
        <v>69</v>
      </c>
    </row>
    <row r="1499" spans="1:14" x14ac:dyDescent="0.25">
      <c r="A1499" t="s">
        <v>4515</v>
      </c>
      <c r="B1499" s="1">
        <v>45831</v>
      </c>
      <c r="C1499" t="s">
        <v>4516</v>
      </c>
      <c r="D1499" t="s">
        <v>4517</v>
      </c>
      <c r="E1499" s="14">
        <v>923051086601</v>
      </c>
      <c r="F1499" t="s">
        <v>44</v>
      </c>
      <c r="G1499" t="s">
        <v>18</v>
      </c>
      <c r="H1499" t="s">
        <v>50</v>
      </c>
      <c r="I1499">
        <v>2</v>
      </c>
      <c r="J1499">
        <v>6756</v>
      </c>
      <c r="K1499">
        <v>13512</v>
      </c>
      <c r="L1499" t="s">
        <v>68</v>
      </c>
      <c r="M1499" t="s">
        <v>135</v>
      </c>
      <c r="N1499" t="s">
        <v>35</v>
      </c>
    </row>
    <row r="1500" spans="1:14" x14ac:dyDescent="0.25">
      <c r="A1500" t="s">
        <v>4518</v>
      </c>
      <c r="B1500" s="1">
        <v>45717</v>
      </c>
      <c r="C1500" t="s">
        <v>4519</v>
      </c>
      <c r="D1500" t="s">
        <v>4520</v>
      </c>
      <c r="E1500" s="14">
        <v>923252336294</v>
      </c>
      <c r="F1500" t="s">
        <v>32</v>
      </c>
      <c r="G1500" t="s">
        <v>18</v>
      </c>
      <c r="H1500" t="s">
        <v>73</v>
      </c>
      <c r="I1500">
        <v>5</v>
      </c>
      <c r="J1500">
        <v>1547</v>
      </c>
      <c r="K1500">
        <v>7735</v>
      </c>
      <c r="L1500" t="s">
        <v>20</v>
      </c>
      <c r="M1500" t="s">
        <v>34</v>
      </c>
      <c r="N1500" t="s">
        <v>35</v>
      </c>
    </row>
    <row r="1501" spans="1:14" x14ac:dyDescent="0.25">
      <c r="A1501" t="s">
        <v>4521</v>
      </c>
      <c r="B1501" s="1">
        <v>46057</v>
      </c>
      <c r="C1501" t="s">
        <v>4522</v>
      </c>
      <c r="D1501" t="s">
        <v>4523</v>
      </c>
      <c r="E1501" s="14">
        <v>923360879367</v>
      </c>
      <c r="F1501" t="s">
        <v>17</v>
      </c>
      <c r="G1501" t="s">
        <v>18</v>
      </c>
      <c r="H1501" t="s">
        <v>50</v>
      </c>
      <c r="I1501">
        <v>3</v>
      </c>
      <c r="J1501">
        <v>1419</v>
      </c>
      <c r="K1501">
        <v>4257</v>
      </c>
      <c r="L1501" t="s">
        <v>26</v>
      </c>
      <c r="M1501" t="s">
        <v>45</v>
      </c>
      <c r="N1501" t="s">
        <v>69</v>
      </c>
    </row>
    <row r="1502" spans="1:14" x14ac:dyDescent="0.25">
      <c r="A1502" t="s">
        <v>4524</v>
      </c>
      <c r="B1502" s="1">
        <v>45721</v>
      </c>
      <c r="C1502" t="s">
        <v>4525</v>
      </c>
      <c r="D1502" t="s">
        <v>4526</v>
      </c>
      <c r="E1502" s="14">
        <v>923169627940</v>
      </c>
      <c r="F1502" t="s">
        <v>17</v>
      </c>
      <c r="G1502" t="s">
        <v>18</v>
      </c>
      <c r="H1502" t="s">
        <v>33</v>
      </c>
      <c r="I1502">
        <v>4</v>
      </c>
      <c r="J1502">
        <v>11645</v>
      </c>
      <c r="K1502">
        <v>46580</v>
      </c>
      <c r="L1502" t="s">
        <v>40</v>
      </c>
      <c r="M1502" t="s">
        <v>55</v>
      </c>
      <c r="N1502" t="s">
        <v>22</v>
      </c>
    </row>
    <row r="1503" spans="1:14" x14ac:dyDescent="0.25">
      <c r="A1503" t="s">
        <v>4527</v>
      </c>
      <c r="B1503" s="1">
        <v>45723</v>
      </c>
      <c r="C1503" t="s">
        <v>4528</v>
      </c>
      <c r="D1503" t="s">
        <v>4529</v>
      </c>
      <c r="E1503" s="14">
        <v>923309103122</v>
      </c>
      <c r="F1503" t="s">
        <v>67</v>
      </c>
      <c r="G1503" t="s">
        <v>18</v>
      </c>
      <c r="H1503" t="s">
        <v>59</v>
      </c>
      <c r="I1503">
        <v>2</v>
      </c>
      <c r="J1503">
        <v>3116</v>
      </c>
      <c r="K1503">
        <v>6232</v>
      </c>
      <c r="L1503" t="s">
        <v>40</v>
      </c>
      <c r="M1503" t="s">
        <v>34</v>
      </c>
      <c r="N1503" t="s">
        <v>35</v>
      </c>
    </row>
    <row r="1504" spans="1:14" x14ac:dyDescent="0.25">
      <c r="A1504" t="s">
        <v>4530</v>
      </c>
      <c r="B1504" s="1">
        <v>45746</v>
      </c>
      <c r="C1504" t="s">
        <v>4531</v>
      </c>
      <c r="D1504" t="s">
        <v>4532</v>
      </c>
      <c r="E1504" s="14">
        <v>923298537525</v>
      </c>
      <c r="F1504" t="s">
        <v>92</v>
      </c>
      <c r="G1504" t="s">
        <v>18</v>
      </c>
      <c r="H1504" t="s">
        <v>73</v>
      </c>
      <c r="I1504">
        <v>4</v>
      </c>
      <c r="J1504">
        <v>11897</v>
      </c>
      <c r="K1504">
        <v>47588</v>
      </c>
      <c r="L1504" t="s">
        <v>63</v>
      </c>
      <c r="M1504" t="s">
        <v>27</v>
      </c>
      <c r="N1504" t="s">
        <v>35</v>
      </c>
    </row>
    <row r="1505" spans="1:14" x14ac:dyDescent="0.25">
      <c r="A1505" t="s">
        <v>4533</v>
      </c>
      <c r="B1505" s="1">
        <v>46015</v>
      </c>
      <c r="C1505" t="s">
        <v>4534</v>
      </c>
      <c r="D1505" t="s">
        <v>4535</v>
      </c>
      <c r="E1505" s="14">
        <v>923203721374</v>
      </c>
      <c r="F1505" t="s">
        <v>17</v>
      </c>
      <c r="G1505" t="s">
        <v>18</v>
      </c>
      <c r="H1505" t="s">
        <v>19</v>
      </c>
      <c r="I1505">
        <v>1</v>
      </c>
      <c r="J1505">
        <v>1806</v>
      </c>
      <c r="K1505">
        <v>1806</v>
      </c>
      <c r="L1505" t="s">
        <v>78</v>
      </c>
      <c r="M1505" t="s">
        <v>55</v>
      </c>
      <c r="N1505" t="s">
        <v>69</v>
      </c>
    </row>
    <row r="1506" spans="1:14" x14ac:dyDescent="0.25">
      <c r="A1506" t="s">
        <v>4536</v>
      </c>
      <c r="B1506" s="1">
        <v>45994</v>
      </c>
      <c r="C1506" t="s">
        <v>4537</v>
      </c>
      <c r="D1506" t="s">
        <v>4538</v>
      </c>
      <c r="E1506" s="14">
        <v>923430847437</v>
      </c>
      <c r="F1506" t="s">
        <v>92</v>
      </c>
      <c r="G1506" t="s">
        <v>18</v>
      </c>
      <c r="H1506" t="s">
        <v>19</v>
      </c>
      <c r="I1506">
        <v>1</v>
      </c>
      <c r="J1506">
        <v>4842</v>
      </c>
      <c r="K1506">
        <v>4842</v>
      </c>
      <c r="L1506" t="s">
        <v>20</v>
      </c>
      <c r="M1506" t="s">
        <v>135</v>
      </c>
      <c r="N1506" t="s">
        <v>69</v>
      </c>
    </row>
    <row r="1507" spans="1:14" x14ac:dyDescent="0.25">
      <c r="A1507" t="s">
        <v>4539</v>
      </c>
      <c r="B1507" s="1">
        <v>46044</v>
      </c>
      <c r="C1507" t="s">
        <v>4540</v>
      </c>
      <c r="D1507" t="s">
        <v>4541</v>
      </c>
      <c r="E1507" s="14">
        <v>923023284677</v>
      </c>
      <c r="F1507" t="s">
        <v>77</v>
      </c>
      <c r="G1507" t="s">
        <v>18</v>
      </c>
      <c r="H1507" t="s">
        <v>33</v>
      </c>
      <c r="I1507">
        <v>3</v>
      </c>
      <c r="J1507">
        <v>11807</v>
      </c>
      <c r="K1507">
        <v>35421</v>
      </c>
      <c r="L1507" t="s">
        <v>40</v>
      </c>
      <c r="M1507" t="s">
        <v>55</v>
      </c>
      <c r="N1507" t="s">
        <v>35</v>
      </c>
    </row>
    <row r="1508" spans="1:14" x14ac:dyDescent="0.25">
      <c r="A1508" t="s">
        <v>4542</v>
      </c>
      <c r="B1508" s="1">
        <v>45984</v>
      </c>
      <c r="C1508" t="s">
        <v>4543</v>
      </c>
      <c r="D1508" t="s">
        <v>4544</v>
      </c>
      <c r="E1508" s="14">
        <v>923002290781</v>
      </c>
      <c r="F1508" t="s">
        <v>44</v>
      </c>
      <c r="G1508" t="s">
        <v>18</v>
      </c>
      <c r="H1508" t="s">
        <v>19</v>
      </c>
      <c r="I1508">
        <v>1</v>
      </c>
      <c r="J1508">
        <v>13807</v>
      </c>
      <c r="K1508">
        <v>13807</v>
      </c>
      <c r="L1508" t="s">
        <v>40</v>
      </c>
      <c r="M1508" t="s">
        <v>34</v>
      </c>
      <c r="N1508" t="s">
        <v>69</v>
      </c>
    </row>
    <row r="1509" spans="1:14" x14ac:dyDescent="0.25">
      <c r="A1509" t="s">
        <v>4545</v>
      </c>
      <c r="B1509" s="1">
        <v>46051</v>
      </c>
      <c r="C1509" t="s">
        <v>4546</v>
      </c>
      <c r="D1509" t="s">
        <v>4547</v>
      </c>
      <c r="E1509" s="14">
        <v>923337335568</v>
      </c>
      <c r="F1509" t="s">
        <v>92</v>
      </c>
      <c r="G1509" t="s">
        <v>18</v>
      </c>
      <c r="H1509" t="s">
        <v>59</v>
      </c>
      <c r="I1509">
        <v>5</v>
      </c>
      <c r="J1509">
        <v>4231</v>
      </c>
      <c r="K1509">
        <v>21155</v>
      </c>
      <c r="L1509" t="s">
        <v>63</v>
      </c>
      <c r="M1509" t="s">
        <v>135</v>
      </c>
      <c r="N1509" t="s">
        <v>22</v>
      </c>
    </row>
    <row r="1510" spans="1:14" x14ac:dyDescent="0.25">
      <c r="A1510" t="s">
        <v>4548</v>
      </c>
      <c r="B1510" s="1">
        <v>45753</v>
      </c>
      <c r="C1510" t="s">
        <v>4549</v>
      </c>
      <c r="D1510" t="s">
        <v>4550</v>
      </c>
      <c r="E1510" s="14">
        <v>923268901996</v>
      </c>
      <c r="F1510" t="s">
        <v>49</v>
      </c>
      <c r="G1510" t="s">
        <v>18</v>
      </c>
      <c r="H1510" t="s">
        <v>73</v>
      </c>
      <c r="I1510">
        <v>3</v>
      </c>
      <c r="J1510">
        <v>12745</v>
      </c>
      <c r="K1510">
        <v>38235</v>
      </c>
      <c r="L1510" t="s">
        <v>63</v>
      </c>
      <c r="M1510" t="s">
        <v>93</v>
      </c>
      <c r="N1510" t="s">
        <v>28</v>
      </c>
    </row>
    <row r="1511" spans="1:14" x14ac:dyDescent="0.25">
      <c r="A1511" t="s">
        <v>4551</v>
      </c>
      <c r="B1511" s="1">
        <v>46015</v>
      </c>
      <c r="C1511" t="s">
        <v>4552</v>
      </c>
      <c r="D1511" t="s">
        <v>4553</v>
      </c>
      <c r="E1511" s="14">
        <v>923369974777</v>
      </c>
      <c r="F1511" t="s">
        <v>32</v>
      </c>
      <c r="G1511" t="s">
        <v>18</v>
      </c>
      <c r="H1511" t="s">
        <v>33</v>
      </c>
      <c r="I1511">
        <v>1</v>
      </c>
      <c r="J1511">
        <v>14100</v>
      </c>
      <c r="K1511">
        <v>14100</v>
      </c>
      <c r="L1511" t="s">
        <v>78</v>
      </c>
      <c r="M1511" t="s">
        <v>82</v>
      </c>
      <c r="N1511" t="s">
        <v>22</v>
      </c>
    </row>
    <row r="1512" spans="1:14" x14ac:dyDescent="0.25">
      <c r="A1512" t="s">
        <v>4554</v>
      </c>
      <c r="B1512" s="1">
        <v>46014</v>
      </c>
      <c r="C1512" t="s">
        <v>4555</v>
      </c>
      <c r="D1512" t="s">
        <v>4556</v>
      </c>
      <c r="E1512" s="14">
        <v>923349461706</v>
      </c>
      <c r="F1512" t="s">
        <v>122</v>
      </c>
      <c r="G1512" t="s">
        <v>18</v>
      </c>
      <c r="H1512" t="s">
        <v>33</v>
      </c>
      <c r="I1512">
        <v>3</v>
      </c>
      <c r="J1512">
        <v>13163</v>
      </c>
      <c r="K1512">
        <v>39489</v>
      </c>
      <c r="L1512" t="s">
        <v>40</v>
      </c>
      <c r="M1512" t="s">
        <v>55</v>
      </c>
      <c r="N1512" t="s">
        <v>22</v>
      </c>
    </row>
    <row r="1513" spans="1:14" x14ac:dyDescent="0.25">
      <c r="A1513" t="s">
        <v>4557</v>
      </c>
      <c r="B1513" s="1">
        <v>45981</v>
      </c>
      <c r="C1513" t="s">
        <v>4558</v>
      </c>
      <c r="D1513" t="s">
        <v>4559</v>
      </c>
      <c r="E1513" s="14">
        <v>923377147939</v>
      </c>
      <c r="F1513" t="s">
        <v>92</v>
      </c>
      <c r="G1513" t="s">
        <v>18</v>
      </c>
      <c r="H1513" t="s">
        <v>59</v>
      </c>
      <c r="I1513">
        <v>4</v>
      </c>
      <c r="J1513">
        <v>5408</v>
      </c>
      <c r="K1513">
        <v>21632</v>
      </c>
      <c r="L1513" t="s">
        <v>68</v>
      </c>
      <c r="M1513" t="s">
        <v>93</v>
      </c>
      <c r="N1513" t="s">
        <v>28</v>
      </c>
    </row>
    <row r="1514" spans="1:14" x14ac:dyDescent="0.25">
      <c r="A1514" t="s">
        <v>4560</v>
      </c>
      <c r="B1514" s="1">
        <v>45923</v>
      </c>
      <c r="C1514" t="s">
        <v>4561</v>
      </c>
      <c r="D1514" t="s">
        <v>4562</v>
      </c>
      <c r="E1514" s="14">
        <v>923185980195</v>
      </c>
      <c r="F1514" t="s">
        <v>67</v>
      </c>
      <c r="G1514" t="s">
        <v>18</v>
      </c>
      <c r="H1514" t="s">
        <v>59</v>
      </c>
      <c r="I1514">
        <v>2</v>
      </c>
      <c r="J1514">
        <v>4153</v>
      </c>
      <c r="K1514">
        <v>8306</v>
      </c>
      <c r="L1514" t="s">
        <v>63</v>
      </c>
      <c r="M1514" t="s">
        <v>27</v>
      </c>
      <c r="N1514" t="s">
        <v>28</v>
      </c>
    </row>
    <row r="1515" spans="1:14" x14ac:dyDescent="0.25">
      <c r="A1515" t="s">
        <v>4563</v>
      </c>
      <c r="B1515" s="1">
        <v>45822</v>
      </c>
      <c r="C1515" t="s">
        <v>4564</v>
      </c>
      <c r="D1515" t="s">
        <v>4565</v>
      </c>
      <c r="E1515" s="14">
        <v>923364808817</v>
      </c>
      <c r="F1515" t="s">
        <v>67</v>
      </c>
      <c r="G1515" t="s">
        <v>18</v>
      </c>
      <c r="H1515" t="s">
        <v>39</v>
      </c>
      <c r="I1515">
        <v>1</v>
      </c>
      <c r="J1515">
        <v>11993</v>
      </c>
      <c r="K1515">
        <v>11993</v>
      </c>
      <c r="L1515" t="s">
        <v>40</v>
      </c>
      <c r="M1515" t="s">
        <v>135</v>
      </c>
      <c r="N1515" t="s">
        <v>22</v>
      </c>
    </row>
    <row r="1516" spans="1:14" x14ac:dyDescent="0.25">
      <c r="A1516" t="s">
        <v>4566</v>
      </c>
      <c r="B1516" s="1">
        <v>45706</v>
      </c>
      <c r="C1516" t="s">
        <v>4567</v>
      </c>
      <c r="D1516" t="s">
        <v>4568</v>
      </c>
      <c r="E1516" s="14">
        <v>923034051748</v>
      </c>
      <c r="F1516" t="s">
        <v>77</v>
      </c>
      <c r="G1516" t="s">
        <v>18</v>
      </c>
      <c r="H1516" t="s">
        <v>39</v>
      </c>
      <c r="I1516">
        <v>2</v>
      </c>
      <c r="J1516">
        <v>5482</v>
      </c>
      <c r="K1516">
        <v>10964</v>
      </c>
      <c r="L1516" t="s">
        <v>26</v>
      </c>
      <c r="M1516" t="s">
        <v>55</v>
      </c>
      <c r="N1516" t="s">
        <v>69</v>
      </c>
    </row>
    <row r="1517" spans="1:14" x14ac:dyDescent="0.25">
      <c r="A1517" t="s">
        <v>4569</v>
      </c>
      <c r="B1517" s="1">
        <v>45993</v>
      </c>
      <c r="C1517" t="s">
        <v>4570</v>
      </c>
      <c r="D1517" t="s">
        <v>4571</v>
      </c>
      <c r="E1517" s="14">
        <v>923449904587</v>
      </c>
      <c r="F1517" t="s">
        <v>49</v>
      </c>
      <c r="G1517" t="s">
        <v>18</v>
      </c>
      <c r="H1517" t="s">
        <v>50</v>
      </c>
      <c r="I1517">
        <v>3</v>
      </c>
      <c r="J1517">
        <v>7595</v>
      </c>
      <c r="K1517">
        <v>22785</v>
      </c>
      <c r="L1517" t="s">
        <v>20</v>
      </c>
      <c r="M1517" t="s">
        <v>135</v>
      </c>
      <c r="N1517" t="s">
        <v>28</v>
      </c>
    </row>
    <row r="1518" spans="1:14" x14ac:dyDescent="0.25">
      <c r="A1518" t="s">
        <v>4572</v>
      </c>
      <c r="B1518" s="1">
        <v>46010</v>
      </c>
      <c r="C1518" t="s">
        <v>4448</v>
      </c>
      <c r="D1518" t="s">
        <v>4573</v>
      </c>
      <c r="E1518" s="14">
        <v>923216656759</v>
      </c>
      <c r="F1518" t="s">
        <v>54</v>
      </c>
      <c r="G1518" t="s">
        <v>18</v>
      </c>
      <c r="H1518" t="s">
        <v>50</v>
      </c>
      <c r="I1518">
        <v>4</v>
      </c>
      <c r="J1518">
        <v>7220</v>
      </c>
      <c r="K1518">
        <v>28880</v>
      </c>
      <c r="L1518" t="s">
        <v>40</v>
      </c>
      <c r="M1518" t="s">
        <v>82</v>
      </c>
      <c r="N1518" t="s">
        <v>35</v>
      </c>
    </row>
    <row r="1519" spans="1:14" x14ac:dyDescent="0.25">
      <c r="A1519" t="s">
        <v>4574</v>
      </c>
      <c r="B1519" s="1">
        <v>45821</v>
      </c>
      <c r="C1519" t="s">
        <v>4575</v>
      </c>
      <c r="D1519" t="s">
        <v>4576</v>
      </c>
      <c r="E1519" s="14">
        <v>923244486112</v>
      </c>
      <c r="F1519" t="s">
        <v>92</v>
      </c>
      <c r="G1519" t="s">
        <v>18</v>
      </c>
      <c r="H1519" t="s">
        <v>33</v>
      </c>
      <c r="I1519">
        <v>3</v>
      </c>
      <c r="J1519">
        <v>14579</v>
      </c>
      <c r="K1519">
        <v>43737</v>
      </c>
      <c r="L1519" t="s">
        <v>68</v>
      </c>
      <c r="M1519" t="s">
        <v>93</v>
      </c>
      <c r="N1519" t="s">
        <v>22</v>
      </c>
    </row>
    <row r="1520" spans="1:14" x14ac:dyDescent="0.25">
      <c r="A1520" t="s">
        <v>4577</v>
      </c>
      <c r="B1520" s="1">
        <v>46014</v>
      </c>
      <c r="C1520" t="s">
        <v>4578</v>
      </c>
      <c r="D1520" t="s">
        <v>4579</v>
      </c>
      <c r="E1520" s="14">
        <v>923257097729</v>
      </c>
      <c r="F1520" t="s">
        <v>106</v>
      </c>
      <c r="G1520" t="s">
        <v>18</v>
      </c>
      <c r="H1520" t="s">
        <v>59</v>
      </c>
      <c r="I1520">
        <v>3</v>
      </c>
      <c r="J1520">
        <v>1088</v>
      </c>
      <c r="K1520">
        <v>3264</v>
      </c>
      <c r="L1520" t="s">
        <v>40</v>
      </c>
      <c r="M1520" t="s">
        <v>34</v>
      </c>
      <c r="N1520" t="s">
        <v>22</v>
      </c>
    </row>
    <row r="1521" spans="1:14" x14ac:dyDescent="0.25">
      <c r="A1521" t="s">
        <v>4580</v>
      </c>
      <c r="B1521" s="1">
        <v>45819</v>
      </c>
      <c r="C1521" t="s">
        <v>4581</v>
      </c>
      <c r="D1521" t="s">
        <v>4582</v>
      </c>
      <c r="E1521" s="14">
        <v>923311595409</v>
      </c>
      <c r="F1521" t="s">
        <v>49</v>
      </c>
      <c r="G1521" t="s">
        <v>18</v>
      </c>
      <c r="H1521" t="s">
        <v>73</v>
      </c>
      <c r="I1521">
        <v>5</v>
      </c>
      <c r="J1521">
        <v>12403</v>
      </c>
      <c r="K1521">
        <v>62015</v>
      </c>
      <c r="L1521" t="s">
        <v>26</v>
      </c>
      <c r="M1521" t="s">
        <v>21</v>
      </c>
      <c r="N1521" t="s">
        <v>35</v>
      </c>
    </row>
    <row r="1522" spans="1:14" x14ac:dyDescent="0.25">
      <c r="A1522" t="s">
        <v>4583</v>
      </c>
      <c r="B1522" s="1">
        <v>45843</v>
      </c>
      <c r="C1522" t="s">
        <v>4584</v>
      </c>
      <c r="D1522" t="s">
        <v>4585</v>
      </c>
      <c r="E1522" s="14">
        <v>923147717248</v>
      </c>
      <c r="F1522" t="s">
        <v>44</v>
      </c>
      <c r="G1522" t="s">
        <v>18</v>
      </c>
      <c r="H1522" t="s">
        <v>59</v>
      </c>
      <c r="I1522">
        <v>1</v>
      </c>
      <c r="J1522">
        <v>10153</v>
      </c>
      <c r="K1522">
        <v>10153</v>
      </c>
      <c r="L1522" t="s">
        <v>20</v>
      </c>
      <c r="M1522" t="s">
        <v>93</v>
      </c>
      <c r="N1522" t="s">
        <v>22</v>
      </c>
    </row>
    <row r="1523" spans="1:14" x14ac:dyDescent="0.25">
      <c r="A1523" t="s">
        <v>4586</v>
      </c>
      <c r="B1523" s="1">
        <v>46053</v>
      </c>
      <c r="C1523" t="s">
        <v>4587</v>
      </c>
      <c r="D1523" t="s">
        <v>4588</v>
      </c>
      <c r="E1523" s="14">
        <v>923133858550</v>
      </c>
      <c r="F1523" t="s">
        <v>49</v>
      </c>
      <c r="G1523" t="s">
        <v>18</v>
      </c>
      <c r="H1523" t="s">
        <v>50</v>
      </c>
      <c r="I1523">
        <v>5</v>
      </c>
      <c r="J1523">
        <v>5290</v>
      </c>
      <c r="K1523">
        <v>26450</v>
      </c>
      <c r="L1523" t="s">
        <v>26</v>
      </c>
      <c r="M1523" t="s">
        <v>34</v>
      </c>
      <c r="N1523" t="s">
        <v>28</v>
      </c>
    </row>
    <row r="1524" spans="1:14" x14ac:dyDescent="0.25">
      <c r="A1524" t="s">
        <v>4589</v>
      </c>
      <c r="B1524" s="1">
        <v>45862</v>
      </c>
      <c r="C1524" t="s">
        <v>4590</v>
      </c>
      <c r="D1524" t="s">
        <v>4591</v>
      </c>
      <c r="E1524" s="14">
        <v>923074269719</v>
      </c>
      <c r="F1524" t="s">
        <v>106</v>
      </c>
      <c r="G1524" t="s">
        <v>18</v>
      </c>
      <c r="H1524" t="s">
        <v>39</v>
      </c>
      <c r="I1524">
        <v>3</v>
      </c>
      <c r="J1524">
        <v>5525</v>
      </c>
      <c r="K1524">
        <v>16575</v>
      </c>
      <c r="L1524" t="s">
        <v>26</v>
      </c>
      <c r="M1524" t="s">
        <v>93</v>
      </c>
      <c r="N1524" t="s">
        <v>69</v>
      </c>
    </row>
    <row r="1525" spans="1:14" x14ac:dyDescent="0.25">
      <c r="A1525" t="s">
        <v>4592</v>
      </c>
      <c r="B1525" s="1">
        <v>46044</v>
      </c>
      <c r="C1525" t="s">
        <v>943</v>
      </c>
      <c r="D1525" t="s">
        <v>4593</v>
      </c>
      <c r="E1525" s="14">
        <v>923418959962</v>
      </c>
      <c r="F1525" t="s">
        <v>44</v>
      </c>
      <c r="G1525" t="s">
        <v>18</v>
      </c>
      <c r="H1525" t="s">
        <v>19</v>
      </c>
      <c r="I1525">
        <v>2</v>
      </c>
      <c r="J1525">
        <v>13822</v>
      </c>
      <c r="K1525">
        <v>27644</v>
      </c>
      <c r="L1525" t="s">
        <v>63</v>
      </c>
      <c r="M1525" t="s">
        <v>55</v>
      </c>
      <c r="N1525" t="s">
        <v>69</v>
      </c>
    </row>
    <row r="1526" spans="1:14" x14ac:dyDescent="0.25">
      <c r="A1526" t="s">
        <v>4594</v>
      </c>
      <c r="B1526" s="1">
        <v>45819</v>
      </c>
      <c r="C1526" t="s">
        <v>4595</v>
      </c>
      <c r="D1526" t="s">
        <v>4596</v>
      </c>
      <c r="E1526" s="14">
        <v>923385724140</v>
      </c>
      <c r="F1526" t="s">
        <v>67</v>
      </c>
      <c r="G1526" t="s">
        <v>18</v>
      </c>
      <c r="H1526" t="s">
        <v>19</v>
      </c>
      <c r="I1526">
        <v>5</v>
      </c>
      <c r="J1526">
        <v>3694</v>
      </c>
      <c r="K1526">
        <v>18470</v>
      </c>
      <c r="L1526" t="s">
        <v>68</v>
      </c>
      <c r="M1526" t="s">
        <v>27</v>
      </c>
      <c r="N1526" t="s">
        <v>28</v>
      </c>
    </row>
    <row r="1527" spans="1:14" x14ac:dyDescent="0.25">
      <c r="A1527" t="s">
        <v>4597</v>
      </c>
      <c r="B1527" s="1">
        <v>45784</v>
      </c>
      <c r="C1527" t="s">
        <v>4598</v>
      </c>
      <c r="D1527" t="s">
        <v>4599</v>
      </c>
      <c r="E1527" s="14">
        <v>923369791364</v>
      </c>
      <c r="F1527" t="s">
        <v>17</v>
      </c>
      <c r="G1527" t="s">
        <v>18</v>
      </c>
      <c r="H1527" t="s">
        <v>19</v>
      </c>
      <c r="I1527">
        <v>3</v>
      </c>
      <c r="J1527">
        <v>4027</v>
      </c>
      <c r="K1527">
        <v>12081</v>
      </c>
      <c r="L1527" t="s">
        <v>63</v>
      </c>
      <c r="M1527" t="s">
        <v>55</v>
      </c>
      <c r="N1527" t="s">
        <v>69</v>
      </c>
    </row>
    <row r="1528" spans="1:14" x14ac:dyDescent="0.25">
      <c r="A1528" t="s">
        <v>4600</v>
      </c>
      <c r="B1528" s="1">
        <v>45956</v>
      </c>
      <c r="C1528" t="s">
        <v>4601</v>
      </c>
      <c r="D1528" t="s">
        <v>4602</v>
      </c>
      <c r="E1528" s="14">
        <v>923143412265</v>
      </c>
      <c r="F1528" t="s">
        <v>44</v>
      </c>
      <c r="G1528" t="s">
        <v>18</v>
      </c>
      <c r="H1528" t="s">
        <v>73</v>
      </c>
      <c r="I1528">
        <v>1</v>
      </c>
      <c r="J1528">
        <v>7517</v>
      </c>
      <c r="K1528">
        <v>7517</v>
      </c>
      <c r="L1528" t="s">
        <v>78</v>
      </c>
      <c r="M1528" t="s">
        <v>82</v>
      </c>
      <c r="N1528" t="s">
        <v>35</v>
      </c>
    </row>
    <row r="1529" spans="1:14" x14ac:dyDescent="0.25">
      <c r="A1529" t="s">
        <v>4603</v>
      </c>
      <c r="B1529" s="1">
        <v>45735</v>
      </c>
      <c r="C1529" t="s">
        <v>4604</v>
      </c>
      <c r="D1529" t="s">
        <v>4605</v>
      </c>
      <c r="E1529" s="14">
        <v>923429627023</v>
      </c>
      <c r="F1529" t="s">
        <v>49</v>
      </c>
      <c r="G1529" t="s">
        <v>18</v>
      </c>
      <c r="H1529" t="s">
        <v>33</v>
      </c>
      <c r="I1529">
        <v>2</v>
      </c>
      <c r="J1529">
        <v>7483</v>
      </c>
      <c r="K1529">
        <v>14966</v>
      </c>
      <c r="L1529" t="s">
        <v>26</v>
      </c>
      <c r="M1529" t="s">
        <v>21</v>
      </c>
      <c r="N1529" t="s">
        <v>35</v>
      </c>
    </row>
    <row r="1530" spans="1:14" x14ac:dyDescent="0.25">
      <c r="A1530" t="s">
        <v>4606</v>
      </c>
      <c r="B1530" s="1">
        <v>45906</v>
      </c>
      <c r="C1530" t="s">
        <v>4607</v>
      </c>
      <c r="D1530" t="s">
        <v>4608</v>
      </c>
      <c r="E1530" s="14">
        <v>923398607688</v>
      </c>
      <c r="F1530" t="s">
        <v>32</v>
      </c>
      <c r="G1530" t="s">
        <v>18</v>
      </c>
      <c r="H1530" t="s">
        <v>73</v>
      </c>
      <c r="I1530">
        <v>1</v>
      </c>
      <c r="J1530">
        <v>13140</v>
      </c>
      <c r="K1530">
        <v>13140</v>
      </c>
      <c r="L1530" t="s">
        <v>26</v>
      </c>
      <c r="M1530" t="s">
        <v>27</v>
      </c>
      <c r="N1530" t="s">
        <v>35</v>
      </c>
    </row>
    <row r="1531" spans="1:14" x14ac:dyDescent="0.25">
      <c r="A1531" t="s">
        <v>4609</v>
      </c>
      <c r="B1531" s="1">
        <v>45989</v>
      </c>
      <c r="C1531" t="s">
        <v>4610</v>
      </c>
      <c r="D1531" t="s">
        <v>4611</v>
      </c>
      <c r="E1531" s="14">
        <v>923271908005</v>
      </c>
      <c r="F1531" t="s">
        <v>17</v>
      </c>
      <c r="G1531" t="s">
        <v>18</v>
      </c>
      <c r="H1531" t="s">
        <v>39</v>
      </c>
      <c r="I1531">
        <v>1</v>
      </c>
      <c r="J1531">
        <v>1590</v>
      </c>
      <c r="K1531">
        <v>1590</v>
      </c>
      <c r="L1531" t="s">
        <v>26</v>
      </c>
      <c r="M1531" t="s">
        <v>82</v>
      </c>
      <c r="N1531" t="s">
        <v>28</v>
      </c>
    </row>
    <row r="1532" spans="1:14" x14ac:dyDescent="0.25">
      <c r="A1532" t="s">
        <v>4612</v>
      </c>
      <c r="B1532" s="1">
        <v>45881</v>
      </c>
      <c r="C1532" t="s">
        <v>4613</v>
      </c>
      <c r="D1532" t="s">
        <v>4614</v>
      </c>
      <c r="E1532" s="14">
        <v>923429954214</v>
      </c>
      <c r="F1532" t="s">
        <v>17</v>
      </c>
      <c r="G1532" t="s">
        <v>18</v>
      </c>
      <c r="H1532" t="s">
        <v>39</v>
      </c>
      <c r="I1532">
        <v>3</v>
      </c>
      <c r="J1532">
        <v>9811</v>
      </c>
      <c r="K1532">
        <v>29433</v>
      </c>
      <c r="L1532" t="s">
        <v>63</v>
      </c>
      <c r="M1532" t="s">
        <v>93</v>
      </c>
      <c r="N1532" t="s">
        <v>22</v>
      </c>
    </row>
    <row r="1533" spans="1:14" x14ac:dyDescent="0.25">
      <c r="A1533" t="s">
        <v>4615</v>
      </c>
      <c r="B1533" s="1">
        <v>45778</v>
      </c>
      <c r="C1533" t="s">
        <v>4616</v>
      </c>
      <c r="D1533" t="s">
        <v>4617</v>
      </c>
      <c r="E1533" s="14">
        <v>923003063900</v>
      </c>
      <c r="F1533" t="s">
        <v>122</v>
      </c>
      <c r="G1533" t="s">
        <v>18</v>
      </c>
      <c r="H1533" t="s">
        <v>39</v>
      </c>
      <c r="I1533">
        <v>5</v>
      </c>
      <c r="J1533">
        <v>5050</v>
      </c>
      <c r="K1533">
        <v>25250</v>
      </c>
      <c r="L1533" t="s">
        <v>63</v>
      </c>
      <c r="M1533" t="s">
        <v>21</v>
      </c>
      <c r="N1533" t="s">
        <v>22</v>
      </c>
    </row>
    <row r="1534" spans="1:14" x14ac:dyDescent="0.25">
      <c r="A1534" t="s">
        <v>4618</v>
      </c>
      <c r="B1534" s="1">
        <v>45822</v>
      </c>
      <c r="C1534" t="s">
        <v>4619</v>
      </c>
      <c r="D1534" t="s">
        <v>4620</v>
      </c>
      <c r="E1534" s="14">
        <v>923327883195</v>
      </c>
      <c r="F1534" t="s">
        <v>67</v>
      </c>
      <c r="G1534" t="s">
        <v>18</v>
      </c>
      <c r="H1534" t="s">
        <v>73</v>
      </c>
      <c r="I1534">
        <v>1</v>
      </c>
      <c r="J1534">
        <v>10868</v>
      </c>
      <c r="K1534">
        <v>10868</v>
      </c>
      <c r="L1534" t="s">
        <v>20</v>
      </c>
      <c r="M1534" t="s">
        <v>45</v>
      </c>
      <c r="N1534" t="s">
        <v>35</v>
      </c>
    </row>
    <row r="1535" spans="1:14" x14ac:dyDescent="0.25">
      <c r="A1535" t="s">
        <v>4621</v>
      </c>
      <c r="B1535" s="1">
        <v>45989</v>
      </c>
      <c r="C1535" t="s">
        <v>4622</v>
      </c>
      <c r="D1535" t="s">
        <v>4623</v>
      </c>
      <c r="E1535" s="14">
        <v>923362192272</v>
      </c>
      <c r="F1535" t="s">
        <v>32</v>
      </c>
      <c r="G1535" t="s">
        <v>18</v>
      </c>
      <c r="H1535" t="s">
        <v>50</v>
      </c>
      <c r="I1535">
        <v>5</v>
      </c>
      <c r="J1535">
        <v>3717</v>
      </c>
      <c r="K1535">
        <v>18585</v>
      </c>
      <c r="L1535" t="s">
        <v>63</v>
      </c>
      <c r="M1535" t="s">
        <v>34</v>
      </c>
      <c r="N1535" t="s">
        <v>35</v>
      </c>
    </row>
    <row r="1536" spans="1:14" x14ac:dyDescent="0.25">
      <c r="A1536" t="s">
        <v>4624</v>
      </c>
      <c r="B1536" s="1">
        <v>45749</v>
      </c>
      <c r="C1536" t="s">
        <v>4625</v>
      </c>
      <c r="D1536" t="s">
        <v>4626</v>
      </c>
      <c r="E1536" s="14">
        <v>923201663091</v>
      </c>
      <c r="F1536" t="s">
        <v>44</v>
      </c>
      <c r="G1536" t="s">
        <v>18</v>
      </c>
      <c r="H1536" t="s">
        <v>50</v>
      </c>
      <c r="I1536">
        <v>5</v>
      </c>
      <c r="J1536">
        <v>13014</v>
      </c>
      <c r="K1536">
        <v>65070</v>
      </c>
      <c r="L1536" t="s">
        <v>26</v>
      </c>
      <c r="M1536" t="s">
        <v>21</v>
      </c>
      <c r="N1536" t="s">
        <v>22</v>
      </c>
    </row>
    <row r="1537" spans="1:14" x14ac:dyDescent="0.25">
      <c r="A1537" t="s">
        <v>4627</v>
      </c>
      <c r="B1537" s="1">
        <v>45876</v>
      </c>
      <c r="C1537" t="s">
        <v>4628</v>
      </c>
      <c r="D1537" t="s">
        <v>4629</v>
      </c>
      <c r="E1537" s="14">
        <v>923443351710</v>
      </c>
      <c r="F1537" t="s">
        <v>92</v>
      </c>
      <c r="G1537" t="s">
        <v>18</v>
      </c>
      <c r="H1537" t="s">
        <v>73</v>
      </c>
      <c r="I1537">
        <v>5</v>
      </c>
      <c r="J1537">
        <v>5009</v>
      </c>
      <c r="K1537">
        <v>25045</v>
      </c>
      <c r="L1537" t="s">
        <v>40</v>
      </c>
      <c r="M1537" t="s">
        <v>21</v>
      </c>
      <c r="N1537" t="s">
        <v>28</v>
      </c>
    </row>
    <row r="1538" spans="1:14" x14ac:dyDescent="0.25">
      <c r="A1538" t="s">
        <v>4630</v>
      </c>
      <c r="B1538" s="1">
        <v>45842</v>
      </c>
      <c r="C1538" t="s">
        <v>4631</v>
      </c>
      <c r="D1538" t="s">
        <v>4632</v>
      </c>
      <c r="E1538" s="14">
        <v>923121101588</v>
      </c>
      <c r="F1538" t="s">
        <v>49</v>
      </c>
      <c r="G1538" t="s">
        <v>18</v>
      </c>
      <c r="H1538" t="s">
        <v>33</v>
      </c>
      <c r="I1538">
        <v>4</v>
      </c>
      <c r="J1538">
        <v>10923</v>
      </c>
      <c r="K1538">
        <v>43692</v>
      </c>
      <c r="L1538" t="s">
        <v>68</v>
      </c>
      <c r="M1538" t="s">
        <v>55</v>
      </c>
      <c r="N1538" t="s">
        <v>35</v>
      </c>
    </row>
    <row r="1539" spans="1:14" x14ac:dyDescent="0.25">
      <c r="A1539" t="s">
        <v>4633</v>
      </c>
      <c r="B1539" s="1">
        <v>46050</v>
      </c>
      <c r="C1539" t="s">
        <v>4634</v>
      </c>
      <c r="D1539" t="s">
        <v>4635</v>
      </c>
      <c r="E1539" s="14">
        <v>923385977982</v>
      </c>
      <c r="F1539" t="s">
        <v>106</v>
      </c>
      <c r="G1539" t="s">
        <v>18</v>
      </c>
      <c r="H1539" t="s">
        <v>59</v>
      </c>
      <c r="I1539">
        <v>4</v>
      </c>
      <c r="J1539">
        <v>7840</v>
      </c>
      <c r="K1539">
        <v>31360</v>
      </c>
      <c r="L1539" t="s">
        <v>20</v>
      </c>
      <c r="M1539" t="s">
        <v>21</v>
      </c>
      <c r="N1539" t="s">
        <v>35</v>
      </c>
    </row>
    <row r="1540" spans="1:14" x14ac:dyDescent="0.25">
      <c r="A1540" t="s">
        <v>4636</v>
      </c>
      <c r="B1540" s="1">
        <v>45935</v>
      </c>
      <c r="C1540" t="s">
        <v>4637</v>
      </c>
      <c r="D1540" t="s">
        <v>4638</v>
      </c>
      <c r="E1540" s="14">
        <v>923379379574</v>
      </c>
      <c r="F1540" t="s">
        <v>122</v>
      </c>
      <c r="G1540" t="s">
        <v>18</v>
      </c>
      <c r="H1540" t="s">
        <v>73</v>
      </c>
      <c r="I1540">
        <v>1</v>
      </c>
      <c r="J1540">
        <v>10013</v>
      </c>
      <c r="K1540">
        <v>10013</v>
      </c>
      <c r="L1540" t="s">
        <v>26</v>
      </c>
      <c r="M1540" t="s">
        <v>55</v>
      </c>
      <c r="N1540" t="s">
        <v>35</v>
      </c>
    </row>
    <row r="1541" spans="1:14" x14ac:dyDescent="0.25">
      <c r="A1541" t="s">
        <v>4639</v>
      </c>
      <c r="B1541" s="1">
        <v>45893</v>
      </c>
      <c r="C1541" t="s">
        <v>4640</v>
      </c>
      <c r="D1541" t="s">
        <v>4641</v>
      </c>
      <c r="E1541" s="14">
        <v>923065351106</v>
      </c>
      <c r="F1541" t="s">
        <v>67</v>
      </c>
      <c r="G1541" t="s">
        <v>18</v>
      </c>
      <c r="H1541" t="s">
        <v>39</v>
      </c>
      <c r="I1541">
        <v>4</v>
      </c>
      <c r="J1541">
        <v>5605</v>
      </c>
      <c r="K1541">
        <v>22420</v>
      </c>
      <c r="L1541" t="s">
        <v>63</v>
      </c>
      <c r="M1541" t="s">
        <v>82</v>
      </c>
      <c r="N1541" t="s">
        <v>35</v>
      </c>
    </row>
    <row r="1542" spans="1:14" x14ac:dyDescent="0.25">
      <c r="A1542" t="s">
        <v>4642</v>
      </c>
      <c r="B1542" s="1">
        <v>45977</v>
      </c>
      <c r="C1542" t="s">
        <v>4643</v>
      </c>
      <c r="D1542" t="s">
        <v>4644</v>
      </c>
      <c r="E1542" s="14">
        <v>923224792173</v>
      </c>
      <c r="F1542" t="s">
        <v>122</v>
      </c>
      <c r="G1542" t="s">
        <v>18</v>
      </c>
      <c r="H1542" t="s">
        <v>50</v>
      </c>
      <c r="I1542">
        <v>4</v>
      </c>
      <c r="J1542">
        <v>1166</v>
      </c>
      <c r="K1542">
        <v>4664</v>
      </c>
      <c r="L1542" t="s">
        <v>20</v>
      </c>
      <c r="M1542" t="s">
        <v>45</v>
      </c>
      <c r="N1542" t="s">
        <v>35</v>
      </c>
    </row>
    <row r="1543" spans="1:14" x14ac:dyDescent="0.25">
      <c r="A1543" t="s">
        <v>4645</v>
      </c>
      <c r="B1543" s="1">
        <v>45956</v>
      </c>
      <c r="C1543" t="s">
        <v>4646</v>
      </c>
      <c r="D1543" t="s">
        <v>4647</v>
      </c>
      <c r="E1543" s="14">
        <v>923439738916</v>
      </c>
      <c r="F1543" t="s">
        <v>54</v>
      </c>
      <c r="G1543" t="s">
        <v>18</v>
      </c>
      <c r="H1543" t="s">
        <v>73</v>
      </c>
      <c r="I1543">
        <v>2</v>
      </c>
      <c r="J1543">
        <v>5763</v>
      </c>
      <c r="K1543">
        <v>11526</v>
      </c>
      <c r="L1543" t="s">
        <v>40</v>
      </c>
      <c r="M1543" t="s">
        <v>21</v>
      </c>
      <c r="N1543" t="s">
        <v>69</v>
      </c>
    </row>
    <row r="1544" spans="1:14" x14ac:dyDescent="0.25">
      <c r="A1544" t="s">
        <v>4648</v>
      </c>
      <c r="B1544" s="1">
        <v>45714</v>
      </c>
      <c r="C1544" t="s">
        <v>4649</v>
      </c>
      <c r="D1544" t="s">
        <v>4650</v>
      </c>
      <c r="E1544" s="14">
        <v>923399806935</v>
      </c>
      <c r="F1544" t="s">
        <v>32</v>
      </c>
      <c r="G1544" t="s">
        <v>18</v>
      </c>
      <c r="H1544" t="s">
        <v>73</v>
      </c>
      <c r="I1544">
        <v>5</v>
      </c>
      <c r="J1544">
        <v>8250</v>
      </c>
      <c r="K1544">
        <v>41250</v>
      </c>
      <c r="L1544" t="s">
        <v>68</v>
      </c>
      <c r="M1544" t="s">
        <v>45</v>
      </c>
      <c r="N1544" t="s">
        <v>69</v>
      </c>
    </row>
    <row r="1545" spans="1:14" x14ac:dyDescent="0.25">
      <c r="A1545" t="s">
        <v>4651</v>
      </c>
      <c r="B1545" s="1">
        <v>45920</v>
      </c>
      <c r="C1545" t="s">
        <v>4652</v>
      </c>
      <c r="D1545" t="s">
        <v>4653</v>
      </c>
      <c r="E1545" s="14">
        <v>923247885768</v>
      </c>
      <c r="F1545" t="s">
        <v>49</v>
      </c>
      <c r="G1545" t="s">
        <v>18</v>
      </c>
      <c r="H1545" t="s">
        <v>59</v>
      </c>
      <c r="I1545">
        <v>2</v>
      </c>
      <c r="J1545">
        <v>3675</v>
      </c>
      <c r="K1545">
        <v>7350</v>
      </c>
      <c r="L1545" t="s">
        <v>20</v>
      </c>
      <c r="M1545" t="s">
        <v>93</v>
      </c>
      <c r="N1545" t="s">
        <v>28</v>
      </c>
    </row>
    <row r="1546" spans="1:14" x14ac:dyDescent="0.25">
      <c r="A1546" t="s">
        <v>4654</v>
      </c>
      <c r="B1546" s="1">
        <v>45787</v>
      </c>
      <c r="C1546" t="s">
        <v>4655</v>
      </c>
      <c r="D1546" t="s">
        <v>4656</v>
      </c>
      <c r="E1546" s="14">
        <v>923426426926</v>
      </c>
      <c r="F1546" t="s">
        <v>67</v>
      </c>
      <c r="G1546" t="s">
        <v>18</v>
      </c>
      <c r="H1546" t="s">
        <v>50</v>
      </c>
      <c r="I1546">
        <v>1</v>
      </c>
      <c r="J1546">
        <v>7442</v>
      </c>
      <c r="K1546">
        <v>7442</v>
      </c>
      <c r="L1546" t="s">
        <v>20</v>
      </c>
      <c r="M1546" t="s">
        <v>34</v>
      </c>
      <c r="N1546" t="s">
        <v>35</v>
      </c>
    </row>
    <row r="1547" spans="1:14" x14ac:dyDescent="0.25">
      <c r="A1547" t="s">
        <v>4657</v>
      </c>
      <c r="B1547" s="1">
        <v>45838</v>
      </c>
      <c r="C1547" t="s">
        <v>4658</v>
      </c>
      <c r="D1547" t="s">
        <v>4659</v>
      </c>
      <c r="E1547" s="14">
        <v>923440962826</v>
      </c>
      <c r="F1547" t="s">
        <v>77</v>
      </c>
      <c r="G1547" t="s">
        <v>18</v>
      </c>
      <c r="H1547" t="s">
        <v>50</v>
      </c>
      <c r="I1547">
        <v>5</v>
      </c>
      <c r="J1547">
        <v>1353</v>
      </c>
      <c r="K1547">
        <v>6765</v>
      </c>
      <c r="L1547" t="s">
        <v>68</v>
      </c>
      <c r="M1547" t="s">
        <v>21</v>
      </c>
      <c r="N1547" t="s">
        <v>22</v>
      </c>
    </row>
    <row r="1548" spans="1:14" x14ac:dyDescent="0.25">
      <c r="A1548" t="s">
        <v>4660</v>
      </c>
      <c r="B1548" s="1">
        <v>45715</v>
      </c>
      <c r="C1548" t="s">
        <v>4661</v>
      </c>
      <c r="D1548" t="s">
        <v>4662</v>
      </c>
      <c r="E1548" s="14">
        <v>923196116867</v>
      </c>
      <c r="F1548" t="s">
        <v>54</v>
      </c>
      <c r="G1548" t="s">
        <v>18</v>
      </c>
      <c r="H1548" t="s">
        <v>39</v>
      </c>
      <c r="I1548">
        <v>1</v>
      </c>
      <c r="J1548">
        <v>11845</v>
      </c>
      <c r="K1548">
        <v>11845</v>
      </c>
      <c r="L1548" t="s">
        <v>20</v>
      </c>
      <c r="M1548" t="s">
        <v>82</v>
      </c>
      <c r="N1548" t="s">
        <v>22</v>
      </c>
    </row>
    <row r="1549" spans="1:14" x14ac:dyDescent="0.25">
      <c r="A1549" t="s">
        <v>4663</v>
      </c>
      <c r="B1549" s="1">
        <v>45882</v>
      </c>
      <c r="C1549" t="s">
        <v>4664</v>
      </c>
      <c r="D1549" t="s">
        <v>4665</v>
      </c>
      <c r="E1549" s="14">
        <v>923037404155</v>
      </c>
      <c r="F1549" t="s">
        <v>32</v>
      </c>
      <c r="G1549" t="s">
        <v>18</v>
      </c>
      <c r="H1549" t="s">
        <v>50</v>
      </c>
      <c r="I1549">
        <v>5</v>
      </c>
      <c r="J1549">
        <v>2518</v>
      </c>
      <c r="K1549">
        <v>12590</v>
      </c>
      <c r="L1549" t="s">
        <v>26</v>
      </c>
      <c r="M1549" t="s">
        <v>21</v>
      </c>
      <c r="N1549" t="s">
        <v>69</v>
      </c>
    </row>
    <row r="1550" spans="1:14" x14ac:dyDescent="0.25">
      <c r="A1550" t="s">
        <v>4666</v>
      </c>
      <c r="B1550" s="1">
        <v>45876</v>
      </c>
      <c r="C1550" t="s">
        <v>4667</v>
      </c>
      <c r="D1550" t="s">
        <v>4668</v>
      </c>
      <c r="E1550" s="14">
        <v>923337333510</v>
      </c>
      <c r="F1550" t="s">
        <v>106</v>
      </c>
      <c r="G1550" t="s">
        <v>18</v>
      </c>
      <c r="H1550" t="s">
        <v>39</v>
      </c>
      <c r="I1550">
        <v>5</v>
      </c>
      <c r="J1550">
        <v>5722</v>
      </c>
      <c r="K1550">
        <v>28610</v>
      </c>
      <c r="L1550" t="s">
        <v>63</v>
      </c>
      <c r="M1550" t="s">
        <v>21</v>
      </c>
      <c r="N1550" t="s">
        <v>28</v>
      </c>
    </row>
    <row r="1551" spans="1:14" x14ac:dyDescent="0.25">
      <c r="A1551" t="s">
        <v>4669</v>
      </c>
      <c r="B1551" s="1">
        <v>45806</v>
      </c>
      <c r="C1551" t="s">
        <v>4670</v>
      </c>
      <c r="D1551" t="s">
        <v>4671</v>
      </c>
      <c r="E1551" s="14">
        <v>923433312462</v>
      </c>
      <c r="F1551" t="s">
        <v>122</v>
      </c>
      <c r="G1551" t="s">
        <v>18</v>
      </c>
      <c r="H1551" t="s">
        <v>50</v>
      </c>
      <c r="I1551">
        <v>5</v>
      </c>
      <c r="J1551">
        <v>3497</v>
      </c>
      <c r="K1551">
        <v>17485</v>
      </c>
      <c r="L1551" t="s">
        <v>26</v>
      </c>
      <c r="M1551" t="s">
        <v>21</v>
      </c>
      <c r="N1551" t="s">
        <v>35</v>
      </c>
    </row>
    <row r="1552" spans="1:14" x14ac:dyDescent="0.25">
      <c r="A1552" t="s">
        <v>4672</v>
      </c>
      <c r="B1552" s="1">
        <v>45978</v>
      </c>
      <c r="C1552" t="s">
        <v>4673</v>
      </c>
      <c r="D1552" t="s">
        <v>4674</v>
      </c>
      <c r="E1552" s="14">
        <v>923282676818</v>
      </c>
      <c r="F1552" t="s">
        <v>92</v>
      </c>
      <c r="G1552" t="s">
        <v>18</v>
      </c>
      <c r="H1552" t="s">
        <v>39</v>
      </c>
      <c r="I1552">
        <v>1</v>
      </c>
      <c r="J1552">
        <v>5507</v>
      </c>
      <c r="K1552">
        <v>5507</v>
      </c>
      <c r="L1552" t="s">
        <v>63</v>
      </c>
      <c r="M1552" t="s">
        <v>21</v>
      </c>
      <c r="N1552" t="s">
        <v>69</v>
      </c>
    </row>
    <row r="1553" spans="1:14" x14ac:dyDescent="0.25">
      <c r="A1553" t="s">
        <v>4675</v>
      </c>
      <c r="B1553" s="1">
        <v>45713</v>
      </c>
      <c r="C1553" t="s">
        <v>4676</v>
      </c>
      <c r="D1553" t="s">
        <v>4677</v>
      </c>
      <c r="E1553" s="14">
        <v>923034606889</v>
      </c>
      <c r="F1553" t="s">
        <v>32</v>
      </c>
      <c r="G1553" t="s">
        <v>18</v>
      </c>
      <c r="H1553" t="s">
        <v>59</v>
      </c>
      <c r="I1553">
        <v>1</v>
      </c>
      <c r="J1553">
        <v>14727</v>
      </c>
      <c r="K1553">
        <v>14727</v>
      </c>
      <c r="L1553" t="s">
        <v>78</v>
      </c>
      <c r="M1553" t="s">
        <v>135</v>
      </c>
      <c r="N1553" t="s">
        <v>22</v>
      </c>
    </row>
    <row r="1554" spans="1:14" x14ac:dyDescent="0.25">
      <c r="A1554" t="s">
        <v>4678</v>
      </c>
      <c r="B1554" s="1">
        <v>45891</v>
      </c>
      <c r="C1554" t="s">
        <v>4679</v>
      </c>
      <c r="D1554" t="s">
        <v>4680</v>
      </c>
      <c r="E1554" s="14">
        <v>923098117323</v>
      </c>
      <c r="F1554" t="s">
        <v>106</v>
      </c>
      <c r="G1554" t="s">
        <v>18</v>
      </c>
      <c r="H1554" t="s">
        <v>33</v>
      </c>
      <c r="I1554">
        <v>1</v>
      </c>
      <c r="J1554">
        <v>1031</v>
      </c>
      <c r="K1554">
        <v>1031</v>
      </c>
      <c r="L1554" t="s">
        <v>63</v>
      </c>
      <c r="M1554" t="s">
        <v>27</v>
      </c>
      <c r="N1554" t="s">
        <v>22</v>
      </c>
    </row>
    <row r="1555" spans="1:14" x14ac:dyDescent="0.25">
      <c r="A1555" t="s">
        <v>4681</v>
      </c>
      <c r="B1555" s="1">
        <v>45919</v>
      </c>
      <c r="C1555" t="s">
        <v>4682</v>
      </c>
      <c r="D1555" t="s">
        <v>4683</v>
      </c>
      <c r="E1555" s="14">
        <v>923434951870</v>
      </c>
      <c r="F1555" t="s">
        <v>106</v>
      </c>
      <c r="G1555" t="s">
        <v>18</v>
      </c>
      <c r="H1555" t="s">
        <v>73</v>
      </c>
      <c r="I1555">
        <v>4</v>
      </c>
      <c r="J1555">
        <v>4277</v>
      </c>
      <c r="K1555">
        <v>17108</v>
      </c>
      <c r="L1555" t="s">
        <v>63</v>
      </c>
      <c r="M1555" t="s">
        <v>93</v>
      </c>
      <c r="N1555" t="s">
        <v>28</v>
      </c>
    </row>
    <row r="1556" spans="1:14" x14ac:dyDescent="0.25">
      <c r="A1556" t="s">
        <v>4684</v>
      </c>
      <c r="B1556" s="1">
        <v>45803</v>
      </c>
      <c r="C1556" t="s">
        <v>4685</v>
      </c>
      <c r="D1556" t="s">
        <v>4686</v>
      </c>
      <c r="E1556" s="14">
        <v>923141260500</v>
      </c>
      <c r="F1556" t="s">
        <v>44</v>
      </c>
      <c r="G1556" t="s">
        <v>18</v>
      </c>
      <c r="H1556" t="s">
        <v>33</v>
      </c>
      <c r="I1556">
        <v>2</v>
      </c>
      <c r="J1556">
        <v>3227</v>
      </c>
      <c r="K1556">
        <v>6454</v>
      </c>
      <c r="L1556" t="s">
        <v>78</v>
      </c>
      <c r="M1556" t="s">
        <v>55</v>
      </c>
      <c r="N1556" t="s">
        <v>35</v>
      </c>
    </row>
    <row r="1557" spans="1:14" x14ac:dyDescent="0.25">
      <c r="A1557" t="s">
        <v>4687</v>
      </c>
      <c r="B1557" s="1">
        <v>45927</v>
      </c>
      <c r="C1557" t="s">
        <v>4688</v>
      </c>
      <c r="D1557" t="s">
        <v>4689</v>
      </c>
      <c r="E1557" s="14">
        <v>923234595608</v>
      </c>
      <c r="F1557" t="s">
        <v>122</v>
      </c>
      <c r="G1557" t="s">
        <v>18</v>
      </c>
      <c r="H1557" t="s">
        <v>39</v>
      </c>
      <c r="I1557">
        <v>4</v>
      </c>
      <c r="J1557">
        <v>9090</v>
      </c>
      <c r="K1557">
        <v>36360</v>
      </c>
      <c r="L1557" t="s">
        <v>40</v>
      </c>
      <c r="M1557" t="s">
        <v>82</v>
      </c>
      <c r="N1557" t="s">
        <v>69</v>
      </c>
    </row>
    <row r="1558" spans="1:14" x14ac:dyDescent="0.25">
      <c r="A1558" t="s">
        <v>4690</v>
      </c>
      <c r="B1558" s="1">
        <v>46012</v>
      </c>
      <c r="C1558" t="s">
        <v>4691</v>
      </c>
      <c r="D1558" t="s">
        <v>4692</v>
      </c>
      <c r="E1558" s="14">
        <v>923372706803</v>
      </c>
      <c r="F1558" t="s">
        <v>49</v>
      </c>
      <c r="G1558" t="s">
        <v>18</v>
      </c>
      <c r="H1558" t="s">
        <v>33</v>
      </c>
      <c r="I1558">
        <v>5</v>
      </c>
      <c r="J1558">
        <v>4580</v>
      </c>
      <c r="K1558">
        <v>22900</v>
      </c>
      <c r="L1558" t="s">
        <v>68</v>
      </c>
      <c r="M1558" t="s">
        <v>34</v>
      </c>
      <c r="N1558" t="s">
        <v>35</v>
      </c>
    </row>
    <row r="1559" spans="1:14" x14ac:dyDescent="0.25">
      <c r="A1559" t="s">
        <v>4693</v>
      </c>
      <c r="B1559" s="1">
        <v>45725</v>
      </c>
      <c r="C1559" t="s">
        <v>4694</v>
      </c>
      <c r="D1559" t="s">
        <v>4695</v>
      </c>
      <c r="E1559" s="14">
        <v>923464927850</v>
      </c>
      <c r="F1559" t="s">
        <v>106</v>
      </c>
      <c r="G1559" t="s">
        <v>18</v>
      </c>
      <c r="H1559" t="s">
        <v>59</v>
      </c>
      <c r="I1559">
        <v>3</v>
      </c>
      <c r="J1559">
        <v>13688</v>
      </c>
      <c r="K1559">
        <v>41064</v>
      </c>
      <c r="L1559" t="s">
        <v>20</v>
      </c>
      <c r="M1559" t="s">
        <v>21</v>
      </c>
      <c r="N1559" t="s">
        <v>35</v>
      </c>
    </row>
    <row r="1560" spans="1:14" x14ac:dyDescent="0.25">
      <c r="A1560" t="s">
        <v>4696</v>
      </c>
      <c r="B1560" s="1">
        <v>45803</v>
      </c>
      <c r="C1560" t="s">
        <v>4697</v>
      </c>
      <c r="D1560" t="s">
        <v>4698</v>
      </c>
      <c r="E1560" s="14">
        <v>923264165605</v>
      </c>
      <c r="F1560" t="s">
        <v>54</v>
      </c>
      <c r="G1560" t="s">
        <v>18</v>
      </c>
      <c r="H1560" t="s">
        <v>39</v>
      </c>
      <c r="I1560">
        <v>1</v>
      </c>
      <c r="J1560">
        <v>10207</v>
      </c>
      <c r="K1560">
        <v>10207</v>
      </c>
      <c r="L1560" t="s">
        <v>78</v>
      </c>
      <c r="M1560" t="s">
        <v>21</v>
      </c>
      <c r="N1560" t="s">
        <v>22</v>
      </c>
    </row>
    <row r="1561" spans="1:14" x14ac:dyDescent="0.25">
      <c r="A1561" t="s">
        <v>4699</v>
      </c>
      <c r="B1561" s="1">
        <v>45829</v>
      </c>
      <c r="C1561" t="s">
        <v>4700</v>
      </c>
      <c r="D1561" t="s">
        <v>4701</v>
      </c>
      <c r="E1561" s="14">
        <v>923469888468</v>
      </c>
      <c r="F1561" t="s">
        <v>17</v>
      </c>
      <c r="G1561" t="s">
        <v>18</v>
      </c>
      <c r="H1561" t="s">
        <v>59</v>
      </c>
      <c r="I1561">
        <v>2</v>
      </c>
      <c r="J1561">
        <v>14971</v>
      </c>
      <c r="K1561">
        <v>29942</v>
      </c>
      <c r="L1561" t="s">
        <v>78</v>
      </c>
      <c r="M1561" t="s">
        <v>27</v>
      </c>
      <c r="N1561" t="s">
        <v>28</v>
      </c>
    </row>
    <row r="1562" spans="1:14" x14ac:dyDescent="0.25">
      <c r="A1562" t="s">
        <v>4702</v>
      </c>
      <c r="B1562" s="1">
        <v>45763</v>
      </c>
      <c r="C1562" t="s">
        <v>4703</v>
      </c>
      <c r="D1562" t="s">
        <v>4704</v>
      </c>
      <c r="E1562" s="14">
        <v>923121656610</v>
      </c>
      <c r="F1562" t="s">
        <v>32</v>
      </c>
      <c r="G1562" t="s">
        <v>18</v>
      </c>
      <c r="H1562" t="s">
        <v>19</v>
      </c>
      <c r="I1562">
        <v>4</v>
      </c>
      <c r="J1562">
        <v>1530</v>
      </c>
      <c r="K1562">
        <v>6120</v>
      </c>
      <c r="L1562" t="s">
        <v>40</v>
      </c>
      <c r="M1562" t="s">
        <v>27</v>
      </c>
      <c r="N1562" t="s">
        <v>22</v>
      </c>
    </row>
    <row r="1563" spans="1:14" x14ac:dyDescent="0.25">
      <c r="A1563" t="s">
        <v>4705</v>
      </c>
      <c r="B1563" s="1">
        <v>45858</v>
      </c>
      <c r="C1563" t="s">
        <v>4706</v>
      </c>
      <c r="D1563" t="s">
        <v>4707</v>
      </c>
      <c r="E1563" s="14">
        <v>923330713062</v>
      </c>
      <c r="F1563" t="s">
        <v>32</v>
      </c>
      <c r="G1563" t="s">
        <v>18</v>
      </c>
      <c r="H1563" t="s">
        <v>59</v>
      </c>
      <c r="I1563">
        <v>4</v>
      </c>
      <c r="J1563">
        <v>3908</v>
      </c>
      <c r="K1563">
        <v>15632</v>
      </c>
      <c r="L1563" t="s">
        <v>26</v>
      </c>
      <c r="M1563" t="s">
        <v>34</v>
      </c>
      <c r="N1563" t="s">
        <v>22</v>
      </c>
    </row>
    <row r="1564" spans="1:14" x14ac:dyDescent="0.25">
      <c r="A1564" t="s">
        <v>4708</v>
      </c>
      <c r="B1564" s="1">
        <v>46032</v>
      </c>
      <c r="C1564" t="s">
        <v>4709</v>
      </c>
      <c r="D1564" t="s">
        <v>4710</v>
      </c>
      <c r="E1564" s="14">
        <v>923313306778</v>
      </c>
      <c r="F1564" t="s">
        <v>32</v>
      </c>
      <c r="G1564" t="s">
        <v>18</v>
      </c>
      <c r="H1564" t="s">
        <v>19</v>
      </c>
      <c r="I1564">
        <v>5</v>
      </c>
      <c r="J1564">
        <v>9428</v>
      </c>
      <c r="K1564">
        <v>47140</v>
      </c>
      <c r="L1564" t="s">
        <v>78</v>
      </c>
      <c r="M1564" t="s">
        <v>135</v>
      </c>
      <c r="N1564" t="s">
        <v>28</v>
      </c>
    </row>
    <row r="1565" spans="1:14" x14ac:dyDescent="0.25">
      <c r="A1565" t="s">
        <v>4711</v>
      </c>
      <c r="B1565" s="1">
        <v>45923</v>
      </c>
      <c r="C1565" t="s">
        <v>4712</v>
      </c>
      <c r="D1565" t="s">
        <v>4713</v>
      </c>
      <c r="E1565" s="14">
        <v>923435269491</v>
      </c>
      <c r="F1565" t="s">
        <v>92</v>
      </c>
      <c r="G1565" t="s">
        <v>18</v>
      </c>
      <c r="H1565" t="s">
        <v>33</v>
      </c>
      <c r="I1565">
        <v>4</v>
      </c>
      <c r="J1565">
        <v>3393</v>
      </c>
      <c r="K1565">
        <v>13572</v>
      </c>
      <c r="L1565" t="s">
        <v>26</v>
      </c>
      <c r="M1565" t="s">
        <v>93</v>
      </c>
      <c r="N1565" t="s">
        <v>69</v>
      </c>
    </row>
    <row r="1566" spans="1:14" x14ac:dyDescent="0.25">
      <c r="A1566" t="s">
        <v>4714</v>
      </c>
      <c r="B1566" s="1">
        <v>45790</v>
      </c>
      <c r="C1566" t="s">
        <v>4715</v>
      </c>
      <c r="D1566" t="s">
        <v>4716</v>
      </c>
      <c r="E1566" s="14">
        <v>923241800927</v>
      </c>
      <c r="F1566" t="s">
        <v>106</v>
      </c>
      <c r="G1566" t="s">
        <v>18</v>
      </c>
      <c r="H1566" t="s">
        <v>39</v>
      </c>
      <c r="I1566">
        <v>1</v>
      </c>
      <c r="J1566">
        <v>11215</v>
      </c>
      <c r="K1566">
        <v>11215</v>
      </c>
      <c r="L1566" t="s">
        <v>78</v>
      </c>
      <c r="M1566" t="s">
        <v>135</v>
      </c>
      <c r="N1566" t="s">
        <v>69</v>
      </c>
    </row>
    <row r="1567" spans="1:14" x14ac:dyDescent="0.25">
      <c r="A1567" t="s">
        <v>4717</v>
      </c>
      <c r="B1567" s="1">
        <v>45730</v>
      </c>
      <c r="C1567" t="s">
        <v>4718</v>
      </c>
      <c r="D1567" t="s">
        <v>4719</v>
      </c>
      <c r="E1567" s="14">
        <v>923006065917</v>
      </c>
      <c r="F1567" t="s">
        <v>54</v>
      </c>
      <c r="G1567" t="s">
        <v>18</v>
      </c>
      <c r="H1567" t="s">
        <v>73</v>
      </c>
      <c r="I1567">
        <v>3</v>
      </c>
      <c r="J1567">
        <v>14225</v>
      </c>
      <c r="K1567">
        <v>42675</v>
      </c>
      <c r="L1567" t="s">
        <v>68</v>
      </c>
      <c r="M1567" t="s">
        <v>55</v>
      </c>
      <c r="N1567" t="s">
        <v>35</v>
      </c>
    </row>
    <row r="1568" spans="1:14" x14ac:dyDescent="0.25">
      <c r="A1568" t="s">
        <v>4720</v>
      </c>
      <c r="B1568" s="1">
        <v>45892</v>
      </c>
      <c r="C1568" t="s">
        <v>4721</v>
      </c>
      <c r="D1568" t="s">
        <v>4722</v>
      </c>
      <c r="E1568" s="14">
        <v>923446459827</v>
      </c>
      <c r="F1568" t="s">
        <v>106</v>
      </c>
      <c r="G1568" t="s">
        <v>18</v>
      </c>
      <c r="H1568" t="s">
        <v>19</v>
      </c>
      <c r="I1568">
        <v>5</v>
      </c>
      <c r="J1568">
        <v>2780</v>
      </c>
      <c r="K1568">
        <v>13900</v>
      </c>
      <c r="L1568" t="s">
        <v>40</v>
      </c>
      <c r="M1568" t="s">
        <v>34</v>
      </c>
      <c r="N1568" t="s">
        <v>22</v>
      </c>
    </row>
    <row r="1569" spans="1:14" x14ac:dyDescent="0.25">
      <c r="A1569" t="s">
        <v>4723</v>
      </c>
      <c r="B1569" s="1">
        <v>45976</v>
      </c>
      <c r="C1569" t="s">
        <v>4724</v>
      </c>
      <c r="D1569" t="s">
        <v>4725</v>
      </c>
      <c r="E1569" s="14">
        <v>923282002446</v>
      </c>
      <c r="F1569" t="s">
        <v>92</v>
      </c>
      <c r="G1569" t="s">
        <v>18</v>
      </c>
      <c r="H1569" t="s">
        <v>33</v>
      </c>
      <c r="I1569">
        <v>2</v>
      </c>
      <c r="J1569">
        <v>6978</v>
      </c>
      <c r="K1569">
        <v>13956</v>
      </c>
      <c r="L1569" t="s">
        <v>26</v>
      </c>
      <c r="M1569" t="s">
        <v>34</v>
      </c>
      <c r="N1569" t="s">
        <v>35</v>
      </c>
    </row>
    <row r="1570" spans="1:14" x14ac:dyDescent="0.25">
      <c r="A1570" t="s">
        <v>4726</v>
      </c>
      <c r="B1570" s="1">
        <v>45861</v>
      </c>
      <c r="C1570" t="s">
        <v>4727</v>
      </c>
      <c r="D1570" t="s">
        <v>4728</v>
      </c>
      <c r="E1570" s="14">
        <v>923188685024</v>
      </c>
      <c r="F1570" t="s">
        <v>17</v>
      </c>
      <c r="G1570" t="s">
        <v>18</v>
      </c>
      <c r="H1570" t="s">
        <v>59</v>
      </c>
      <c r="I1570">
        <v>3</v>
      </c>
      <c r="J1570">
        <v>2104</v>
      </c>
      <c r="K1570">
        <v>6312</v>
      </c>
      <c r="L1570" t="s">
        <v>68</v>
      </c>
      <c r="M1570" t="s">
        <v>34</v>
      </c>
      <c r="N1570" t="s">
        <v>28</v>
      </c>
    </row>
    <row r="1571" spans="1:14" x14ac:dyDescent="0.25">
      <c r="A1571" t="s">
        <v>4729</v>
      </c>
      <c r="B1571" s="1">
        <v>45908</v>
      </c>
      <c r="C1571" t="s">
        <v>4730</v>
      </c>
      <c r="D1571" t="s">
        <v>4731</v>
      </c>
      <c r="E1571" s="14">
        <v>923159184889</v>
      </c>
      <c r="F1571" t="s">
        <v>122</v>
      </c>
      <c r="G1571" t="s">
        <v>18</v>
      </c>
      <c r="H1571" t="s">
        <v>73</v>
      </c>
      <c r="I1571">
        <v>2</v>
      </c>
      <c r="J1571">
        <v>2328</v>
      </c>
      <c r="K1571">
        <v>4656</v>
      </c>
      <c r="L1571" t="s">
        <v>68</v>
      </c>
      <c r="M1571" t="s">
        <v>135</v>
      </c>
      <c r="N1571" t="s">
        <v>69</v>
      </c>
    </row>
    <row r="1572" spans="1:14" x14ac:dyDescent="0.25">
      <c r="A1572" t="s">
        <v>4732</v>
      </c>
      <c r="B1572" s="1">
        <v>45869</v>
      </c>
      <c r="C1572" t="s">
        <v>4733</v>
      </c>
      <c r="D1572" t="s">
        <v>4734</v>
      </c>
      <c r="E1572" s="14">
        <v>923062500429</v>
      </c>
      <c r="F1572" t="s">
        <v>49</v>
      </c>
      <c r="G1572" t="s">
        <v>18</v>
      </c>
      <c r="H1572" t="s">
        <v>33</v>
      </c>
      <c r="I1572">
        <v>5</v>
      </c>
      <c r="J1572">
        <v>9166</v>
      </c>
      <c r="K1572">
        <v>45830</v>
      </c>
      <c r="L1572" t="s">
        <v>40</v>
      </c>
      <c r="M1572" t="s">
        <v>55</v>
      </c>
      <c r="N1572" t="s">
        <v>28</v>
      </c>
    </row>
    <row r="1573" spans="1:14" x14ac:dyDescent="0.25">
      <c r="A1573" t="s">
        <v>4735</v>
      </c>
      <c r="B1573" s="1">
        <v>45884</v>
      </c>
      <c r="C1573" t="s">
        <v>4736</v>
      </c>
      <c r="D1573" t="s">
        <v>4737</v>
      </c>
      <c r="E1573" s="14">
        <v>923301303700</v>
      </c>
      <c r="F1573" t="s">
        <v>32</v>
      </c>
      <c r="G1573" t="s">
        <v>18</v>
      </c>
      <c r="H1573" t="s">
        <v>33</v>
      </c>
      <c r="I1573">
        <v>5</v>
      </c>
      <c r="J1573">
        <v>8161</v>
      </c>
      <c r="K1573">
        <v>40805</v>
      </c>
      <c r="L1573" t="s">
        <v>78</v>
      </c>
      <c r="M1573" t="s">
        <v>34</v>
      </c>
      <c r="N1573" t="s">
        <v>69</v>
      </c>
    </row>
    <row r="1574" spans="1:14" x14ac:dyDescent="0.25">
      <c r="A1574" t="s">
        <v>4738</v>
      </c>
      <c r="B1574" s="1">
        <v>45847</v>
      </c>
      <c r="C1574" t="s">
        <v>4739</v>
      </c>
      <c r="D1574" t="s">
        <v>4740</v>
      </c>
      <c r="E1574" s="14">
        <v>923326471376</v>
      </c>
      <c r="F1574" t="s">
        <v>122</v>
      </c>
      <c r="G1574" t="s">
        <v>18</v>
      </c>
      <c r="H1574" t="s">
        <v>73</v>
      </c>
      <c r="I1574">
        <v>1</v>
      </c>
      <c r="J1574">
        <v>14735</v>
      </c>
      <c r="K1574">
        <v>14735</v>
      </c>
      <c r="L1574" t="s">
        <v>40</v>
      </c>
      <c r="M1574" t="s">
        <v>93</v>
      </c>
      <c r="N1574" t="s">
        <v>69</v>
      </c>
    </row>
    <row r="1575" spans="1:14" x14ac:dyDescent="0.25">
      <c r="A1575" t="s">
        <v>4741</v>
      </c>
      <c r="B1575" s="1">
        <v>45849</v>
      </c>
      <c r="C1575" t="s">
        <v>4742</v>
      </c>
      <c r="D1575" t="s">
        <v>4743</v>
      </c>
      <c r="E1575" s="14">
        <v>923064612547</v>
      </c>
      <c r="F1575" t="s">
        <v>122</v>
      </c>
      <c r="G1575" t="s">
        <v>18</v>
      </c>
      <c r="H1575" t="s">
        <v>19</v>
      </c>
      <c r="I1575">
        <v>2</v>
      </c>
      <c r="J1575">
        <v>2793</v>
      </c>
      <c r="K1575">
        <v>5586</v>
      </c>
      <c r="L1575" t="s">
        <v>63</v>
      </c>
      <c r="M1575" t="s">
        <v>45</v>
      </c>
      <c r="N1575" t="s">
        <v>35</v>
      </c>
    </row>
    <row r="1576" spans="1:14" x14ac:dyDescent="0.25">
      <c r="A1576" t="s">
        <v>4744</v>
      </c>
      <c r="B1576" s="1">
        <v>45860</v>
      </c>
      <c r="C1576" t="s">
        <v>4745</v>
      </c>
      <c r="D1576" t="s">
        <v>4746</v>
      </c>
      <c r="E1576" s="14">
        <v>923035678402</v>
      </c>
      <c r="F1576" t="s">
        <v>17</v>
      </c>
      <c r="G1576" t="s">
        <v>18</v>
      </c>
      <c r="H1576" t="s">
        <v>59</v>
      </c>
      <c r="I1576">
        <v>5</v>
      </c>
      <c r="J1576">
        <v>7171</v>
      </c>
      <c r="K1576">
        <v>35855</v>
      </c>
      <c r="L1576" t="s">
        <v>20</v>
      </c>
      <c r="M1576" t="s">
        <v>82</v>
      </c>
      <c r="N1576" t="s">
        <v>22</v>
      </c>
    </row>
    <row r="1577" spans="1:14" x14ac:dyDescent="0.25">
      <c r="A1577" t="s">
        <v>4747</v>
      </c>
      <c r="B1577" s="1">
        <v>45944</v>
      </c>
      <c r="C1577" t="s">
        <v>4748</v>
      </c>
      <c r="D1577" t="s">
        <v>4749</v>
      </c>
      <c r="E1577" s="14">
        <v>923389336676</v>
      </c>
      <c r="F1577" t="s">
        <v>17</v>
      </c>
      <c r="G1577" t="s">
        <v>18</v>
      </c>
      <c r="H1577" t="s">
        <v>73</v>
      </c>
      <c r="I1577">
        <v>3</v>
      </c>
      <c r="J1577">
        <v>6421</v>
      </c>
      <c r="K1577">
        <v>19263</v>
      </c>
      <c r="L1577" t="s">
        <v>40</v>
      </c>
      <c r="M1577" t="s">
        <v>82</v>
      </c>
      <c r="N1577" t="s">
        <v>35</v>
      </c>
    </row>
    <row r="1578" spans="1:14" x14ac:dyDescent="0.25">
      <c r="A1578" t="s">
        <v>4750</v>
      </c>
      <c r="B1578" s="1">
        <v>46060</v>
      </c>
      <c r="C1578" t="s">
        <v>4751</v>
      </c>
      <c r="D1578" t="s">
        <v>4752</v>
      </c>
      <c r="E1578" s="14">
        <v>923452106063</v>
      </c>
      <c r="F1578" t="s">
        <v>122</v>
      </c>
      <c r="G1578" t="s">
        <v>18</v>
      </c>
      <c r="H1578" t="s">
        <v>50</v>
      </c>
      <c r="I1578">
        <v>4</v>
      </c>
      <c r="J1578">
        <v>4972</v>
      </c>
      <c r="K1578">
        <v>19888</v>
      </c>
      <c r="L1578" t="s">
        <v>40</v>
      </c>
      <c r="M1578" t="s">
        <v>93</v>
      </c>
      <c r="N1578" t="s">
        <v>35</v>
      </c>
    </row>
    <row r="1579" spans="1:14" x14ac:dyDescent="0.25">
      <c r="A1579" t="s">
        <v>4753</v>
      </c>
      <c r="B1579" s="1">
        <v>45791</v>
      </c>
      <c r="C1579" t="s">
        <v>4754</v>
      </c>
      <c r="D1579" t="s">
        <v>4755</v>
      </c>
      <c r="E1579" s="14">
        <v>923097146448</v>
      </c>
      <c r="F1579" t="s">
        <v>17</v>
      </c>
      <c r="G1579" t="s">
        <v>18</v>
      </c>
      <c r="H1579" t="s">
        <v>59</v>
      </c>
      <c r="I1579">
        <v>5</v>
      </c>
      <c r="J1579">
        <v>8188</v>
      </c>
      <c r="K1579">
        <v>40940</v>
      </c>
      <c r="L1579" t="s">
        <v>20</v>
      </c>
      <c r="M1579" t="s">
        <v>45</v>
      </c>
      <c r="N1579" t="s">
        <v>35</v>
      </c>
    </row>
    <row r="1580" spans="1:14" x14ac:dyDescent="0.25">
      <c r="A1580" t="s">
        <v>4756</v>
      </c>
      <c r="B1580" s="1">
        <v>45788</v>
      </c>
      <c r="C1580" t="s">
        <v>4757</v>
      </c>
      <c r="D1580" t="s">
        <v>4758</v>
      </c>
      <c r="E1580" s="14">
        <v>923470150286</v>
      </c>
      <c r="F1580" t="s">
        <v>106</v>
      </c>
      <c r="G1580" t="s">
        <v>18</v>
      </c>
      <c r="H1580" t="s">
        <v>50</v>
      </c>
      <c r="I1580">
        <v>5</v>
      </c>
      <c r="J1580">
        <v>6276</v>
      </c>
      <c r="K1580">
        <v>31380</v>
      </c>
      <c r="L1580" t="s">
        <v>20</v>
      </c>
      <c r="M1580" t="s">
        <v>27</v>
      </c>
      <c r="N1580" t="s">
        <v>35</v>
      </c>
    </row>
    <row r="1581" spans="1:14" x14ac:dyDescent="0.25">
      <c r="A1581" t="s">
        <v>4759</v>
      </c>
      <c r="B1581" s="1">
        <v>45786</v>
      </c>
      <c r="C1581" t="s">
        <v>4760</v>
      </c>
      <c r="D1581" t="s">
        <v>4761</v>
      </c>
      <c r="E1581" s="14">
        <v>923437581901</v>
      </c>
      <c r="F1581" t="s">
        <v>54</v>
      </c>
      <c r="G1581" t="s">
        <v>18</v>
      </c>
      <c r="H1581" t="s">
        <v>19</v>
      </c>
      <c r="I1581">
        <v>5</v>
      </c>
      <c r="J1581">
        <v>6381</v>
      </c>
      <c r="K1581">
        <v>31905</v>
      </c>
      <c r="L1581" t="s">
        <v>78</v>
      </c>
      <c r="M1581" t="s">
        <v>34</v>
      </c>
      <c r="N1581" t="s">
        <v>69</v>
      </c>
    </row>
    <row r="1582" spans="1:14" x14ac:dyDescent="0.25">
      <c r="A1582" t="s">
        <v>4762</v>
      </c>
      <c r="B1582" s="1">
        <v>45882</v>
      </c>
      <c r="C1582" t="s">
        <v>4763</v>
      </c>
      <c r="D1582" t="s">
        <v>4764</v>
      </c>
      <c r="E1582" s="14">
        <v>923493772721</v>
      </c>
      <c r="F1582" t="s">
        <v>92</v>
      </c>
      <c r="G1582" t="s">
        <v>18</v>
      </c>
      <c r="H1582" t="s">
        <v>50</v>
      </c>
      <c r="I1582">
        <v>5</v>
      </c>
      <c r="J1582">
        <v>9351</v>
      </c>
      <c r="K1582">
        <v>46755</v>
      </c>
      <c r="L1582" t="s">
        <v>20</v>
      </c>
      <c r="M1582" t="s">
        <v>135</v>
      </c>
      <c r="N1582" t="s">
        <v>35</v>
      </c>
    </row>
    <row r="1583" spans="1:14" x14ac:dyDescent="0.25">
      <c r="A1583" t="s">
        <v>4765</v>
      </c>
      <c r="B1583" s="1">
        <v>45783</v>
      </c>
      <c r="C1583" t="s">
        <v>4766</v>
      </c>
      <c r="D1583" t="s">
        <v>4767</v>
      </c>
      <c r="E1583" s="14">
        <v>923378543569</v>
      </c>
      <c r="F1583" t="s">
        <v>49</v>
      </c>
      <c r="G1583" t="s">
        <v>18</v>
      </c>
      <c r="H1583" t="s">
        <v>33</v>
      </c>
      <c r="I1583">
        <v>2</v>
      </c>
      <c r="J1583">
        <v>9047</v>
      </c>
      <c r="K1583">
        <v>18094</v>
      </c>
      <c r="L1583" t="s">
        <v>63</v>
      </c>
      <c r="M1583" t="s">
        <v>55</v>
      </c>
      <c r="N1583" t="s">
        <v>22</v>
      </c>
    </row>
    <row r="1584" spans="1:14" x14ac:dyDescent="0.25">
      <c r="A1584" t="s">
        <v>4768</v>
      </c>
      <c r="B1584" s="1">
        <v>46063</v>
      </c>
      <c r="C1584" t="s">
        <v>4769</v>
      </c>
      <c r="D1584" t="s">
        <v>4770</v>
      </c>
      <c r="E1584" s="14">
        <v>923330407076</v>
      </c>
      <c r="F1584" t="s">
        <v>122</v>
      </c>
      <c r="G1584" t="s">
        <v>18</v>
      </c>
      <c r="H1584" t="s">
        <v>39</v>
      </c>
      <c r="I1584">
        <v>2</v>
      </c>
      <c r="J1584">
        <v>9037</v>
      </c>
      <c r="K1584">
        <v>18074</v>
      </c>
      <c r="L1584" t="s">
        <v>78</v>
      </c>
      <c r="M1584" t="s">
        <v>21</v>
      </c>
      <c r="N1584" t="s">
        <v>35</v>
      </c>
    </row>
    <row r="1585" spans="1:14" x14ac:dyDescent="0.25">
      <c r="A1585" t="s">
        <v>4771</v>
      </c>
      <c r="B1585" s="1">
        <v>45855</v>
      </c>
      <c r="C1585" t="s">
        <v>4772</v>
      </c>
      <c r="D1585" t="s">
        <v>4773</v>
      </c>
      <c r="E1585" s="14">
        <v>923022420062</v>
      </c>
      <c r="F1585" t="s">
        <v>44</v>
      </c>
      <c r="G1585" t="s">
        <v>18</v>
      </c>
      <c r="H1585" t="s">
        <v>39</v>
      </c>
      <c r="I1585">
        <v>5</v>
      </c>
      <c r="J1585">
        <v>1818</v>
      </c>
      <c r="K1585">
        <v>9090</v>
      </c>
      <c r="L1585" t="s">
        <v>78</v>
      </c>
      <c r="M1585" t="s">
        <v>21</v>
      </c>
      <c r="N1585" t="s">
        <v>22</v>
      </c>
    </row>
    <row r="1586" spans="1:14" x14ac:dyDescent="0.25">
      <c r="A1586" t="s">
        <v>4774</v>
      </c>
      <c r="B1586" s="1">
        <v>45990</v>
      </c>
      <c r="C1586" t="s">
        <v>4775</v>
      </c>
      <c r="D1586" t="s">
        <v>4776</v>
      </c>
      <c r="E1586" s="14">
        <v>923013799196</v>
      </c>
      <c r="F1586" t="s">
        <v>32</v>
      </c>
      <c r="G1586" t="s">
        <v>18</v>
      </c>
      <c r="H1586" t="s">
        <v>50</v>
      </c>
      <c r="I1586">
        <v>5</v>
      </c>
      <c r="J1586">
        <v>5687</v>
      </c>
      <c r="K1586">
        <v>28435</v>
      </c>
      <c r="L1586" t="s">
        <v>20</v>
      </c>
      <c r="M1586" t="s">
        <v>34</v>
      </c>
      <c r="N1586" t="s">
        <v>35</v>
      </c>
    </row>
    <row r="1587" spans="1:14" x14ac:dyDescent="0.25">
      <c r="A1587" t="s">
        <v>4777</v>
      </c>
      <c r="B1587" s="1">
        <v>45881</v>
      </c>
      <c r="C1587" t="s">
        <v>4778</v>
      </c>
      <c r="D1587" t="s">
        <v>4779</v>
      </c>
      <c r="E1587" s="14">
        <v>923408416562</v>
      </c>
      <c r="F1587" t="s">
        <v>32</v>
      </c>
      <c r="G1587" t="s">
        <v>18</v>
      </c>
      <c r="H1587" t="s">
        <v>19</v>
      </c>
      <c r="I1587">
        <v>4</v>
      </c>
      <c r="J1587">
        <v>13489</v>
      </c>
      <c r="K1587">
        <v>53956</v>
      </c>
      <c r="L1587" t="s">
        <v>20</v>
      </c>
      <c r="M1587" t="s">
        <v>93</v>
      </c>
      <c r="N1587" t="s">
        <v>28</v>
      </c>
    </row>
    <row r="1588" spans="1:14" x14ac:dyDescent="0.25">
      <c r="A1588" t="s">
        <v>4780</v>
      </c>
      <c r="B1588" s="1">
        <v>45886</v>
      </c>
      <c r="C1588" t="s">
        <v>4781</v>
      </c>
      <c r="D1588" t="s">
        <v>4782</v>
      </c>
      <c r="E1588" s="14">
        <v>923404868547</v>
      </c>
      <c r="F1588" t="s">
        <v>54</v>
      </c>
      <c r="G1588" t="s">
        <v>18</v>
      </c>
      <c r="H1588" t="s">
        <v>19</v>
      </c>
      <c r="I1588">
        <v>5</v>
      </c>
      <c r="J1588">
        <v>14688</v>
      </c>
      <c r="K1588">
        <v>73440</v>
      </c>
      <c r="L1588" t="s">
        <v>68</v>
      </c>
      <c r="M1588" t="s">
        <v>27</v>
      </c>
      <c r="N1588" t="s">
        <v>69</v>
      </c>
    </row>
    <row r="1589" spans="1:14" x14ac:dyDescent="0.25">
      <c r="A1589" t="s">
        <v>4783</v>
      </c>
      <c r="B1589" s="1">
        <v>46044</v>
      </c>
      <c r="C1589" t="s">
        <v>4784</v>
      </c>
      <c r="D1589" t="s">
        <v>4785</v>
      </c>
      <c r="E1589" s="14">
        <v>923497788983</v>
      </c>
      <c r="F1589" t="s">
        <v>32</v>
      </c>
      <c r="G1589" t="s">
        <v>18</v>
      </c>
      <c r="H1589" t="s">
        <v>50</v>
      </c>
      <c r="I1589">
        <v>4</v>
      </c>
      <c r="J1589">
        <v>8762</v>
      </c>
      <c r="K1589">
        <v>35048</v>
      </c>
      <c r="L1589" t="s">
        <v>68</v>
      </c>
      <c r="M1589" t="s">
        <v>135</v>
      </c>
      <c r="N1589" t="s">
        <v>35</v>
      </c>
    </row>
    <row r="1590" spans="1:14" x14ac:dyDescent="0.25">
      <c r="A1590" t="s">
        <v>4786</v>
      </c>
      <c r="B1590" s="1">
        <v>45813</v>
      </c>
      <c r="C1590" t="s">
        <v>4787</v>
      </c>
      <c r="D1590" t="s">
        <v>4788</v>
      </c>
      <c r="E1590" s="14">
        <v>923180268401</v>
      </c>
      <c r="F1590" t="s">
        <v>77</v>
      </c>
      <c r="G1590" t="s">
        <v>18</v>
      </c>
      <c r="H1590" t="s">
        <v>59</v>
      </c>
      <c r="I1590">
        <v>4</v>
      </c>
      <c r="J1590">
        <v>7350</v>
      </c>
      <c r="K1590">
        <v>29400</v>
      </c>
      <c r="L1590" t="s">
        <v>40</v>
      </c>
      <c r="M1590" t="s">
        <v>93</v>
      </c>
      <c r="N1590" t="s">
        <v>35</v>
      </c>
    </row>
    <row r="1591" spans="1:14" x14ac:dyDescent="0.25">
      <c r="A1591" t="s">
        <v>4789</v>
      </c>
      <c r="B1591" s="1">
        <v>45879</v>
      </c>
      <c r="C1591" t="s">
        <v>4790</v>
      </c>
      <c r="D1591" t="s">
        <v>4791</v>
      </c>
      <c r="E1591" s="14">
        <v>923201693821</v>
      </c>
      <c r="F1591" t="s">
        <v>67</v>
      </c>
      <c r="G1591" t="s">
        <v>18</v>
      </c>
      <c r="H1591" t="s">
        <v>39</v>
      </c>
      <c r="I1591">
        <v>5</v>
      </c>
      <c r="J1591">
        <v>11207</v>
      </c>
      <c r="K1591">
        <v>56035</v>
      </c>
      <c r="L1591" t="s">
        <v>68</v>
      </c>
      <c r="M1591" t="s">
        <v>82</v>
      </c>
      <c r="N1591" t="s">
        <v>28</v>
      </c>
    </row>
    <row r="1592" spans="1:14" x14ac:dyDescent="0.25">
      <c r="A1592" t="s">
        <v>4792</v>
      </c>
      <c r="B1592" s="1">
        <v>45960</v>
      </c>
      <c r="C1592" t="s">
        <v>4793</v>
      </c>
      <c r="D1592" t="s">
        <v>4794</v>
      </c>
      <c r="E1592" s="14">
        <v>923480406416</v>
      </c>
      <c r="F1592" t="s">
        <v>32</v>
      </c>
      <c r="G1592" t="s">
        <v>18</v>
      </c>
      <c r="H1592" t="s">
        <v>39</v>
      </c>
      <c r="I1592">
        <v>3</v>
      </c>
      <c r="J1592">
        <v>8400</v>
      </c>
      <c r="K1592">
        <v>25200</v>
      </c>
      <c r="L1592" t="s">
        <v>20</v>
      </c>
      <c r="M1592" t="s">
        <v>27</v>
      </c>
      <c r="N1592" t="s">
        <v>22</v>
      </c>
    </row>
    <row r="1593" spans="1:14" x14ac:dyDescent="0.25">
      <c r="A1593" t="s">
        <v>4795</v>
      </c>
      <c r="B1593" s="1">
        <v>45731</v>
      </c>
      <c r="C1593" t="s">
        <v>4796</v>
      </c>
      <c r="D1593" t="s">
        <v>4797</v>
      </c>
      <c r="E1593" s="14">
        <v>923372765695</v>
      </c>
      <c r="F1593" t="s">
        <v>122</v>
      </c>
      <c r="G1593" t="s">
        <v>18</v>
      </c>
      <c r="H1593" t="s">
        <v>19</v>
      </c>
      <c r="I1593">
        <v>5</v>
      </c>
      <c r="J1593">
        <v>7482</v>
      </c>
      <c r="K1593">
        <v>37410</v>
      </c>
      <c r="L1593" t="s">
        <v>26</v>
      </c>
      <c r="M1593" t="s">
        <v>34</v>
      </c>
      <c r="N1593" t="s">
        <v>28</v>
      </c>
    </row>
    <row r="1594" spans="1:14" x14ac:dyDescent="0.25">
      <c r="A1594" t="s">
        <v>4798</v>
      </c>
      <c r="B1594" s="1">
        <v>45747</v>
      </c>
      <c r="C1594" t="s">
        <v>4799</v>
      </c>
      <c r="D1594" t="s">
        <v>4800</v>
      </c>
      <c r="E1594" s="14">
        <v>923444272150</v>
      </c>
      <c r="F1594" t="s">
        <v>67</v>
      </c>
      <c r="G1594" t="s">
        <v>18</v>
      </c>
      <c r="H1594" t="s">
        <v>59</v>
      </c>
      <c r="I1594">
        <v>4</v>
      </c>
      <c r="J1594">
        <v>1947</v>
      </c>
      <c r="K1594">
        <v>7788</v>
      </c>
      <c r="L1594" t="s">
        <v>68</v>
      </c>
      <c r="M1594" t="s">
        <v>27</v>
      </c>
      <c r="N1594" t="s">
        <v>22</v>
      </c>
    </row>
    <row r="1595" spans="1:14" x14ac:dyDescent="0.25">
      <c r="A1595" t="s">
        <v>4801</v>
      </c>
      <c r="B1595" s="1">
        <v>46024</v>
      </c>
      <c r="C1595" t="s">
        <v>4802</v>
      </c>
      <c r="D1595" t="s">
        <v>4803</v>
      </c>
      <c r="E1595" s="14">
        <v>923264721323</v>
      </c>
      <c r="F1595" t="s">
        <v>77</v>
      </c>
      <c r="G1595" t="s">
        <v>18</v>
      </c>
      <c r="H1595" t="s">
        <v>19</v>
      </c>
      <c r="I1595">
        <v>4</v>
      </c>
      <c r="J1595">
        <v>4274</v>
      </c>
      <c r="K1595">
        <v>17096</v>
      </c>
      <c r="L1595" t="s">
        <v>20</v>
      </c>
      <c r="M1595" t="s">
        <v>21</v>
      </c>
      <c r="N1595" t="s">
        <v>28</v>
      </c>
    </row>
    <row r="1596" spans="1:14" x14ac:dyDescent="0.25">
      <c r="A1596" t="s">
        <v>4804</v>
      </c>
      <c r="B1596" s="1">
        <v>45769</v>
      </c>
      <c r="C1596" t="s">
        <v>4805</v>
      </c>
      <c r="D1596" t="s">
        <v>4806</v>
      </c>
      <c r="E1596" s="14">
        <v>923092679630</v>
      </c>
      <c r="F1596" t="s">
        <v>17</v>
      </c>
      <c r="G1596" t="s">
        <v>18</v>
      </c>
      <c r="H1596" t="s">
        <v>39</v>
      </c>
      <c r="I1596">
        <v>1</v>
      </c>
      <c r="J1596">
        <v>12719</v>
      </c>
      <c r="K1596">
        <v>12719</v>
      </c>
      <c r="L1596" t="s">
        <v>20</v>
      </c>
      <c r="M1596" t="s">
        <v>93</v>
      </c>
      <c r="N1596" t="s">
        <v>69</v>
      </c>
    </row>
    <row r="1597" spans="1:14" x14ac:dyDescent="0.25">
      <c r="A1597" t="s">
        <v>4807</v>
      </c>
      <c r="B1597" s="1">
        <v>45921</v>
      </c>
      <c r="C1597" t="s">
        <v>4808</v>
      </c>
      <c r="D1597" t="s">
        <v>4809</v>
      </c>
      <c r="E1597" s="14">
        <v>923294258923</v>
      </c>
      <c r="F1597" t="s">
        <v>122</v>
      </c>
      <c r="G1597" t="s">
        <v>18</v>
      </c>
      <c r="H1597" t="s">
        <v>50</v>
      </c>
      <c r="I1597">
        <v>1</v>
      </c>
      <c r="J1597">
        <v>3370</v>
      </c>
      <c r="K1597">
        <v>3370</v>
      </c>
      <c r="L1597" t="s">
        <v>63</v>
      </c>
      <c r="M1597" t="s">
        <v>55</v>
      </c>
      <c r="N1597" t="s">
        <v>35</v>
      </c>
    </row>
    <row r="1598" spans="1:14" x14ac:dyDescent="0.25">
      <c r="A1598" t="s">
        <v>4810</v>
      </c>
      <c r="B1598" s="1">
        <v>45721</v>
      </c>
      <c r="C1598" t="s">
        <v>4811</v>
      </c>
      <c r="D1598" t="s">
        <v>4812</v>
      </c>
      <c r="E1598" s="14">
        <v>923490031816</v>
      </c>
      <c r="F1598" t="s">
        <v>49</v>
      </c>
      <c r="G1598" t="s">
        <v>18</v>
      </c>
      <c r="H1598" t="s">
        <v>19</v>
      </c>
      <c r="I1598">
        <v>5</v>
      </c>
      <c r="J1598">
        <v>9859</v>
      </c>
      <c r="K1598">
        <v>49295</v>
      </c>
      <c r="L1598" t="s">
        <v>20</v>
      </c>
      <c r="M1598" t="s">
        <v>82</v>
      </c>
      <c r="N1598" t="s">
        <v>22</v>
      </c>
    </row>
    <row r="1599" spans="1:14" x14ac:dyDescent="0.25">
      <c r="A1599" t="s">
        <v>4813</v>
      </c>
      <c r="B1599" s="1">
        <v>45755</v>
      </c>
      <c r="C1599" t="s">
        <v>4814</v>
      </c>
      <c r="D1599" t="s">
        <v>4815</v>
      </c>
      <c r="E1599" s="14">
        <v>923129463754</v>
      </c>
      <c r="F1599" t="s">
        <v>122</v>
      </c>
      <c r="G1599" t="s">
        <v>18</v>
      </c>
      <c r="H1599" t="s">
        <v>19</v>
      </c>
      <c r="I1599">
        <v>4</v>
      </c>
      <c r="J1599">
        <v>10547</v>
      </c>
      <c r="K1599">
        <v>42188</v>
      </c>
      <c r="L1599" t="s">
        <v>78</v>
      </c>
      <c r="M1599" t="s">
        <v>55</v>
      </c>
      <c r="N1599" t="s">
        <v>35</v>
      </c>
    </row>
    <row r="1600" spans="1:14" x14ac:dyDescent="0.25">
      <c r="A1600" t="s">
        <v>4816</v>
      </c>
      <c r="B1600" s="1">
        <v>45994</v>
      </c>
      <c r="C1600" t="s">
        <v>4817</v>
      </c>
      <c r="D1600" t="s">
        <v>4818</v>
      </c>
      <c r="E1600" s="14">
        <v>923301376573</v>
      </c>
      <c r="F1600" t="s">
        <v>106</v>
      </c>
      <c r="G1600" t="s">
        <v>18</v>
      </c>
      <c r="H1600" t="s">
        <v>59</v>
      </c>
      <c r="I1600">
        <v>2</v>
      </c>
      <c r="J1600">
        <v>8552</v>
      </c>
      <c r="K1600">
        <v>17104</v>
      </c>
      <c r="L1600" t="s">
        <v>40</v>
      </c>
      <c r="M1600" t="s">
        <v>34</v>
      </c>
      <c r="N1600" t="s">
        <v>22</v>
      </c>
    </row>
    <row r="1601" spans="1:14" x14ac:dyDescent="0.25">
      <c r="A1601" t="s">
        <v>4819</v>
      </c>
      <c r="B1601" s="1">
        <v>45940</v>
      </c>
      <c r="C1601" t="s">
        <v>4820</v>
      </c>
      <c r="D1601" t="s">
        <v>4821</v>
      </c>
      <c r="E1601" s="14">
        <v>923004850172</v>
      </c>
      <c r="F1601" t="s">
        <v>49</v>
      </c>
      <c r="G1601" t="s">
        <v>18</v>
      </c>
      <c r="H1601" t="s">
        <v>19</v>
      </c>
      <c r="I1601">
        <v>1</v>
      </c>
      <c r="J1601">
        <v>10349</v>
      </c>
      <c r="K1601">
        <v>10349</v>
      </c>
      <c r="L1601" t="s">
        <v>40</v>
      </c>
      <c r="M1601" t="s">
        <v>27</v>
      </c>
      <c r="N1601" t="s">
        <v>22</v>
      </c>
    </row>
    <row r="1602" spans="1:14" x14ac:dyDescent="0.25">
      <c r="A1602" t="s">
        <v>4822</v>
      </c>
      <c r="B1602" s="1">
        <v>45804</v>
      </c>
      <c r="C1602" t="s">
        <v>4823</v>
      </c>
      <c r="D1602" t="s">
        <v>4824</v>
      </c>
      <c r="E1602" s="14">
        <v>923344453669</v>
      </c>
      <c r="F1602" t="s">
        <v>54</v>
      </c>
      <c r="G1602" t="s">
        <v>18</v>
      </c>
      <c r="H1602" t="s">
        <v>50</v>
      </c>
      <c r="I1602">
        <v>1</v>
      </c>
      <c r="J1602">
        <v>2122</v>
      </c>
      <c r="K1602">
        <v>2122</v>
      </c>
      <c r="L1602" t="s">
        <v>63</v>
      </c>
      <c r="M1602" t="s">
        <v>135</v>
      </c>
      <c r="N1602" t="s">
        <v>28</v>
      </c>
    </row>
    <row r="1603" spans="1:14" x14ac:dyDescent="0.25">
      <c r="A1603" t="s">
        <v>4825</v>
      </c>
      <c r="B1603" s="1">
        <v>45864</v>
      </c>
      <c r="C1603" t="s">
        <v>4826</v>
      </c>
      <c r="D1603" t="s">
        <v>4827</v>
      </c>
      <c r="E1603" s="14">
        <v>923278764896</v>
      </c>
      <c r="F1603" t="s">
        <v>77</v>
      </c>
      <c r="G1603" t="s">
        <v>18</v>
      </c>
      <c r="H1603" t="s">
        <v>59</v>
      </c>
      <c r="I1603">
        <v>2</v>
      </c>
      <c r="J1603">
        <v>13471</v>
      </c>
      <c r="K1603">
        <v>26942</v>
      </c>
      <c r="L1603" t="s">
        <v>63</v>
      </c>
      <c r="M1603" t="s">
        <v>45</v>
      </c>
      <c r="N1603" t="s">
        <v>35</v>
      </c>
    </row>
    <row r="1604" spans="1:14" x14ac:dyDescent="0.25">
      <c r="A1604" t="s">
        <v>4828</v>
      </c>
      <c r="B1604" s="1">
        <v>45767</v>
      </c>
      <c r="C1604" t="s">
        <v>4829</v>
      </c>
      <c r="D1604" t="s">
        <v>4830</v>
      </c>
      <c r="E1604" s="14">
        <v>923444769460</v>
      </c>
      <c r="F1604" t="s">
        <v>77</v>
      </c>
      <c r="G1604" t="s">
        <v>18</v>
      </c>
      <c r="H1604" t="s">
        <v>19</v>
      </c>
      <c r="I1604">
        <v>3</v>
      </c>
      <c r="J1604">
        <v>8717</v>
      </c>
      <c r="K1604">
        <v>26151</v>
      </c>
      <c r="L1604" t="s">
        <v>63</v>
      </c>
      <c r="M1604" t="s">
        <v>135</v>
      </c>
      <c r="N1604" t="s">
        <v>22</v>
      </c>
    </row>
    <row r="1605" spans="1:14" x14ac:dyDescent="0.25">
      <c r="A1605" t="s">
        <v>4831</v>
      </c>
      <c r="B1605" s="1">
        <v>46023</v>
      </c>
      <c r="C1605" t="s">
        <v>4832</v>
      </c>
      <c r="D1605" t="s">
        <v>4833</v>
      </c>
      <c r="E1605" s="14">
        <v>923406510445</v>
      </c>
      <c r="F1605" t="s">
        <v>17</v>
      </c>
      <c r="G1605" t="s">
        <v>18</v>
      </c>
      <c r="H1605" t="s">
        <v>50</v>
      </c>
      <c r="I1605">
        <v>5</v>
      </c>
      <c r="J1605">
        <v>2684</v>
      </c>
      <c r="K1605">
        <v>13420</v>
      </c>
      <c r="L1605" t="s">
        <v>26</v>
      </c>
      <c r="M1605" t="s">
        <v>34</v>
      </c>
      <c r="N1605" t="s">
        <v>35</v>
      </c>
    </row>
    <row r="1606" spans="1:14" x14ac:dyDescent="0.25">
      <c r="A1606" t="s">
        <v>4834</v>
      </c>
      <c r="B1606" s="1">
        <v>45713</v>
      </c>
      <c r="C1606" t="s">
        <v>4835</v>
      </c>
      <c r="D1606" t="s">
        <v>4836</v>
      </c>
      <c r="E1606" s="14">
        <v>923408241381</v>
      </c>
      <c r="F1606" t="s">
        <v>122</v>
      </c>
      <c r="G1606" t="s">
        <v>18</v>
      </c>
      <c r="H1606" t="s">
        <v>59</v>
      </c>
      <c r="I1606">
        <v>4</v>
      </c>
      <c r="J1606">
        <v>1151</v>
      </c>
      <c r="K1606">
        <v>4604</v>
      </c>
      <c r="L1606" t="s">
        <v>78</v>
      </c>
      <c r="M1606" t="s">
        <v>135</v>
      </c>
      <c r="N1606" t="s">
        <v>35</v>
      </c>
    </row>
    <row r="1607" spans="1:14" x14ac:dyDescent="0.25">
      <c r="A1607" t="s">
        <v>4837</v>
      </c>
      <c r="B1607" s="1">
        <v>45786</v>
      </c>
      <c r="C1607" t="s">
        <v>4838</v>
      </c>
      <c r="D1607" t="s">
        <v>4839</v>
      </c>
      <c r="E1607" s="14">
        <v>923203881058</v>
      </c>
      <c r="F1607" t="s">
        <v>77</v>
      </c>
      <c r="G1607" t="s">
        <v>18</v>
      </c>
      <c r="H1607" t="s">
        <v>19</v>
      </c>
      <c r="I1607">
        <v>3</v>
      </c>
      <c r="J1607">
        <v>14670</v>
      </c>
      <c r="K1607">
        <v>44010</v>
      </c>
      <c r="L1607" t="s">
        <v>26</v>
      </c>
      <c r="M1607" t="s">
        <v>135</v>
      </c>
      <c r="N1607" t="s">
        <v>28</v>
      </c>
    </row>
    <row r="1608" spans="1:14" x14ac:dyDescent="0.25">
      <c r="A1608" t="s">
        <v>4840</v>
      </c>
      <c r="B1608" s="1">
        <v>46064</v>
      </c>
      <c r="C1608" t="s">
        <v>4841</v>
      </c>
      <c r="D1608" t="s">
        <v>4842</v>
      </c>
      <c r="E1608" s="14">
        <v>923034313974</v>
      </c>
      <c r="F1608" t="s">
        <v>49</v>
      </c>
      <c r="G1608" t="s">
        <v>18</v>
      </c>
      <c r="H1608" t="s">
        <v>50</v>
      </c>
      <c r="I1608">
        <v>3</v>
      </c>
      <c r="J1608">
        <v>8561</v>
      </c>
      <c r="K1608">
        <v>25683</v>
      </c>
      <c r="L1608" t="s">
        <v>68</v>
      </c>
      <c r="M1608" t="s">
        <v>45</v>
      </c>
      <c r="N1608" t="s">
        <v>22</v>
      </c>
    </row>
    <row r="1609" spans="1:14" x14ac:dyDescent="0.25">
      <c r="A1609" t="s">
        <v>4843</v>
      </c>
      <c r="B1609" s="1">
        <v>45904</v>
      </c>
      <c r="C1609" t="s">
        <v>4844</v>
      </c>
      <c r="D1609" t="s">
        <v>4845</v>
      </c>
      <c r="E1609" s="14">
        <v>923449382830</v>
      </c>
      <c r="F1609" t="s">
        <v>77</v>
      </c>
      <c r="G1609" t="s">
        <v>18</v>
      </c>
      <c r="H1609" t="s">
        <v>73</v>
      </c>
      <c r="I1609">
        <v>2</v>
      </c>
      <c r="J1609">
        <v>5723</v>
      </c>
      <c r="K1609">
        <v>11446</v>
      </c>
      <c r="L1609" t="s">
        <v>20</v>
      </c>
      <c r="M1609" t="s">
        <v>21</v>
      </c>
      <c r="N1609" t="s">
        <v>69</v>
      </c>
    </row>
    <row r="1610" spans="1:14" x14ac:dyDescent="0.25">
      <c r="A1610" t="s">
        <v>4846</v>
      </c>
      <c r="B1610" s="1">
        <v>45732</v>
      </c>
      <c r="C1610" t="s">
        <v>4847</v>
      </c>
      <c r="D1610" t="s">
        <v>4848</v>
      </c>
      <c r="E1610" s="14">
        <v>923139103930</v>
      </c>
      <c r="F1610" t="s">
        <v>17</v>
      </c>
      <c r="G1610" t="s">
        <v>18</v>
      </c>
      <c r="H1610" t="s">
        <v>59</v>
      </c>
      <c r="I1610">
        <v>3</v>
      </c>
      <c r="J1610">
        <v>1154</v>
      </c>
      <c r="K1610">
        <v>3462</v>
      </c>
      <c r="L1610" t="s">
        <v>40</v>
      </c>
      <c r="M1610" t="s">
        <v>82</v>
      </c>
      <c r="N1610" t="s">
        <v>35</v>
      </c>
    </row>
    <row r="1611" spans="1:14" x14ac:dyDescent="0.25">
      <c r="A1611" t="s">
        <v>4849</v>
      </c>
      <c r="B1611" s="1">
        <v>45950</v>
      </c>
      <c r="C1611" t="s">
        <v>4850</v>
      </c>
      <c r="D1611" t="s">
        <v>4851</v>
      </c>
      <c r="E1611" s="14">
        <v>923374957863</v>
      </c>
      <c r="F1611" t="s">
        <v>17</v>
      </c>
      <c r="G1611" t="s">
        <v>18</v>
      </c>
      <c r="H1611" t="s">
        <v>33</v>
      </c>
      <c r="I1611">
        <v>2</v>
      </c>
      <c r="J1611">
        <v>1190</v>
      </c>
      <c r="K1611">
        <v>2380</v>
      </c>
      <c r="L1611" t="s">
        <v>40</v>
      </c>
      <c r="M1611" t="s">
        <v>55</v>
      </c>
      <c r="N1611" t="s">
        <v>28</v>
      </c>
    </row>
    <row r="1612" spans="1:14" x14ac:dyDescent="0.25">
      <c r="A1612" t="s">
        <v>4852</v>
      </c>
      <c r="B1612" s="1">
        <v>46019</v>
      </c>
      <c r="C1612" t="s">
        <v>4853</v>
      </c>
      <c r="D1612" t="s">
        <v>4854</v>
      </c>
      <c r="E1612" s="14">
        <v>923454154913</v>
      </c>
      <c r="F1612" t="s">
        <v>17</v>
      </c>
      <c r="G1612" t="s">
        <v>18</v>
      </c>
      <c r="H1612" t="s">
        <v>19</v>
      </c>
      <c r="I1612">
        <v>2</v>
      </c>
      <c r="J1612">
        <v>5005</v>
      </c>
      <c r="K1612">
        <v>10010</v>
      </c>
      <c r="L1612" t="s">
        <v>20</v>
      </c>
      <c r="M1612" t="s">
        <v>27</v>
      </c>
      <c r="N1612" t="s">
        <v>35</v>
      </c>
    </row>
    <row r="1613" spans="1:14" x14ac:dyDescent="0.25">
      <c r="A1613" t="s">
        <v>4855</v>
      </c>
      <c r="B1613" s="1">
        <v>45986</v>
      </c>
      <c r="C1613" t="s">
        <v>4856</v>
      </c>
      <c r="D1613" t="s">
        <v>4857</v>
      </c>
      <c r="E1613" s="14">
        <v>923135425778</v>
      </c>
      <c r="F1613" t="s">
        <v>44</v>
      </c>
      <c r="G1613" t="s">
        <v>18</v>
      </c>
      <c r="H1613" t="s">
        <v>59</v>
      </c>
      <c r="I1613">
        <v>4</v>
      </c>
      <c r="J1613">
        <v>3503</v>
      </c>
      <c r="K1613">
        <v>14012</v>
      </c>
      <c r="L1613" t="s">
        <v>20</v>
      </c>
      <c r="M1613" t="s">
        <v>55</v>
      </c>
      <c r="N1613" t="s">
        <v>35</v>
      </c>
    </row>
    <row r="1614" spans="1:14" x14ac:dyDescent="0.25">
      <c r="A1614" t="s">
        <v>4858</v>
      </c>
      <c r="B1614" s="1">
        <v>45759</v>
      </c>
      <c r="C1614" t="s">
        <v>4859</v>
      </c>
      <c r="D1614" t="s">
        <v>4860</v>
      </c>
      <c r="E1614" s="14">
        <v>923065603475</v>
      </c>
      <c r="F1614" t="s">
        <v>17</v>
      </c>
      <c r="G1614" t="s">
        <v>18</v>
      </c>
      <c r="H1614" t="s">
        <v>50</v>
      </c>
      <c r="I1614">
        <v>5</v>
      </c>
      <c r="J1614">
        <v>6109</v>
      </c>
      <c r="K1614">
        <v>30545</v>
      </c>
      <c r="L1614" t="s">
        <v>20</v>
      </c>
      <c r="M1614" t="s">
        <v>34</v>
      </c>
      <c r="N1614" t="s">
        <v>35</v>
      </c>
    </row>
    <row r="1615" spans="1:14" x14ac:dyDescent="0.25">
      <c r="A1615" t="s">
        <v>4861</v>
      </c>
      <c r="B1615" s="1">
        <v>45876</v>
      </c>
      <c r="C1615" t="s">
        <v>4862</v>
      </c>
      <c r="D1615" t="s">
        <v>4863</v>
      </c>
      <c r="E1615" s="14">
        <v>923191288808</v>
      </c>
      <c r="F1615" t="s">
        <v>17</v>
      </c>
      <c r="G1615" t="s">
        <v>18</v>
      </c>
      <c r="H1615" t="s">
        <v>33</v>
      </c>
      <c r="I1615">
        <v>2</v>
      </c>
      <c r="J1615">
        <v>13420</v>
      </c>
      <c r="K1615">
        <v>26840</v>
      </c>
      <c r="L1615" t="s">
        <v>26</v>
      </c>
      <c r="M1615" t="s">
        <v>135</v>
      </c>
      <c r="N1615" t="s">
        <v>28</v>
      </c>
    </row>
    <row r="1616" spans="1:14" x14ac:dyDescent="0.25">
      <c r="A1616" t="s">
        <v>4864</v>
      </c>
      <c r="B1616" s="1">
        <v>45864</v>
      </c>
      <c r="C1616" t="s">
        <v>4865</v>
      </c>
      <c r="D1616" t="s">
        <v>4866</v>
      </c>
      <c r="E1616" s="14">
        <v>923436747338</v>
      </c>
      <c r="F1616" t="s">
        <v>54</v>
      </c>
      <c r="G1616" t="s">
        <v>18</v>
      </c>
      <c r="H1616" t="s">
        <v>73</v>
      </c>
      <c r="I1616">
        <v>2</v>
      </c>
      <c r="J1616">
        <v>6661</v>
      </c>
      <c r="K1616">
        <v>13322</v>
      </c>
      <c r="L1616" t="s">
        <v>26</v>
      </c>
      <c r="M1616" t="s">
        <v>34</v>
      </c>
      <c r="N1616" t="s">
        <v>69</v>
      </c>
    </row>
    <row r="1617" spans="1:14" x14ac:dyDescent="0.25">
      <c r="A1617" t="s">
        <v>4867</v>
      </c>
      <c r="B1617" s="1">
        <v>45853</v>
      </c>
      <c r="C1617" t="s">
        <v>4868</v>
      </c>
      <c r="D1617" t="s">
        <v>4869</v>
      </c>
      <c r="E1617" s="14">
        <v>923296542844</v>
      </c>
      <c r="F1617" t="s">
        <v>122</v>
      </c>
      <c r="G1617" t="s">
        <v>18</v>
      </c>
      <c r="H1617" t="s">
        <v>59</v>
      </c>
      <c r="I1617">
        <v>5</v>
      </c>
      <c r="J1617">
        <v>8183</v>
      </c>
      <c r="K1617">
        <v>40915</v>
      </c>
      <c r="L1617" t="s">
        <v>20</v>
      </c>
      <c r="M1617" t="s">
        <v>82</v>
      </c>
      <c r="N1617" t="s">
        <v>69</v>
      </c>
    </row>
    <row r="1618" spans="1:14" x14ac:dyDescent="0.25">
      <c r="A1618" t="s">
        <v>4870</v>
      </c>
      <c r="B1618" s="1">
        <v>45912</v>
      </c>
      <c r="C1618" t="s">
        <v>4871</v>
      </c>
      <c r="D1618" t="s">
        <v>4872</v>
      </c>
      <c r="E1618" s="14">
        <v>923214201901</v>
      </c>
      <c r="F1618" t="s">
        <v>17</v>
      </c>
      <c r="G1618" t="s">
        <v>18</v>
      </c>
      <c r="H1618" t="s">
        <v>39</v>
      </c>
      <c r="I1618">
        <v>1</v>
      </c>
      <c r="J1618">
        <v>13549</v>
      </c>
      <c r="K1618">
        <v>13549</v>
      </c>
      <c r="L1618" t="s">
        <v>78</v>
      </c>
      <c r="M1618" t="s">
        <v>93</v>
      </c>
      <c r="N1618" t="s">
        <v>35</v>
      </c>
    </row>
    <row r="1619" spans="1:14" x14ac:dyDescent="0.25">
      <c r="A1619" t="s">
        <v>4873</v>
      </c>
      <c r="B1619" s="1">
        <v>45789</v>
      </c>
      <c r="C1619" t="s">
        <v>4874</v>
      </c>
      <c r="D1619" t="s">
        <v>4875</v>
      </c>
      <c r="E1619" s="14">
        <v>923391536988</v>
      </c>
      <c r="F1619" t="s">
        <v>17</v>
      </c>
      <c r="G1619" t="s">
        <v>18</v>
      </c>
      <c r="H1619" t="s">
        <v>50</v>
      </c>
      <c r="I1619">
        <v>5</v>
      </c>
      <c r="J1619">
        <v>12935</v>
      </c>
      <c r="K1619">
        <v>64675</v>
      </c>
      <c r="L1619" t="s">
        <v>40</v>
      </c>
      <c r="M1619" t="s">
        <v>27</v>
      </c>
      <c r="N1619" t="s">
        <v>22</v>
      </c>
    </row>
    <row r="1620" spans="1:14" x14ac:dyDescent="0.25">
      <c r="A1620" t="s">
        <v>4876</v>
      </c>
      <c r="B1620" s="1">
        <v>45724</v>
      </c>
      <c r="C1620" t="s">
        <v>4877</v>
      </c>
      <c r="D1620" t="s">
        <v>4878</v>
      </c>
      <c r="E1620" s="14">
        <v>923463167486</v>
      </c>
      <c r="F1620" t="s">
        <v>92</v>
      </c>
      <c r="G1620" t="s">
        <v>18</v>
      </c>
      <c r="H1620" t="s">
        <v>33</v>
      </c>
      <c r="I1620">
        <v>4</v>
      </c>
      <c r="J1620">
        <v>13173</v>
      </c>
      <c r="K1620">
        <v>52692</v>
      </c>
      <c r="L1620" t="s">
        <v>40</v>
      </c>
      <c r="M1620" t="s">
        <v>93</v>
      </c>
      <c r="N1620" t="s">
        <v>22</v>
      </c>
    </row>
    <row r="1621" spans="1:14" x14ac:dyDescent="0.25">
      <c r="A1621" t="s">
        <v>4879</v>
      </c>
      <c r="B1621" s="1">
        <v>45801</v>
      </c>
      <c r="C1621" t="s">
        <v>4880</v>
      </c>
      <c r="D1621" t="s">
        <v>4881</v>
      </c>
      <c r="E1621" s="14">
        <v>923305432591</v>
      </c>
      <c r="F1621" t="s">
        <v>49</v>
      </c>
      <c r="G1621" t="s">
        <v>18</v>
      </c>
      <c r="H1621" t="s">
        <v>39</v>
      </c>
      <c r="I1621">
        <v>2</v>
      </c>
      <c r="J1621">
        <v>3911</v>
      </c>
      <c r="K1621">
        <v>7822</v>
      </c>
      <c r="L1621" t="s">
        <v>68</v>
      </c>
      <c r="M1621" t="s">
        <v>135</v>
      </c>
      <c r="N1621" t="s">
        <v>22</v>
      </c>
    </row>
    <row r="1622" spans="1:14" x14ac:dyDescent="0.25">
      <c r="A1622" t="s">
        <v>4882</v>
      </c>
      <c r="B1622" s="1">
        <v>45987</v>
      </c>
      <c r="C1622" t="s">
        <v>4883</v>
      </c>
      <c r="D1622" t="s">
        <v>4884</v>
      </c>
      <c r="E1622" s="14">
        <v>923361428226</v>
      </c>
      <c r="F1622" t="s">
        <v>77</v>
      </c>
      <c r="G1622" t="s">
        <v>18</v>
      </c>
      <c r="H1622" t="s">
        <v>59</v>
      </c>
      <c r="I1622">
        <v>2</v>
      </c>
      <c r="J1622">
        <v>3945</v>
      </c>
      <c r="K1622">
        <v>7890</v>
      </c>
      <c r="L1622" t="s">
        <v>68</v>
      </c>
      <c r="M1622" t="s">
        <v>27</v>
      </c>
      <c r="N1622" t="s">
        <v>35</v>
      </c>
    </row>
    <row r="1623" spans="1:14" x14ac:dyDescent="0.25">
      <c r="A1623" t="s">
        <v>4885</v>
      </c>
      <c r="B1623" s="1">
        <v>45943</v>
      </c>
      <c r="C1623" t="s">
        <v>4886</v>
      </c>
      <c r="D1623" t="s">
        <v>4887</v>
      </c>
      <c r="E1623" s="14">
        <v>923060503926</v>
      </c>
      <c r="F1623" t="s">
        <v>122</v>
      </c>
      <c r="G1623" t="s">
        <v>18</v>
      </c>
      <c r="H1623" t="s">
        <v>73</v>
      </c>
      <c r="I1623">
        <v>4</v>
      </c>
      <c r="J1623">
        <v>14597</v>
      </c>
      <c r="K1623">
        <v>58388</v>
      </c>
      <c r="L1623" t="s">
        <v>68</v>
      </c>
      <c r="M1623" t="s">
        <v>45</v>
      </c>
      <c r="N1623" t="s">
        <v>69</v>
      </c>
    </row>
    <row r="1624" spans="1:14" x14ac:dyDescent="0.25">
      <c r="A1624" t="s">
        <v>4888</v>
      </c>
      <c r="B1624" s="1">
        <v>45834</v>
      </c>
      <c r="C1624" t="s">
        <v>4889</v>
      </c>
      <c r="D1624" t="s">
        <v>4890</v>
      </c>
      <c r="E1624" s="14">
        <v>923412635093</v>
      </c>
      <c r="F1624" t="s">
        <v>32</v>
      </c>
      <c r="G1624" t="s">
        <v>18</v>
      </c>
      <c r="H1624" t="s">
        <v>39</v>
      </c>
      <c r="I1624">
        <v>3</v>
      </c>
      <c r="J1624">
        <v>11346</v>
      </c>
      <c r="K1624">
        <v>34038</v>
      </c>
      <c r="L1624" t="s">
        <v>40</v>
      </c>
      <c r="M1624" t="s">
        <v>27</v>
      </c>
      <c r="N1624" t="s">
        <v>22</v>
      </c>
    </row>
    <row r="1625" spans="1:14" x14ac:dyDescent="0.25">
      <c r="A1625" t="s">
        <v>4891</v>
      </c>
      <c r="B1625" s="1">
        <v>46065</v>
      </c>
      <c r="C1625" t="s">
        <v>4892</v>
      </c>
      <c r="D1625" t="s">
        <v>4893</v>
      </c>
      <c r="E1625" s="14">
        <v>923317778868</v>
      </c>
      <c r="F1625" t="s">
        <v>77</v>
      </c>
      <c r="G1625" t="s">
        <v>18</v>
      </c>
      <c r="H1625" t="s">
        <v>59</v>
      </c>
      <c r="I1625">
        <v>5</v>
      </c>
      <c r="J1625">
        <v>6927</v>
      </c>
      <c r="K1625">
        <v>34635</v>
      </c>
      <c r="L1625" t="s">
        <v>20</v>
      </c>
      <c r="M1625" t="s">
        <v>82</v>
      </c>
      <c r="N1625" t="s">
        <v>28</v>
      </c>
    </row>
    <row r="1626" spans="1:14" x14ac:dyDescent="0.25">
      <c r="A1626" t="s">
        <v>4894</v>
      </c>
      <c r="B1626" s="1">
        <v>45942</v>
      </c>
      <c r="C1626" t="s">
        <v>4895</v>
      </c>
      <c r="D1626" t="s">
        <v>4896</v>
      </c>
      <c r="E1626" s="14">
        <v>923385732482</v>
      </c>
      <c r="F1626" t="s">
        <v>44</v>
      </c>
      <c r="G1626" t="s">
        <v>18</v>
      </c>
      <c r="H1626" t="s">
        <v>59</v>
      </c>
      <c r="I1626">
        <v>5</v>
      </c>
      <c r="J1626">
        <v>5843</v>
      </c>
      <c r="K1626">
        <v>29215</v>
      </c>
      <c r="L1626" t="s">
        <v>68</v>
      </c>
      <c r="M1626" t="s">
        <v>135</v>
      </c>
      <c r="N1626" t="s">
        <v>69</v>
      </c>
    </row>
    <row r="1627" spans="1:14" x14ac:dyDescent="0.25">
      <c r="A1627" t="s">
        <v>4897</v>
      </c>
      <c r="B1627" s="1">
        <v>45738</v>
      </c>
      <c r="C1627" t="s">
        <v>4898</v>
      </c>
      <c r="D1627" t="s">
        <v>4899</v>
      </c>
      <c r="E1627" s="14">
        <v>923082476679</v>
      </c>
      <c r="F1627" t="s">
        <v>32</v>
      </c>
      <c r="G1627" t="s">
        <v>18</v>
      </c>
      <c r="H1627" t="s">
        <v>39</v>
      </c>
      <c r="I1627">
        <v>2</v>
      </c>
      <c r="J1627">
        <v>1595</v>
      </c>
      <c r="K1627">
        <v>3190</v>
      </c>
      <c r="L1627" t="s">
        <v>78</v>
      </c>
      <c r="M1627" t="s">
        <v>82</v>
      </c>
      <c r="N1627" t="s">
        <v>28</v>
      </c>
    </row>
    <row r="1628" spans="1:14" x14ac:dyDescent="0.25">
      <c r="A1628" t="s">
        <v>4900</v>
      </c>
      <c r="B1628" s="1">
        <v>45868</v>
      </c>
      <c r="C1628" t="s">
        <v>4901</v>
      </c>
      <c r="D1628" t="s">
        <v>4902</v>
      </c>
      <c r="E1628" s="14">
        <v>923294068502</v>
      </c>
      <c r="F1628" t="s">
        <v>44</v>
      </c>
      <c r="G1628" t="s">
        <v>18</v>
      </c>
      <c r="H1628" t="s">
        <v>50</v>
      </c>
      <c r="I1628">
        <v>5</v>
      </c>
      <c r="J1628">
        <v>4850</v>
      </c>
      <c r="K1628">
        <v>24250</v>
      </c>
      <c r="L1628" t="s">
        <v>63</v>
      </c>
      <c r="M1628" t="s">
        <v>21</v>
      </c>
      <c r="N1628" t="s">
        <v>28</v>
      </c>
    </row>
    <row r="1629" spans="1:14" x14ac:dyDescent="0.25">
      <c r="A1629" t="s">
        <v>4903</v>
      </c>
      <c r="B1629" s="1">
        <v>46013</v>
      </c>
      <c r="C1629" t="s">
        <v>4904</v>
      </c>
      <c r="D1629" t="s">
        <v>4905</v>
      </c>
      <c r="E1629" s="14">
        <v>923117656745</v>
      </c>
      <c r="F1629" t="s">
        <v>122</v>
      </c>
      <c r="G1629" t="s">
        <v>18</v>
      </c>
      <c r="H1629" t="s">
        <v>39</v>
      </c>
      <c r="I1629">
        <v>2</v>
      </c>
      <c r="J1629">
        <v>8050</v>
      </c>
      <c r="K1629">
        <v>16100</v>
      </c>
      <c r="L1629" t="s">
        <v>68</v>
      </c>
      <c r="M1629" t="s">
        <v>135</v>
      </c>
      <c r="N1629" t="s">
        <v>69</v>
      </c>
    </row>
    <row r="1630" spans="1:14" x14ac:dyDescent="0.25">
      <c r="A1630" t="s">
        <v>4906</v>
      </c>
      <c r="B1630" s="1">
        <v>45929</v>
      </c>
      <c r="C1630" t="s">
        <v>4907</v>
      </c>
      <c r="D1630" t="s">
        <v>4908</v>
      </c>
      <c r="E1630" s="14">
        <v>923438051754</v>
      </c>
      <c r="F1630" t="s">
        <v>17</v>
      </c>
      <c r="G1630" t="s">
        <v>18</v>
      </c>
      <c r="H1630" t="s">
        <v>59</v>
      </c>
      <c r="I1630">
        <v>2</v>
      </c>
      <c r="J1630">
        <v>4072</v>
      </c>
      <c r="K1630">
        <v>8144</v>
      </c>
      <c r="L1630" t="s">
        <v>20</v>
      </c>
      <c r="M1630" t="s">
        <v>82</v>
      </c>
      <c r="N1630" t="s">
        <v>35</v>
      </c>
    </row>
    <row r="1631" spans="1:14" x14ac:dyDescent="0.25">
      <c r="A1631" t="s">
        <v>4909</v>
      </c>
      <c r="B1631" s="1">
        <v>45723</v>
      </c>
      <c r="C1631" t="s">
        <v>4910</v>
      </c>
      <c r="D1631" t="s">
        <v>4911</v>
      </c>
      <c r="E1631" s="14">
        <v>923291892852</v>
      </c>
      <c r="F1631" t="s">
        <v>92</v>
      </c>
      <c r="G1631" t="s">
        <v>18</v>
      </c>
      <c r="H1631" t="s">
        <v>59</v>
      </c>
      <c r="I1631">
        <v>3</v>
      </c>
      <c r="J1631">
        <v>5679</v>
      </c>
      <c r="K1631">
        <v>17037</v>
      </c>
      <c r="L1631" t="s">
        <v>40</v>
      </c>
      <c r="M1631" t="s">
        <v>135</v>
      </c>
      <c r="N1631" t="s">
        <v>69</v>
      </c>
    </row>
    <row r="1632" spans="1:14" x14ac:dyDescent="0.25">
      <c r="A1632" t="s">
        <v>4912</v>
      </c>
      <c r="B1632" s="1">
        <v>45868</v>
      </c>
      <c r="C1632" t="s">
        <v>4913</v>
      </c>
      <c r="D1632" t="s">
        <v>4914</v>
      </c>
      <c r="E1632" s="14">
        <v>923345978212</v>
      </c>
      <c r="F1632" t="s">
        <v>77</v>
      </c>
      <c r="G1632" t="s">
        <v>18</v>
      </c>
      <c r="H1632" t="s">
        <v>33</v>
      </c>
      <c r="I1632">
        <v>1</v>
      </c>
      <c r="J1632">
        <v>7693</v>
      </c>
      <c r="K1632">
        <v>7693</v>
      </c>
      <c r="L1632" t="s">
        <v>40</v>
      </c>
      <c r="M1632" t="s">
        <v>93</v>
      </c>
      <c r="N1632" t="s">
        <v>35</v>
      </c>
    </row>
    <row r="1633" spans="1:14" x14ac:dyDescent="0.25">
      <c r="A1633" t="s">
        <v>4915</v>
      </c>
      <c r="B1633" s="1">
        <v>46019</v>
      </c>
      <c r="C1633" t="s">
        <v>4916</v>
      </c>
      <c r="D1633" t="s">
        <v>4917</v>
      </c>
      <c r="E1633" s="14">
        <v>923320125099</v>
      </c>
      <c r="F1633" t="s">
        <v>17</v>
      </c>
      <c r="G1633" t="s">
        <v>18</v>
      </c>
      <c r="H1633" t="s">
        <v>39</v>
      </c>
      <c r="I1633">
        <v>1</v>
      </c>
      <c r="J1633">
        <v>6048</v>
      </c>
      <c r="K1633">
        <v>6048</v>
      </c>
      <c r="L1633" t="s">
        <v>68</v>
      </c>
      <c r="M1633" t="s">
        <v>82</v>
      </c>
      <c r="N1633" t="s">
        <v>69</v>
      </c>
    </row>
    <row r="1634" spans="1:14" x14ac:dyDescent="0.25">
      <c r="A1634" t="s">
        <v>4918</v>
      </c>
      <c r="B1634" s="1">
        <v>46029</v>
      </c>
      <c r="C1634" t="s">
        <v>4919</v>
      </c>
      <c r="D1634" t="s">
        <v>4920</v>
      </c>
      <c r="E1634" s="14">
        <v>923375032681</v>
      </c>
      <c r="F1634" t="s">
        <v>54</v>
      </c>
      <c r="G1634" t="s">
        <v>18</v>
      </c>
      <c r="H1634" t="s">
        <v>19</v>
      </c>
      <c r="I1634">
        <v>1</v>
      </c>
      <c r="J1634">
        <v>11079</v>
      </c>
      <c r="K1634">
        <v>11079</v>
      </c>
      <c r="L1634" t="s">
        <v>20</v>
      </c>
      <c r="M1634" t="s">
        <v>45</v>
      </c>
      <c r="N1634" t="s">
        <v>28</v>
      </c>
    </row>
    <row r="1635" spans="1:14" x14ac:dyDescent="0.25">
      <c r="A1635" t="s">
        <v>4921</v>
      </c>
      <c r="B1635" s="1">
        <v>46026</v>
      </c>
      <c r="C1635" t="s">
        <v>4922</v>
      </c>
      <c r="D1635" t="s">
        <v>4923</v>
      </c>
      <c r="E1635" s="14">
        <v>923083073646</v>
      </c>
      <c r="F1635" t="s">
        <v>54</v>
      </c>
      <c r="G1635" t="s">
        <v>18</v>
      </c>
      <c r="H1635" t="s">
        <v>33</v>
      </c>
      <c r="I1635">
        <v>5</v>
      </c>
      <c r="J1635">
        <v>13609</v>
      </c>
      <c r="K1635">
        <v>68045</v>
      </c>
      <c r="L1635" t="s">
        <v>40</v>
      </c>
      <c r="M1635" t="s">
        <v>34</v>
      </c>
      <c r="N1635" t="s">
        <v>69</v>
      </c>
    </row>
    <row r="1636" spans="1:14" x14ac:dyDescent="0.25">
      <c r="A1636" t="s">
        <v>4924</v>
      </c>
      <c r="B1636" s="1">
        <v>46041</v>
      </c>
      <c r="C1636" t="s">
        <v>4925</v>
      </c>
      <c r="D1636" t="s">
        <v>4926</v>
      </c>
      <c r="E1636" s="14">
        <v>923468481513</v>
      </c>
      <c r="F1636" t="s">
        <v>122</v>
      </c>
      <c r="G1636" t="s">
        <v>18</v>
      </c>
      <c r="H1636" t="s">
        <v>73</v>
      </c>
      <c r="I1636">
        <v>4</v>
      </c>
      <c r="J1636">
        <v>3426</v>
      </c>
      <c r="K1636">
        <v>13704</v>
      </c>
      <c r="L1636" t="s">
        <v>78</v>
      </c>
      <c r="M1636" t="s">
        <v>135</v>
      </c>
      <c r="N1636" t="s">
        <v>35</v>
      </c>
    </row>
    <row r="1637" spans="1:14" x14ac:dyDescent="0.25">
      <c r="A1637" t="s">
        <v>4927</v>
      </c>
      <c r="B1637" s="1">
        <v>45975</v>
      </c>
      <c r="C1637" t="s">
        <v>4928</v>
      </c>
      <c r="D1637" t="s">
        <v>4556</v>
      </c>
      <c r="E1637" s="14">
        <v>923092843102</v>
      </c>
      <c r="F1637" t="s">
        <v>106</v>
      </c>
      <c r="G1637" t="s">
        <v>18</v>
      </c>
      <c r="H1637" t="s">
        <v>59</v>
      </c>
      <c r="I1637">
        <v>3</v>
      </c>
      <c r="J1637">
        <v>2123</v>
      </c>
      <c r="K1637">
        <v>6369</v>
      </c>
      <c r="L1637" t="s">
        <v>40</v>
      </c>
      <c r="M1637" t="s">
        <v>27</v>
      </c>
      <c r="N1637" t="s">
        <v>69</v>
      </c>
    </row>
    <row r="1638" spans="1:14" x14ac:dyDescent="0.25">
      <c r="A1638" t="s">
        <v>4929</v>
      </c>
      <c r="B1638" s="1">
        <v>45824</v>
      </c>
      <c r="C1638" t="s">
        <v>4930</v>
      </c>
      <c r="D1638" t="s">
        <v>4931</v>
      </c>
      <c r="E1638" s="14">
        <v>923138395171</v>
      </c>
      <c r="F1638" t="s">
        <v>44</v>
      </c>
      <c r="G1638" t="s">
        <v>18</v>
      </c>
      <c r="H1638" t="s">
        <v>33</v>
      </c>
      <c r="I1638">
        <v>4</v>
      </c>
      <c r="J1638">
        <v>4156</v>
      </c>
      <c r="K1638">
        <v>16624</v>
      </c>
      <c r="L1638" t="s">
        <v>68</v>
      </c>
      <c r="M1638" t="s">
        <v>82</v>
      </c>
      <c r="N1638" t="s">
        <v>35</v>
      </c>
    </row>
    <row r="1639" spans="1:14" x14ac:dyDescent="0.25">
      <c r="A1639" t="s">
        <v>4932</v>
      </c>
      <c r="B1639" s="1">
        <v>45848</v>
      </c>
      <c r="C1639" t="s">
        <v>4933</v>
      </c>
      <c r="D1639" t="s">
        <v>4934</v>
      </c>
      <c r="E1639" s="14">
        <v>923276147483</v>
      </c>
      <c r="F1639" t="s">
        <v>17</v>
      </c>
      <c r="G1639" t="s">
        <v>18</v>
      </c>
      <c r="H1639" t="s">
        <v>59</v>
      </c>
      <c r="I1639">
        <v>2</v>
      </c>
      <c r="J1639">
        <v>5932</v>
      </c>
      <c r="K1639">
        <v>11864</v>
      </c>
      <c r="L1639" t="s">
        <v>26</v>
      </c>
      <c r="M1639" t="s">
        <v>135</v>
      </c>
      <c r="N1639" t="s">
        <v>22</v>
      </c>
    </row>
    <row r="1640" spans="1:14" x14ac:dyDescent="0.25">
      <c r="A1640" t="s">
        <v>4935</v>
      </c>
      <c r="B1640" s="1">
        <v>45711</v>
      </c>
      <c r="C1640" t="s">
        <v>4936</v>
      </c>
      <c r="D1640" t="s">
        <v>4937</v>
      </c>
      <c r="E1640" s="14">
        <v>923246635305</v>
      </c>
      <c r="F1640" t="s">
        <v>122</v>
      </c>
      <c r="G1640" t="s">
        <v>18</v>
      </c>
      <c r="H1640" t="s">
        <v>73</v>
      </c>
      <c r="I1640">
        <v>4</v>
      </c>
      <c r="J1640">
        <v>3020</v>
      </c>
      <c r="K1640">
        <v>12080</v>
      </c>
      <c r="L1640" t="s">
        <v>26</v>
      </c>
      <c r="M1640" t="s">
        <v>93</v>
      </c>
      <c r="N1640" t="s">
        <v>69</v>
      </c>
    </row>
    <row r="1641" spans="1:14" x14ac:dyDescent="0.25">
      <c r="A1641" t="s">
        <v>4938</v>
      </c>
      <c r="B1641" s="1">
        <v>45793</v>
      </c>
      <c r="C1641" t="s">
        <v>4939</v>
      </c>
      <c r="D1641" t="s">
        <v>4940</v>
      </c>
      <c r="E1641" s="14">
        <v>923245891292</v>
      </c>
      <c r="F1641" t="s">
        <v>77</v>
      </c>
      <c r="G1641" t="s">
        <v>18</v>
      </c>
      <c r="H1641" t="s">
        <v>19</v>
      </c>
      <c r="I1641">
        <v>3</v>
      </c>
      <c r="J1641">
        <v>14721</v>
      </c>
      <c r="K1641">
        <v>44163</v>
      </c>
      <c r="L1641" t="s">
        <v>78</v>
      </c>
      <c r="M1641" t="s">
        <v>27</v>
      </c>
      <c r="N1641" t="s">
        <v>35</v>
      </c>
    </row>
    <row r="1642" spans="1:14" x14ac:dyDescent="0.25">
      <c r="A1642" t="s">
        <v>4941</v>
      </c>
      <c r="B1642" s="1">
        <v>45955</v>
      </c>
      <c r="C1642" t="s">
        <v>4942</v>
      </c>
      <c r="D1642" t="s">
        <v>4943</v>
      </c>
      <c r="E1642" s="14">
        <v>923442267704</v>
      </c>
      <c r="F1642" t="s">
        <v>32</v>
      </c>
      <c r="G1642" t="s">
        <v>18</v>
      </c>
      <c r="H1642" t="s">
        <v>73</v>
      </c>
      <c r="I1642">
        <v>4</v>
      </c>
      <c r="J1642">
        <v>13458</v>
      </c>
      <c r="K1642">
        <v>53832</v>
      </c>
      <c r="L1642" t="s">
        <v>20</v>
      </c>
      <c r="M1642" t="s">
        <v>21</v>
      </c>
      <c r="N1642" t="s">
        <v>22</v>
      </c>
    </row>
    <row r="1643" spans="1:14" x14ac:dyDescent="0.25">
      <c r="A1643" t="s">
        <v>4944</v>
      </c>
      <c r="B1643" s="1">
        <v>45907</v>
      </c>
      <c r="C1643" t="s">
        <v>4945</v>
      </c>
      <c r="D1643" t="s">
        <v>4946</v>
      </c>
      <c r="E1643" s="14">
        <v>923036064171</v>
      </c>
      <c r="F1643" t="s">
        <v>92</v>
      </c>
      <c r="G1643" t="s">
        <v>18</v>
      </c>
      <c r="H1643" t="s">
        <v>73</v>
      </c>
      <c r="I1643">
        <v>2</v>
      </c>
      <c r="J1643">
        <v>8424</v>
      </c>
      <c r="K1643">
        <v>16848</v>
      </c>
      <c r="L1643" t="s">
        <v>63</v>
      </c>
      <c r="M1643" t="s">
        <v>45</v>
      </c>
      <c r="N1643" t="s">
        <v>35</v>
      </c>
    </row>
    <row r="1644" spans="1:14" x14ac:dyDescent="0.25">
      <c r="A1644" t="s">
        <v>4947</v>
      </c>
      <c r="B1644" s="1">
        <v>45729</v>
      </c>
      <c r="C1644" t="s">
        <v>4948</v>
      </c>
      <c r="D1644" t="s">
        <v>4949</v>
      </c>
      <c r="E1644" s="14">
        <v>923350440741</v>
      </c>
      <c r="F1644" t="s">
        <v>106</v>
      </c>
      <c r="G1644" t="s">
        <v>18</v>
      </c>
      <c r="H1644" t="s">
        <v>59</v>
      </c>
      <c r="I1644">
        <v>3</v>
      </c>
      <c r="J1644">
        <v>3526</v>
      </c>
      <c r="K1644">
        <v>10578</v>
      </c>
      <c r="L1644" t="s">
        <v>26</v>
      </c>
      <c r="M1644" t="s">
        <v>34</v>
      </c>
      <c r="N1644" t="s">
        <v>22</v>
      </c>
    </row>
    <row r="1645" spans="1:14" x14ac:dyDescent="0.25">
      <c r="A1645" t="s">
        <v>4950</v>
      </c>
      <c r="B1645" s="1">
        <v>45760</v>
      </c>
      <c r="C1645" t="s">
        <v>1563</v>
      </c>
      <c r="D1645" t="s">
        <v>4951</v>
      </c>
      <c r="E1645" s="14">
        <v>923183979897</v>
      </c>
      <c r="F1645" t="s">
        <v>122</v>
      </c>
      <c r="G1645" t="s">
        <v>18</v>
      </c>
      <c r="H1645" t="s">
        <v>73</v>
      </c>
      <c r="I1645">
        <v>5</v>
      </c>
      <c r="J1645">
        <v>8698</v>
      </c>
      <c r="K1645">
        <v>43490</v>
      </c>
      <c r="L1645" t="s">
        <v>20</v>
      </c>
      <c r="M1645" t="s">
        <v>55</v>
      </c>
      <c r="N1645" t="s">
        <v>35</v>
      </c>
    </row>
    <row r="1646" spans="1:14" x14ac:dyDescent="0.25">
      <c r="A1646" t="s">
        <v>4952</v>
      </c>
      <c r="B1646" s="1">
        <v>46062</v>
      </c>
      <c r="C1646" t="s">
        <v>4953</v>
      </c>
      <c r="D1646" t="s">
        <v>4954</v>
      </c>
      <c r="E1646" s="14">
        <v>923242493598</v>
      </c>
      <c r="F1646" t="s">
        <v>49</v>
      </c>
      <c r="G1646" t="s">
        <v>18</v>
      </c>
      <c r="H1646" t="s">
        <v>59</v>
      </c>
      <c r="I1646">
        <v>3</v>
      </c>
      <c r="J1646">
        <v>2857</v>
      </c>
      <c r="K1646">
        <v>8571</v>
      </c>
      <c r="L1646" t="s">
        <v>20</v>
      </c>
      <c r="M1646" t="s">
        <v>135</v>
      </c>
      <c r="N1646" t="s">
        <v>35</v>
      </c>
    </row>
    <row r="1647" spans="1:14" x14ac:dyDescent="0.25">
      <c r="A1647" t="s">
        <v>4955</v>
      </c>
      <c r="B1647" s="1">
        <v>45833</v>
      </c>
      <c r="C1647" t="s">
        <v>4956</v>
      </c>
      <c r="D1647" t="s">
        <v>4957</v>
      </c>
      <c r="E1647" s="14">
        <v>923457706603</v>
      </c>
      <c r="F1647" t="s">
        <v>106</v>
      </c>
      <c r="G1647" t="s">
        <v>18</v>
      </c>
      <c r="H1647" t="s">
        <v>33</v>
      </c>
      <c r="I1647">
        <v>4</v>
      </c>
      <c r="J1647">
        <v>3596</v>
      </c>
      <c r="K1647">
        <v>14384</v>
      </c>
      <c r="L1647" t="s">
        <v>26</v>
      </c>
      <c r="M1647" t="s">
        <v>135</v>
      </c>
      <c r="N1647" t="s">
        <v>22</v>
      </c>
    </row>
    <row r="1648" spans="1:14" x14ac:dyDescent="0.25">
      <c r="A1648" t="s">
        <v>4958</v>
      </c>
      <c r="B1648" s="1">
        <v>45920</v>
      </c>
      <c r="C1648" t="s">
        <v>1308</v>
      </c>
      <c r="D1648" t="s">
        <v>4959</v>
      </c>
      <c r="E1648" s="14">
        <v>923125659803</v>
      </c>
      <c r="F1648" t="s">
        <v>77</v>
      </c>
      <c r="G1648" t="s">
        <v>18</v>
      </c>
      <c r="H1648" t="s">
        <v>50</v>
      </c>
      <c r="I1648">
        <v>4</v>
      </c>
      <c r="J1648">
        <v>11026</v>
      </c>
      <c r="K1648">
        <v>44104</v>
      </c>
      <c r="L1648" t="s">
        <v>40</v>
      </c>
      <c r="M1648" t="s">
        <v>34</v>
      </c>
      <c r="N1648" t="s">
        <v>35</v>
      </c>
    </row>
    <row r="1649" spans="1:14" x14ac:dyDescent="0.25">
      <c r="A1649" t="s">
        <v>4960</v>
      </c>
      <c r="B1649" s="1">
        <v>46007</v>
      </c>
      <c r="C1649" t="s">
        <v>4961</v>
      </c>
      <c r="D1649" t="s">
        <v>4962</v>
      </c>
      <c r="E1649" s="14">
        <v>923021821295</v>
      </c>
      <c r="F1649" t="s">
        <v>49</v>
      </c>
      <c r="G1649" t="s">
        <v>18</v>
      </c>
      <c r="H1649" t="s">
        <v>19</v>
      </c>
      <c r="I1649">
        <v>2</v>
      </c>
      <c r="J1649">
        <v>9402</v>
      </c>
      <c r="K1649">
        <v>18804</v>
      </c>
      <c r="L1649" t="s">
        <v>63</v>
      </c>
      <c r="M1649" t="s">
        <v>135</v>
      </c>
      <c r="N1649" t="s">
        <v>22</v>
      </c>
    </row>
    <row r="1650" spans="1:14" x14ac:dyDescent="0.25">
      <c r="A1650" t="s">
        <v>4963</v>
      </c>
      <c r="B1650" s="1">
        <v>45990</v>
      </c>
      <c r="C1650" t="s">
        <v>4964</v>
      </c>
      <c r="D1650" t="s">
        <v>4965</v>
      </c>
      <c r="E1650" s="14">
        <v>923381556287</v>
      </c>
      <c r="F1650" t="s">
        <v>122</v>
      </c>
      <c r="G1650" t="s">
        <v>18</v>
      </c>
      <c r="H1650" t="s">
        <v>33</v>
      </c>
      <c r="I1650">
        <v>4</v>
      </c>
      <c r="J1650">
        <v>2126</v>
      </c>
      <c r="K1650">
        <v>8504</v>
      </c>
      <c r="L1650" t="s">
        <v>68</v>
      </c>
      <c r="M1650" t="s">
        <v>45</v>
      </c>
      <c r="N1650" t="s">
        <v>22</v>
      </c>
    </row>
    <row r="1651" spans="1:14" x14ac:dyDescent="0.25">
      <c r="A1651" t="s">
        <v>4966</v>
      </c>
      <c r="B1651" s="1">
        <v>45981</v>
      </c>
      <c r="C1651" t="s">
        <v>4967</v>
      </c>
      <c r="D1651" t="s">
        <v>4968</v>
      </c>
      <c r="E1651" s="14">
        <v>923089398511</v>
      </c>
      <c r="F1651" t="s">
        <v>122</v>
      </c>
      <c r="G1651" t="s">
        <v>18</v>
      </c>
      <c r="H1651" t="s">
        <v>73</v>
      </c>
      <c r="I1651">
        <v>4</v>
      </c>
      <c r="J1651">
        <v>1853</v>
      </c>
      <c r="K1651">
        <v>7412</v>
      </c>
      <c r="L1651" t="s">
        <v>40</v>
      </c>
      <c r="M1651" t="s">
        <v>55</v>
      </c>
      <c r="N1651" t="s">
        <v>22</v>
      </c>
    </row>
    <row r="1652" spans="1:14" x14ac:dyDescent="0.25">
      <c r="A1652" t="s">
        <v>4969</v>
      </c>
      <c r="B1652" s="1">
        <v>46027</v>
      </c>
      <c r="C1652" t="s">
        <v>4970</v>
      </c>
      <c r="D1652" t="s">
        <v>4971</v>
      </c>
      <c r="E1652" s="14">
        <v>923320342969</v>
      </c>
      <c r="F1652" t="s">
        <v>44</v>
      </c>
      <c r="G1652" t="s">
        <v>18</v>
      </c>
      <c r="H1652" t="s">
        <v>33</v>
      </c>
      <c r="I1652">
        <v>5</v>
      </c>
      <c r="J1652">
        <v>9359</v>
      </c>
      <c r="K1652">
        <v>46795</v>
      </c>
      <c r="L1652" t="s">
        <v>78</v>
      </c>
      <c r="M1652" t="s">
        <v>27</v>
      </c>
      <c r="N1652" t="s">
        <v>35</v>
      </c>
    </row>
    <row r="1653" spans="1:14" x14ac:dyDescent="0.25">
      <c r="A1653" t="s">
        <v>4972</v>
      </c>
      <c r="B1653" s="1">
        <v>45960</v>
      </c>
      <c r="C1653" t="s">
        <v>1888</v>
      </c>
      <c r="D1653" t="s">
        <v>4973</v>
      </c>
      <c r="E1653" s="14">
        <v>923186694670</v>
      </c>
      <c r="F1653" t="s">
        <v>77</v>
      </c>
      <c r="G1653" t="s">
        <v>18</v>
      </c>
      <c r="H1653" t="s">
        <v>39</v>
      </c>
      <c r="I1653">
        <v>3</v>
      </c>
      <c r="J1653">
        <v>7749</v>
      </c>
      <c r="K1653">
        <v>23247</v>
      </c>
      <c r="L1653" t="s">
        <v>68</v>
      </c>
      <c r="M1653" t="s">
        <v>45</v>
      </c>
      <c r="N1653" t="s">
        <v>69</v>
      </c>
    </row>
    <row r="1654" spans="1:14" x14ac:dyDescent="0.25">
      <c r="A1654" t="s">
        <v>4974</v>
      </c>
      <c r="B1654" s="1">
        <v>45715</v>
      </c>
      <c r="C1654" t="s">
        <v>4975</v>
      </c>
      <c r="D1654" t="s">
        <v>4976</v>
      </c>
      <c r="E1654" s="14">
        <v>923297375650</v>
      </c>
      <c r="F1654" t="s">
        <v>122</v>
      </c>
      <c r="G1654" t="s">
        <v>18</v>
      </c>
      <c r="H1654" t="s">
        <v>59</v>
      </c>
      <c r="I1654">
        <v>5</v>
      </c>
      <c r="J1654">
        <v>5433</v>
      </c>
      <c r="K1654">
        <v>27165</v>
      </c>
      <c r="L1654" t="s">
        <v>40</v>
      </c>
      <c r="M1654" t="s">
        <v>82</v>
      </c>
      <c r="N1654" t="s">
        <v>28</v>
      </c>
    </row>
    <row r="1655" spans="1:14" x14ac:dyDescent="0.25">
      <c r="A1655" t="s">
        <v>4977</v>
      </c>
      <c r="B1655" s="1">
        <v>46050</v>
      </c>
      <c r="C1655" t="s">
        <v>4978</v>
      </c>
      <c r="D1655" t="s">
        <v>4979</v>
      </c>
      <c r="E1655" s="14">
        <v>923424486162</v>
      </c>
      <c r="F1655" t="s">
        <v>77</v>
      </c>
      <c r="G1655" t="s">
        <v>18</v>
      </c>
      <c r="H1655" t="s">
        <v>73</v>
      </c>
      <c r="I1655">
        <v>2</v>
      </c>
      <c r="J1655">
        <v>7023</v>
      </c>
      <c r="K1655">
        <v>14046</v>
      </c>
      <c r="L1655" t="s">
        <v>63</v>
      </c>
      <c r="M1655" t="s">
        <v>45</v>
      </c>
      <c r="N1655" t="s">
        <v>28</v>
      </c>
    </row>
    <row r="1656" spans="1:14" x14ac:dyDescent="0.25">
      <c r="A1656" t="s">
        <v>4980</v>
      </c>
      <c r="B1656" s="1">
        <v>45970</v>
      </c>
      <c r="C1656" t="s">
        <v>4981</v>
      </c>
      <c r="D1656" t="s">
        <v>4982</v>
      </c>
      <c r="E1656" s="14">
        <v>923444935370</v>
      </c>
      <c r="F1656" t="s">
        <v>32</v>
      </c>
      <c r="G1656" t="s">
        <v>18</v>
      </c>
      <c r="H1656" t="s">
        <v>33</v>
      </c>
      <c r="I1656">
        <v>5</v>
      </c>
      <c r="J1656">
        <v>3487</v>
      </c>
      <c r="K1656">
        <v>17435</v>
      </c>
      <c r="L1656" t="s">
        <v>20</v>
      </c>
      <c r="M1656" t="s">
        <v>27</v>
      </c>
      <c r="N1656" t="s">
        <v>35</v>
      </c>
    </row>
    <row r="1657" spans="1:14" x14ac:dyDescent="0.25">
      <c r="A1657" t="s">
        <v>4983</v>
      </c>
      <c r="B1657" s="1">
        <v>46039</v>
      </c>
      <c r="C1657" t="s">
        <v>4984</v>
      </c>
      <c r="D1657" t="s">
        <v>4985</v>
      </c>
      <c r="E1657" s="14">
        <v>923286766054</v>
      </c>
      <c r="F1657" t="s">
        <v>92</v>
      </c>
      <c r="G1657" t="s">
        <v>18</v>
      </c>
      <c r="H1657" t="s">
        <v>50</v>
      </c>
      <c r="I1657">
        <v>5</v>
      </c>
      <c r="J1657">
        <v>9549</v>
      </c>
      <c r="K1657">
        <v>47745</v>
      </c>
      <c r="L1657" t="s">
        <v>78</v>
      </c>
      <c r="M1657" t="s">
        <v>135</v>
      </c>
      <c r="N1657" t="s">
        <v>35</v>
      </c>
    </row>
    <row r="1658" spans="1:14" x14ac:dyDescent="0.25">
      <c r="A1658" t="s">
        <v>4986</v>
      </c>
      <c r="B1658" s="1">
        <v>45953</v>
      </c>
      <c r="C1658" t="s">
        <v>3390</v>
      </c>
      <c r="D1658" t="s">
        <v>4987</v>
      </c>
      <c r="E1658" s="14">
        <v>923399812775</v>
      </c>
      <c r="F1658" t="s">
        <v>106</v>
      </c>
      <c r="G1658" t="s">
        <v>18</v>
      </c>
      <c r="H1658" t="s">
        <v>33</v>
      </c>
      <c r="I1658">
        <v>5</v>
      </c>
      <c r="J1658">
        <v>7717</v>
      </c>
      <c r="K1658">
        <v>38585</v>
      </c>
      <c r="L1658" t="s">
        <v>20</v>
      </c>
      <c r="M1658" t="s">
        <v>27</v>
      </c>
      <c r="N1658" t="s">
        <v>69</v>
      </c>
    </row>
    <row r="1659" spans="1:14" x14ac:dyDescent="0.25">
      <c r="A1659" t="s">
        <v>4988</v>
      </c>
      <c r="B1659" s="1">
        <v>45730</v>
      </c>
      <c r="C1659" t="s">
        <v>4989</v>
      </c>
      <c r="D1659" t="s">
        <v>4990</v>
      </c>
      <c r="E1659" s="14">
        <v>923100364262</v>
      </c>
      <c r="F1659" t="s">
        <v>54</v>
      </c>
      <c r="G1659" t="s">
        <v>18</v>
      </c>
      <c r="H1659" t="s">
        <v>33</v>
      </c>
      <c r="I1659">
        <v>5</v>
      </c>
      <c r="J1659">
        <v>3911</v>
      </c>
      <c r="K1659">
        <v>19555</v>
      </c>
      <c r="L1659" t="s">
        <v>20</v>
      </c>
      <c r="M1659" t="s">
        <v>21</v>
      </c>
      <c r="N1659" t="s">
        <v>28</v>
      </c>
    </row>
    <row r="1660" spans="1:14" x14ac:dyDescent="0.25">
      <c r="A1660" t="s">
        <v>4991</v>
      </c>
      <c r="B1660" s="1">
        <v>46062</v>
      </c>
      <c r="C1660" t="s">
        <v>4992</v>
      </c>
      <c r="D1660" t="s">
        <v>4993</v>
      </c>
      <c r="E1660" s="14">
        <v>923367333814</v>
      </c>
      <c r="F1660" t="s">
        <v>54</v>
      </c>
      <c r="G1660" t="s">
        <v>18</v>
      </c>
      <c r="H1660" t="s">
        <v>59</v>
      </c>
      <c r="I1660">
        <v>1</v>
      </c>
      <c r="J1660">
        <v>6588</v>
      </c>
      <c r="K1660">
        <v>6588</v>
      </c>
      <c r="L1660" t="s">
        <v>68</v>
      </c>
      <c r="M1660" t="s">
        <v>34</v>
      </c>
      <c r="N1660" t="s">
        <v>35</v>
      </c>
    </row>
    <row r="1661" spans="1:14" x14ac:dyDescent="0.25">
      <c r="A1661" t="s">
        <v>4994</v>
      </c>
      <c r="B1661" s="1">
        <v>45985</v>
      </c>
      <c r="C1661" t="s">
        <v>4995</v>
      </c>
      <c r="D1661" t="s">
        <v>4996</v>
      </c>
      <c r="E1661" s="14">
        <v>923421585236</v>
      </c>
      <c r="F1661" t="s">
        <v>77</v>
      </c>
      <c r="G1661" t="s">
        <v>18</v>
      </c>
      <c r="H1661" t="s">
        <v>33</v>
      </c>
      <c r="I1661">
        <v>2</v>
      </c>
      <c r="J1661">
        <v>12066</v>
      </c>
      <c r="K1661">
        <v>24132</v>
      </c>
      <c r="L1661" t="s">
        <v>40</v>
      </c>
      <c r="M1661" t="s">
        <v>82</v>
      </c>
      <c r="N1661" t="s">
        <v>35</v>
      </c>
    </row>
    <row r="1662" spans="1:14" x14ac:dyDescent="0.25">
      <c r="A1662" t="s">
        <v>4997</v>
      </c>
      <c r="B1662" s="1">
        <v>45879</v>
      </c>
      <c r="C1662" t="s">
        <v>4998</v>
      </c>
      <c r="D1662" t="s">
        <v>4999</v>
      </c>
      <c r="E1662" s="14">
        <v>923483568379</v>
      </c>
      <c r="F1662" t="s">
        <v>77</v>
      </c>
      <c r="G1662" t="s">
        <v>18</v>
      </c>
      <c r="H1662" t="s">
        <v>59</v>
      </c>
      <c r="I1662">
        <v>2</v>
      </c>
      <c r="J1662">
        <v>13961</v>
      </c>
      <c r="K1662">
        <v>27922</v>
      </c>
      <c r="L1662" t="s">
        <v>68</v>
      </c>
      <c r="M1662" t="s">
        <v>45</v>
      </c>
      <c r="N1662" t="s">
        <v>28</v>
      </c>
    </row>
    <row r="1663" spans="1:14" x14ac:dyDescent="0.25">
      <c r="A1663" t="s">
        <v>5000</v>
      </c>
      <c r="B1663" s="1">
        <v>45710</v>
      </c>
      <c r="C1663" t="s">
        <v>5001</v>
      </c>
      <c r="D1663" t="s">
        <v>5002</v>
      </c>
      <c r="E1663" s="14">
        <v>923479076787</v>
      </c>
      <c r="F1663" t="s">
        <v>77</v>
      </c>
      <c r="G1663" t="s">
        <v>18</v>
      </c>
      <c r="H1663" t="s">
        <v>50</v>
      </c>
      <c r="I1663">
        <v>5</v>
      </c>
      <c r="J1663">
        <v>10276</v>
      </c>
      <c r="K1663">
        <v>51380</v>
      </c>
      <c r="L1663" t="s">
        <v>78</v>
      </c>
      <c r="M1663" t="s">
        <v>93</v>
      </c>
      <c r="N1663" t="s">
        <v>22</v>
      </c>
    </row>
    <row r="1664" spans="1:14" x14ac:dyDescent="0.25">
      <c r="A1664" t="s">
        <v>5003</v>
      </c>
      <c r="B1664" s="1">
        <v>46059</v>
      </c>
      <c r="C1664" t="s">
        <v>5004</v>
      </c>
      <c r="D1664" t="s">
        <v>5005</v>
      </c>
      <c r="E1664" s="14">
        <v>923007399244</v>
      </c>
      <c r="F1664" t="s">
        <v>54</v>
      </c>
      <c r="G1664" t="s">
        <v>18</v>
      </c>
      <c r="H1664" t="s">
        <v>73</v>
      </c>
      <c r="I1664">
        <v>1</v>
      </c>
      <c r="J1664">
        <v>6704</v>
      </c>
      <c r="K1664">
        <v>6704</v>
      </c>
      <c r="L1664" t="s">
        <v>78</v>
      </c>
      <c r="M1664" t="s">
        <v>27</v>
      </c>
      <c r="N1664" t="s">
        <v>69</v>
      </c>
    </row>
    <row r="1665" spans="1:14" x14ac:dyDescent="0.25">
      <c r="A1665" t="s">
        <v>5006</v>
      </c>
      <c r="B1665" s="1">
        <v>45820</v>
      </c>
      <c r="C1665" t="s">
        <v>5007</v>
      </c>
      <c r="D1665" t="s">
        <v>5008</v>
      </c>
      <c r="E1665" s="14">
        <v>923154403849</v>
      </c>
      <c r="F1665" t="s">
        <v>44</v>
      </c>
      <c r="G1665" t="s">
        <v>18</v>
      </c>
      <c r="H1665" t="s">
        <v>59</v>
      </c>
      <c r="I1665">
        <v>2</v>
      </c>
      <c r="J1665">
        <v>10413</v>
      </c>
      <c r="K1665">
        <v>20826</v>
      </c>
      <c r="L1665" t="s">
        <v>20</v>
      </c>
      <c r="M1665" t="s">
        <v>27</v>
      </c>
      <c r="N1665" t="s">
        <v>69</v>
      </c>
    </row>
    <row r="1666" spans="1:14" x14ac:dyDescent="0.25">
      <c r="A1666" t="s">
        <v>5009</v>
      </c>
      <c r="B1666" s="1">
        <v>46061</v>
      </c>
      <c r="C1666" t="s">
        <v>449</v>
      </c>
      <c r="D1666" t="s">
        <v>5010</v>
      </c>
      <c r="E1666" s="14">
        <v>923126834580</v>
      </c>
      <c r="F1666" t="s">
        <v>54</v>
      </c>
      <c r="G1666" t="s">
        <v>18</v>
      </c>
      <c r="H1666" t="s">
        <v>59</v>
      </c>
      <c r="I1666">
        <v>2</v>
      </c>
      <c r="J1666">
        <v>11037</v>
      </c>
      <c r="K1666">
        <v>22074</v>
      </c>
      <c r="L1666" t="s">
        <v>40</v>
      </c>
      <c r="M1666" t="s">
        <v>55</v>
      </c>
      <c r="N1666" t="s">
        <v>22</v>
      </c>
    </row>
    <row r="1667" spans="1:14" x14ac:dyDescent="0.25">
      <c r="A1667" t="s">
        <v>5011</v>
      </c>
      <c r="B1667" s="1">
        <v>45999</v>
      </c>
      <c r="C1667" t="s">
        <v>5012</v>
      </c>
      <c r="D1667" t="s">
        <v>5013</v>
      </c>
      <c r="E1667" s="14">
        <v>923109246074</v>
      </c>
      <c r="F1667" t="s">
        <v>54</v>
      </c>
      <c r="G1667" t="s">
        <v>18</v>
      </c>
      <c r="H1667" t="s">
        <v>19</v>
      </c>
      <c r="I1667">
        <v>1</v>
      </c>
      <c r="J1667">
        <v>6086</v>
      </c>
      <c r="K1667">
        <v>6086</v>
      </c>
      <c r="L1667" t="s">
        <v>26</v>
      </c>
      <c r="M1667" t="s">
        <v>45</v>
      </c>
      <c r="N1667" t="s">
        <v>22</v>
      </c>
    </row>
    <row r="1668" spans="1:14" x14ac:dyDescent="0.25">
      <c r="A1668" t="s">
        <v>5014</v>
      </c>
      <c r="B1668" s="1">
        <v>45948</v>
      </c>
      <c r="C1668" t="s">
        <v>5015</v>
      </c>
      <c r="D1668" t="s">
        <v>5016</v>
      </c>
      <c r="E1668" s="14">
        <v>923068738273</v>
      </c>
      <c r="F1668" t="s">
        <v>77</v>
      </c>
      <c r="G1668" t="s">
        <v>18</v>
      </c>
      <c r="H1668" t="s">
        <v>39</v>
      </c>
      <c r="I1668">
        <v>4</v>
      </c>
      <c r="J1668">
        <v>7634</v>
      </c>
      <c r="K1668">
        <v>30536</v>
      </c>
      <c r="L1668" t="s">
        <v>20</v>
      </c>
      <c r="M1668" t="s">
        <v>82</v>
      </c>
      <c r="N1668" t="s">
        <v>69</v>
      </c>
    </row>
    <row r="1669" spans="1:14" x14ac:dyDescent="0.25">
      <c r="A1669" t="s">
        <v>5017</v>
      </c>
      <c r="B1669" s="1">
        <v>45880</v>
      </c>
      <c r="C1669" t="s">
        <v>5018</v>
      </c>
      <c r="D1669" t="s">
        <v>5019</v>
      </c>
      <c r="E1669" s="14">
        <v>923060470929</v>
      </c>
      <c r="F1669" t="s">
        <v>32</v>
      </c>
      <c r="G1669" t="s">
        <v>18</v>
      </c>
      <c r="H1669" t="s">
        <v>33</v>
      </c>
      <c r="I1669">
        <v>4</v>
      </c>
      <c r="J1669">
        <v>9711</v>
      </c>
      <c r="K1669">
        <v>38844</v>
      </c>
      <c r="L1669" t="s">
        <v>26</v>
      </c>
      <c r="M1669" t="s">
        <v>93</v>
      </c>
      <c r="N1669" t="s">
        <v>28</v>
      </c>
    </row>
    <row r="1670" spans="1:14" x14ac:dyDescent="0.25">
      <c r="A1670" t="s">
        <v>5020</v>
      </c>
      <c r="B1670" s="1">
        <v>45990</v>
      </c>
      <c r="C1670" t="s">
        <v>5021</v>
      </c>
      <c r="D1670" t="s">
        <v>5022</v>
      </c>
      <c r="E1670" s="14">
        <v>923016956540</v>
      </c>
      <c r="F1670" t="s">
        <v>77</v>
      </c>
      <c r="G1670" t="s">
        <v>18</v>
      </c>
      <c r="H1670" t="s">
        <v>73</v>
      </c>
      <c r="I1670">
        <v>3</v>
      </c>
      <c r="J1670">
        <v>1059</v>
      </c>
      <c r="K1670">
        <v>3177</v>
      </c>
      <c r="L1670" t="s">
        <v>63</v>
      </c>
      <c r="M1670" t="s">
        <v>27</v>
      </c>
      <c r="N1670" t="s">
        <v>28</v>
      </c>
    </row>
    <row r="1671" spans="1:14" x14ac:dyDescent="0.25">
      <c r="A1671" t="s">
        <v>5023</v>
      </c>
      <c r="B1671" s="1">
        <v>45847</v>
      </c>
      <c r="C1671" t="s">
        <v>5024</v>
      </c>
      <c r="D1671" t="s">
        <v>5025</v>
      </c>
      <c r="E1671" s="14">
        <v>923477495663</v>
      </c>
      <c r="F1671" t="s">
        <v>44</v>
      </c>
      <c r="G1671" t="s">
        <v>18</v>
      </c>
      <c r="H1671" t="s">
        <v>50</v>
      </c>
      <c r="I1671">
        <v>3</v>
      </c>
      <c r="J1671">
        <v>6781</v>
      </c>
      <c r="K1671">
        <v>20343</v>
      </c>
      <c r="L1671" t="s">
        <v>40</v>
      </c>
      <c r="M1671" t="s">
        <v>55</v>
      </c>
      <c r="N1671" t="s">
        <v>22</v>
      </c>
    </row>
    <row r="1672" spans="1:14" x14ac:dyDescent="0.25">
      <c r="A1672" t="s">
        <v>5026</v>
      </c>
      <c r="B1672" s="1">
        <v>45835</v>
      </c>
      <c r="C1672" t="s">
        <v>5027</v>
      </c>
      <c r="D1672" t="s">
        <v>5028</v>
      </c>
      <c r="E1672" s="14">
        <v>923152607602</v>
      </c>
      <c r="F1672" t="s">
        <v>32</v>
      </c>
      <c r="G1672" t="s">
        <v>18</v>
      </c>
      <c r="H1672" t="s">
        <v>73</v>
      </c>
      <c r="I1672">
        <v>4</v>
      </c>
      <c r="J1672">
        <v>4781</v>
      </c>
      <c r="K1672">
        <v>19124</v>
      </c>
      <c r="L1672" t="s">
        <v>40</v>
      </c>
      <c r="M1672" t="s">
        <v>82</v>
      </c>
      <c r="N1672" t="s">
        <v>22</v>
      </c>
    </row>
    <row r="1673" spans="1:14" x14ac:dyDescent="0.25">
      <c r="A1673" t="s">
        <v>5029</v>
      </c>
      <c r="B1673" s="1">
        <v>45714</v>
      </c>
      <c r="C1673" t="s">
        <v>5030</v>
      </c>
      <c r="D1673" t="s">
        <v>5031</v>
      </c>
      <c r="E1673" s="14">
        <v>923326499759</v>
      </c>
      <c r="F1673" t="s">
        <v>49</v>
      </c>
      <c r="G1673" t="s">
        <v>18</v>
      </c>
      <c r="H1673" t="s">
        <v>33</v>
      </c>
      <c r="I1673">
        <v>2</v>
      </c>
      <c r="J1673">
        <v>12439</v>
      </c>
      <c r="K1673">
        <v>24878</v>
      </c>
      <c r="L1673" t="s">
        <v>20</v>
      </c>
      <c r="M1673" t="s">
        <v>135</v>
      </c>
      <c r="N1673" t="s">
        <v>28</v>
      </c>
    </row>
    <row r="1674" spans="1:14" x14ac:dyDescent="0.25">
      <c r="A1674" t="s">
        <v>5032</v>
      </c>
      <c r="B1674" s="1">
        <v>45883</v>
      </c>
      <c r="C1674" t="s">
        <v>5033</v>
      </c>
      <c r="D1674" t="s">
        <v>5034</v>
      </c>
      <c r="E1674" s="14">
        <v>923125061270</v>
      </c>
      <c r="F1674" t="s">
        <v>49</v>
      </c>
      <c r="G1674" t="s">
        <v>18</v>
      </c>
      <c r="H1674" t="s">
        <v>33</v>
      </c>
      <c r="I1674">
        <v>1</v>
      </c>
      <c r="J1674">
        <v>13265</v>
      </c>
      <c r="K1674">
        <v>13265</v>
      </c>
      <c r="L1674" t="s">
        <v>78</v>
      </c>
      <c r="M1674" t="s">
        <v>45</v>
      </c>
      <c r="N1674" t="s">
        <v>69</v>
      </c>
    </row>
    <row r="1675" spans="1:14" x14ac:dyDescent="0.25">
      <c r="A1675" t="s">
        <v>5035</v>
      </c>
      <c r="B1675" s="1">
        <v>45869</v>
      </c>
      <c r="C1675" t="s">
        <v>5036</v>
      </c>
      <c r="D1675" t="s">
        <v>5037</v>
      </c>
      <c r="E1675" s="14">
        <v>923091285800</v>
      </c>
      <c r="F1675" t="s">
        <v>49</v>
      </c>
      <c r="G1675" t="s">
        <v>18</v>
      </c>
      <c r="H1675" t="s">
        <v>73</v>
      </c>
      <c r="I1675">
        <v>3</v>
      </c>
      <c r="J1675">
        <v>5056</v>
      </c>
      <c r="K1675">
        <v>15168</v>
      </c>
      <c r="L1675" t="s">
        <v>26</v>
      </c>
      <c r="M1675" t="s">
        <v>135</v>
      </c>
      <c r="N1675" t="s">
        <v>69</v>
      </c>
    </row>
    <row r="1676" spans="1:14" x14ac:dyDescent="0.25">
      <c r="A1676" t="s">
        <v>5038</v>
      </c>
      <c r="B1676" s="1">
        <v>45923</v>
      </c>
      <c r="C1676" t="s">
        <v>5039</v>
      </c>
      <c r="D1676" t="s">
        <v>5040</v>
      </c>
      <c r="E1676" s="14">
        <v>923429058413</v>
      </c>
      <c r="F1676" t="s">
        <v>32</v>
      </c>
      <c r="G1676" t="s">
        <v>18</v>
      </c>
      <c r="H1676" t="s">
        <v>73</v>
      </c>
      <c r="I1676">
        <v>5</v>
      </c>
      <c r="J1676">
        <v>8309</v>
      </c>
      <c r="K1676">
        <v>41545</v>
      </c>
      <c r="L1676" t="s">
        <v>20</v>
      </c>
      <c r="M1676" t="s">
        <v>45</v>
      </c>
      <c r="N1676" t="s">
        <v>35</v>
      </c>
    </row>
    <row r="1677" spans="1:14" x14ac:dyDescent="0.25">
      <c r="A1677" t="s">
        <v>5041</v>
      </c>
      <c r="B1677" s="1">
        <v>45903</v>
      </c>
      <c r="C1677" t="s">
        <v>5042</v>
      </c>
      <c r="D1677" t="s">
        <v>5043</v>
      </c>
      <c r="E1677" s="14">
        <v>923257225436</v>
      </c>
      <c r="F1677" t="s">
        <v>54</v>
      </c>
      <c r="G1677" t="s">
        <v>18</v>
      </c>
      <c r="H1677" t="s">
        <v>39</v>
      </c>
      <c r="I1677">
        <v>3</v>
      </c>
      <c r="J1677">
        <v>14948</v>
      </c>
      <c r="K1677">
        <v>44844</v>
      </c>
      <c r="L1677" t="s">
        <v>63</v>
      </c>
      <c r="M1677" t="s">
        <v>135</v>
      </c>
      <c r="N1677" t="s">
        <v>28</v>
      </c>
    </row>
    <row r="1678" spans="1:14" x14ac:dyDescent="0.25">
      <c r="A1678" t="s">
        <v>5044</v>
      </c>
      <c r="B1678" s="1">
        <v>45853</v>
      </c>
      <c r="C1678" t="s">
        <v>5045</v>
      </c>
      <c r="D1678" t="s">
        <v>5046</v>
      </c>
      <c r="E1678" s="14">
        <v>923183669849</v>
      </c>
      <c r="F1678" t="s">
        <v>106</v>
      </c>
      <c r="G1678" t="s">
        <v>18</v>
      </c>
      <c r="H1678" t="s">
        <v>50</v>
      </c>
      <c r="I1678">
        <v>2</v>
      </c>
      <c r="J1678">
        <v>3770</v>
      </c>
      <c r="K1678">
        <v>7540</v>
      </c>
      <c r="L1678" t="s">
        <v>78</v>
      </c>
      <c r="M1678" t="s">
        <v>34</v>
      </c>
      <c r="N1678" t="s">
        <v>22</v>
      </c>
    </row>
    <row r="1679" spans="1:14" x14ac:dyDescent="0.25">
      <c r="A1679" t="s">
        <v>5047</v>
      </c>
      <c r="B1679" s="1">
        <v>45882</v>
      </c>
      <c r="C1679" t="s">
        <v>5048</v>
      </c>
      <c r="D1679" t="s">
        <v>5049</v>
      </c>
      <c r="E1679" s="14">
        <v>923108054168</v>
      </c>
      <c r="F1679" t="s">
        <v>122</v>
      </c>
      <c r="G1679" t="s">
        <v>18</v>
      </c>
      <c r="H1679" t="s">
        <v>19</v>
      </c>
      <c r="I1679">
        <v>3</v>
      </c>
      <c r="J1679">
        <v>10592</v>
      </c>
      <c r="K1679">
        <v>31776</v>
      </c>
      <c r="L1679" t="s">
        <v>68</v>
      </c>
      <c r="M1679" t="s">
        <v>21</v>
      </c>
      <c r="N1679" t="s">
        <v>69</v>
      </c>
    </row>
    <row r="1680" spans="1:14" x14ac:dyDescent="0.25">
      <c r="A1680" t="s">
        <v>5050</v>
      </c>
      <c r="B1680" s="1">
        <v>45838</v>
      </c>
      <c r="C1680" t="s">
        <v>5051</v>
      </c>
      <c r="D1680" t="s">
        <v>5052</v>
      </c>
      <c r="E1680" s="14">
        <v>923394042477</v>
      </c>
      <c r="F1680" t="s">
        <v>92</v>
      </c>
      <c r="G1680" t="s">
        <v>18</v>
      </c>
      <c r="H1680" t="s">
        <v>59</v>
      </c>
      <c r="I1680">
        <v>2</v>
      </c>
      <c r="J1680">
        <v>14039</v>
      </c>
      <c r="K1680">
        <v>28078</v>
      </c>
      <c r="L1680" t="s">
        <v>40</v>
      </c>
      <c r="M1680" t="s">
        <v>55</v>
      </c>
      <c r="N1680" t="s">
        <v>22</v>
      </c>
    </row>
    <row r="1681" spans="1:14" x14ac:dyDescent="0.25">
      <c r="A1681" t="s">
        <v>5053</v>
      </c>
      <c r="B1681" s="1">
        <v>45923</v>
      </c>
      <c r="C1681" t="s">
        <v>5054</v>
      </c>
      <c r="D1681" t="s">
        <v>5055</v>
      </c>
      <c r="E1681" s="14">
        <v>923191108197</v>
      </c>
      <c r="F1681" t="s">
        <v>67</v>
      </c>
      <c r="G1681" t="s">
        <v>18</v>
      </c>
      <c r="H1681" t="s">
        <v>59</v>
      </c>
      <c r="I1681">
        <v>4</v>
      </c>
      <c r="J1681">
        <v>2527</v>
      </c>
      <c r="K1681">
        <v>10108</v>
      </c>
      <c r="L1681" t="s">
        <v>78</v>
      </c>
      <c r="M1681" t="s">
        <v>34</v>
      </c>
      <c r="N1681" t="s">
        <v>22</v>
      </c>
    </row>
    <row r="1682" spans="1:14" x14ac:dyDescent="0.25">
      <c r="A1682" t="s">
        <v>5056</v>
      </c>
      <c r="B1682" s="1">
        <v>45763</v>
      </c>
      <c r="C1682" t="s">
        <v>5057</v>
      </c>
      <c r="D1682" t="s">
        <v>5058</v>
      </c>
      <c r="E1682" s="14">
        <v>923100116735</v>
      </c>
      <c r="F1682" t="s">
        <v>54</v>
      </c>
      <c r="G1682" t="s">
        <v>18</v>
      </c>
      <c r="H1682" t="s">
        <v>33</v>
      </c>
      <c r="I1682">
        <v>5</v>
      </c>
      <c r="J1682">
        <v>13674</v>
      </c>
      <c r="K1682">
        <v>68370</v>
      </c>
      <c r="L1682" t="s">
        <v>68</v>
      </c>
      <c r="M1682" t="s">
        <v>21</v>
      </c>
      <c r="N1682" t="s">
        <v>35</v>
      </c>
    </row>
    <row r="1683" spans="1:14" x14ac:dyDescent="0.25">
      <c r="A1683" t="s">
        <v>5059</v>
      </c>
      <c r="B1683" s="1">
        <v>45732</v>
      </c>
      <c r="C1683" t="s">
        <v>5060</v>
      </c>
      <c r="D1683" t="s">
        <v>5061</v>
      </c>
      <c r="E1683" s="14">
        <v>923246676235</v>
      </c>
      <c r="F1683" t="s">
        <v>77</v>
      </c>
      <c r="G1683" t="s">
        <v>18</v>
      </c>
      <c r="H1683" t="s">
        <v>50</v>
      </c>
      <c r="I1683">
        <v>4</v>
      </c>
      <c r="J1683">
        <v>14917</v>
      </c>
      <c r="K1683">
        <v>59668</v>
      </c>
      <c r="L1683" t="s">
        <v>63</v>
      </c>
      <c r="M1683" t="s">
        <v>55</v>
      </c>
      <c r="N1683" t="s">
        <v>28</v>
      </c>
    </row>
    <row r="1684" spans="1:14" x14ac:dyDescent="0.25">
      <c r="A1684" t="s">
        <v>5062</v>
      </c>
      <c r="B1684" s="1">
        <v>45821</v>
      </c>
      <c r="C1684" t="s">
        <v>5063</v>
      </c>
      <c r="D1684" t="s">
        <v>5064</v>
      </c>
      <c r="E1684" s="14">
        <v>923483887914</v>
      </c>
      <c r="F1684" t="s">
        <v>49</v>
      </c>
      <c r="G1684" t="s">
        <v>18</v>
      </c>
      <c r="H1684" t="s">
        <v>19</v>
      </c>
      <c r="I1684">
        <v>2</v>
      </c>
      <c r="J1684">
        <v>11801</v>
      </c>
      <c r="K1684">
        <v>23602</v>
      </c>
      <c r="L1684" t="s">
        <v>40</v>
      </c>
      <c r="M1684" t="s">
        <v>93</v>
      </c>
      <c r="N1684" t="s">
        <v>28</v>
      </c>
    </row>
    <row r="1685" spans="1:14" x14ac:dyDescent="0.25">
      <c r="A1685" t="s">
        <v>5065</v>
      </c>
      <c r="B1685" s="1">
        <v>45835</v>
      </c>
      <c r="C1685" t="s">
        <v>5066</v>
      </c>
      <c r="D1685" t="s">
        <v>5067</v>
      </c>
      <c r="E1685" s="14">
        <v>923376344371</v>
      </c>
      <c r="F1685" t="s">
        <v>77</v>
      </c>
      <c r="G1685" t="s">
        <v>18</v>
      </c>
      <c r="H1685" t="s">
        <v>33</v>
      </c>
      <c r="I1685">
        <v>4</v>
      </c>
      <c r="J1685">
        <v>10553</v>
      </c>
      <c r="K1685">
        <v>42212</v>
      </c>
      <c r="L1685" t="s">
        <v>40</v>
      </c>
      <c r="M1685" t="s">
        <v>82</v>
      </c>
      <c r="N1685" t="s">
        <v>35</v>
      </c>
    </row>
    <row r="1686" spans="1:14" x14ac:dyDescent="0.25">
      <c r="A1686" t="s">
        <v>5068</v>
      </c>
      <c r="B1686" s="1">
        <v>45878</v>
      </c>
      <c r="C1686" t="s">
        <v>5069</v>
      </c>
      <c r="D1686" t="s">
        <v>5070</v>
      </c>
      <c r="E1686" s="14">
        <v>923053211426</v>
      </c>
      <c r="F1686" t="s">
        <v>67</v>
      </c>
      <c r="G1686" t="s">
        <v>18</v>
      </c>
      <c r="H1686" t="s">
        <v>59</v>
      </c>
      <c r="I1686">
        <v>4</v>
      </c>
      <c r="J1686">
        <v>10560</v>
      </c>
      <c r="K1686">
        <v>42240</v>
      </c>
      <c r="L1686" t="s">
        <v>68</v>
      </c>
      <c r="M1686" t="s">
        <v>21</v>
      </c>
      <c r="N1686" t="s">
        <v>28</v>
      </c>
    </row>
    <row r="1687" spans="1:14" x14ac:dyDescent="0.25">
      <c r="A1687" t="s">
        <v>5071</v>
      </c>
      <c r="B1687" s="1">
        <v>46068</v>
      </c>
      <c r="C1687" t="s">
        <v>5072</v>
      </c>
      <c r="D1687" t="s">
        <v>5073</v>
      </c>
      <c r="E1687" s="14">
        <v>923276369818</v>
      </c>
      <c r="F1687" t="s">
        <v>77</v>
      </c>
      <c r="G1687" t="s">
        <v>18</v>
      </c>
      <c r="H1687" t="s">
        <v>59</v>
      </c>
      <c r="I1687">
        <v>5</v>
      </c>
      <c r="J1687">
        <v>3057</v>
      </c>
      <c r="K1687">
        <v>15285</v>
      </c>
      <c r="L1687" t="s">
        <v>78</v>
      </c>
      <c r="M1687" t="s">
        <v>93</v>
      </c>
      <c r="N1687" t="s">
        <v>28</v>
      </c>
    </row>
    <row r="1688" spans="1:14" x14ac:dyDescent="0.25">
      <c r="A1688" t="s">
        <v>5074</v>
      </c>
      <c r="B1688" s="1">
        <v>45815</v>
      </c>
      <c r="C1688" t="s">
        <v>5075</v>
      </c>
      <c r="D1688" t="s">
        <v>5076</v>
      </c>
      <c r="E1688" s="14">
        <v>923038902643</v>
      </c>
      <c r="F1688" t="s">
        <v>17</v>
      </c>
      <c r="G1688" t="s">
        <v>18</v>
      </c>
      <c r="H1688" t="s">
        <v>19</v>
      </c>
      <c r="I1688">
        <v>1</v>
      </c>
      <c r="J1688">
        <v>9111</v>
      </c>
      <c r="K1688">
        <v>9111</v>
      </c>
      <c r="L1688" t="s">
        <v>40</v>
      </c>
      <c r="M1688" t="s">
        <v>45</v>
      </c>
      <c r="N1688" t="s">
        <v>28</v>
      </c>
    </row>
    <row r="1689" spans="1:14" x14ac:dyDescent="0.25">
      <c r="A1689" t="s">
        <v>5077</v>
      </c>
      <c r="B1689" s="1">
        <v>46030</v>
      </c>
      <c r="C1689" t="s">
        <v>4033</v>
      </c>
      <c r="D1689" t="s">
        <v>5078</v>
      </c>
      <c r="E1689" s="14">
        <v>923395723042</v>
      </c>
      <c r="F1689" t="s">
        <v>122</v>
      </c>
      <c r="G1689" t="s">
        <v>18</v>
      </c>
      <c r="H1689" t="s">
        <v>73</v>
      </c>
      <c r="I1689">
        <v>3</v>
      </c>
      <c r="J1689">
        <v>4586</v>
      </c>
      <c r="K1689">
        <v>13758</v>
      </c>
      <c r="L1689" t="s">
        <v>68</v>
      </c>
      <c r="M1689" t="s">
        <v>82</v>
      </c>
      <c r="N1689" t="s">
        <v>69</v>
      </c>
    </row>
    <row r="1690" spans="1:14" x14ac:dyDescent="0.25">
      <c r="A1690" t="s">
        <v>5079</v>
      </c>
      <c r="B1690" s="1">
        <v>46028</v>
      </c>
      <c r="C1690" t="s">
        <v>5080</v>
      </c>
      <c r="D1690" t="s">
        <v>5081</v>
      </c>
      <c r="E1690" s="14">
        <v>923157980221</v>
      </c>
      <c r="F1690" t="s">
        <v>44</v>
      </c>
      <c r="G1690" t="s">
        <v>18</v>
      </c>
      <c r="H1690" t="s">
        <v>59</v>
      </c>
      <c r="I1690">
        <v>5</v>
      </c>
      <c r="J1690">
        <v>6630</v>
      </c>
      <c r="K1690">
        <v>33150</v>
      </c>
      <c r="L1690" t="s">
        <v>26</v>
      </c>
      <c r="M1690" t="s">
        <v>55</v>
      </c>
      <c r="N1690" t="s">
        <v>22</v>
      </c>
    </row>
    <row r="1691" spans="1:14" x14ac:dyDescent="0.25">
      <c r="A1691" t="s">
        <v>5082</v>
      </c>
      <c r="B1691" s="1">
        <v>46054</v>
      </c>
      <c r="C1691" t="s">
        <v>5083</v>
      </c>
      <c r="D1691" t="s">
        <v>5084</v>
      </c>
      <c r="E1691" s="14">
        <v>923028049256</v>
      </c>
      <c r="F1691" t="s">
        <v>44</v>
      </c>
      <c r="G1691" t="s">
        <v>18</v>
      </c>
      <c r="H1691" t="s">
        <v>73</v>
      </c>
      <c r="I1691">
        <v>5</v>
      </c>
      <c r="J1691">
        <v>3178</v>
      </c>
      <c r="K1691">
        <v>15890</v>
      </c>
      <c r="L1691" t="s">
        <v>68</v>
      </c>
      <c r="M1691" t="s">
        <v>27</v>
      </c>
      <c r="N1691" t="s">
        <v>28</v>
      </c>
    </row>
    <row r="1692" spans="1:14" x14ac:dyDescent="0.25">
      <c r="A1692" t="s">
        <v>5085</v>
      </c>
      <c r="B1692" s="1">
        <v>46068</v>
      </c>
      <c r="C1692" t="s">
        <v>5086</v>
      </c>
      <c r="D1692" t="s">
        <v>5087</v>
      </c>
      <c r="E1692" s="14">
        <v>923472573637</v>
      </c>
      <c r="F1692" t="s">
        <v>17</v>
      </c>
      <c r="G1692" t="s">
        <v>18</v>
      </c>
      <c r="H1692" t="s">
        <v>39</v>
      </c>
      <c r="I1692">
        <v>1</v>
      </c>
      <c r="J1692">
        <v>1490</v>
      </c>
      <c r="K1692">
        <v>1490</v>
      </c>
      <c r="L1692" t="s">
        <v>68</v>
      </c>
      <c r="M1692" t="s">
        <v>135</v>
      </c>
      <c r="N1692" t="s">
        <v>35</v>
      </c>
    </row>
    <row r="1693" spans="1:14" x14ac:dyDescent="0.25">
      <c r="A1693" t="s">
        <v>5088</v>
      </c>
      <c r="B1693" s="1">
        <v>45891</v>
      </c>
      <c r="C1693" t="s">
        <v>5089</v>
      </c>
      <c r="D1693" t="s">
        <v>5090</v>
      </c>
      <c r="E1693" s="14">
        <v>923258618832</v>
      </c>
      <c r="F1693" t="s">
        <v>77</v>
      </c>
      <c r="G1693" t="s">
        <v>18</v>
      </c>
      <c r="H1693" t="s">
        <v>59</v>
      </c>
      <c r="I1693">
        <v>2</v>
      </c>
      <c r="J1693">
        <v>2692</v>
      </c>
      <c r="K1693">
        <v>5384</v>
      </c>
      <c r="L1693" t="s">
        <v>63</v>
      </c>
      <c r="M1693" t="s">
        <v>82</v>
      </c>
      <c r="N1693" t="s">
        <v>28</v>
      </c>
    </row>
    <row r="1694" spans="1:14" x14ac:dyDescent="0.25">
      <c r="A1694" t="s">
        <v>5091</v>
      </c>
      <c r="B1694" s="1">
        <v>45943</v>
      </c>
      <c r="C1694" t="s">
        <v>5092</v>
      </c>
      <c r="D1694" t="s">
        <v>5093</v>
      </c>
      <c r="E1694" s="14">
        <v>923133185327</v>
      </c>
      <c r="F1694" t="s">
        <v>106</v>
      </c>
      <c r="G1694" t="s">
        <v>18</v>
      </c>
      <c r="H1694" t="s">
        <v>59</v>
      </c>
      <c r="I1694">
        <v>1</v>
      </c>
      <c r="J1694">
        <v>8440</v>
      </c>
      <c r="K1694">
        <v>8440</v>
      </c>
      <c r="L1694" t="s">
        <v>68</v>
      </c>
      <c r="M1694" t="s">
        <v>21</v>
      </c>
      <c r="N1694" t="s">
        <v>69</v>
      </c>
    </row>
    <row r="1695" spans="1:14" x14ac:dyDescent="0.25">
      <c r="A1695" t="s">
        <v>5094</v>
      </c>
      <c r="B1695" s="1">
        <v>46069</v>
      </c>
      <c r="C1695" t="s">
        <v>5095</v>
      </c>
      <c r="D1695" t="s">
        <v>5096</v>
      </c>
      <c r="E1695" s="14">
        <v>923291655479</v>
      </c>
      <c r="F1695" t="s">
        <v>17</v>
      </c>
      <c r="G1695" t="s">
        <v>18</v>
      </c>
      <c r="H1695" t="s">
        <v>50</v>
      </c>
      <c r="I1695">
        <v>4</v>
      </c>
      <c r="J1695">
        <v>2678</v>
      </c>
      <c r="K1695">
        <v>10712</v>
      </c>
      <c r="L1695" t="s">
        <v>63</v>
      </c>
      <c r="M1695" t="s">
        <v>27</v>
      </c>
      <c r="N1695" t="s">
        <v>22</v>
      </c>
    </row>
    <row r="1696" spans="1:14" x14ac:dyDescent="0.25">
      <c r="A1696" t="s">
        <v>5097</v>
      </c>
      <c r="B1696" s="1">
        <v>46067</v>
      </c>
      <c r="C1696" t="s">
        <v>5098</v>
      </c>
      <c r="D1696" t="s">
        <v>5099</v>
      </c>
      <c r="E1696" s="14">
        <v>923462902747</v>
      </c>
      <c r="F1696" t="s">
        <v>17</v>
      </c>
      <c r="G1696" t="s">
        <v>18</v>
      </c>
      <c r="H1696" t="s">
        <v>73</v>
      </c>
      <c r="I1696">
        <v>2</v>
      </c>
      <c r="J1696">
        <v>9684</v>
      </c>
      <c r="K1696">
        <v>19368</v>
      </c>
      <c r="L1696" t="s">
        <v>63</v>
      </c>
      <c r="M1696" t="s">
        <v>45</v>
      </c>
      <c r="N1696" t="s">
        <v>28</v>
      </c>
    </row>
    <row r="1697" spans="1:14" x14ac:dyDescent="0.25">
      <c r="A1697" t="s">
        <v>5100</v>
      </c>
      <c r="B1697" s="1">
        <v>46009</v>
      </c>
      <c r="C1697" t="s">
        <v>5101</v>
      </c>
      <c r="D1697" t="s">
        <v>5102</v>
      </c>
      <c r="E1697" s="14">
        <v>923028859818</v>
      </c>
      <c r="F1697" t="s">
        <v>122</v>
      </c>
      <c r="G1697" t="s">
        <v>18</v>
      </c>
      <c r="H1697" t="s">
        <v>59</v>
      </c>
      <c r="I1697">
        <v>3</v>
      </c>
      <c r="J1697">
        <v>9450</v>
      </c>
      <c r="K1697">
        <v>28350</v>
      </c>
      <c r="L1697" t="s">
        <v>68</v>
      </c>
      <c r="M1697" t="s">
        <v>135</v>
      </c>
      <c r="N1697" t="s">
        <v>28</v>
      </c>
    </row>
    <row r="1698" spans="1:14" x14ac:dyDescent="0.25">
      <c r="A1698" t="s">
        <v>5103</v>
      </c>
      <c r="B1698" s="1">
        <v>45900</v>
      </c>
      <c r="C1698" t="s">
        <v>5104</v>
      </c>
      <c r="D1698" t="s">
        <v>5105</v>
      </c>
      <c r="E1698" s="14">
        <v>923358495710</v>
      </c>
      <c r="F1698" t="s">
        <v>67</v>
      </c>
      <c r="G1698" t="s">
        <v>18</v>
      </c>
      <c r="H1698" t="s">
        <v>50</v>
      </c>
      <c r="I1698">
        <v>2</v>
      </c>
      <c r="J1698">
        <v>13038</v>
      </c>
      <c r="K1698">
        <v>26076</v>
      </c>
      <c r="L1698" t="s">
        <v>68</v>
      </c>
      <c r="M1698" t="s">
        <v>27</v>
      </c>
      <c r="N1698" t="s">
        <v>28</v>
      </c>
    </row>
    <row r="1699" spans="1:14" x14ac:dyDescent="0.25">
      <c r="A1699" t="s">
        <v>5106</v>
      </c>
      <c r="B1699" s="1">
        <v>45837</v>
      </c>
      <c r="C1699" t="s">
        <v>5107</v>
      </c>
      <c r="D1699" t="s">
        <v>5108</v>
      </c>
      <c r="E1699" s="14">
        <v>923354094020</v>
      </c>
      <c r="F1699" t="s">
        <v>54</v>
      </c>
      <c r="G1699" t="s">
        <v>18</v>
      </c>
      <c r="H1699" t="s">
        <v>33</v>
      </c>
      <c r="I1699">
        <v>3</v>
      </c>
      <c r="J1699">
        <v>11093</v>
      </c>
      <c r="K1699">
        <v>33279</v>
      </c>
      <c r="L1699" t="s">
        <v>26</v>
      </c>
      <c r="M1699" t="s">
        <v>27</v>
      </c>
      <c r="N1699" t="s">
        <v>69</v>
      </c>
    </row>
    <row r="1700" spans="1:14" x14ac:dyDescent="0.25">
      <c r="A1700" t="s">
        <v>5109</v>
      </c>
      <c r="B1700" s="1">
        <v>45769</v>
      </c>
      <c r="C1700" t="s">
        <v>5110</v>
      </c>
      <c r="D1700" t="s">
        <v>5111</v>
      </c>
      <c r="E1700" s="14">
        <v>923074822720</v>
      </c>
      <c r="F1700" t="s">
        <v>92</v>
      </c>
      <c r="G1700" t="s">
        <v>18</v>
      </c>
      <c r="H1700" t="s">
        <v>19</v>
      </c>
      <c r="I1700">
        <v>1</v>
      </c>
      <c r="J1700">
        <v>2502</v>
      </c>
      <c r="K1700">
        <v>2502</v>
      </c>
      <c r="L1700" t="s">
        <v>63</v>
      </c>
      <c r="M1700" t="s">
        <v>21</v>
      </c>
      <c r="N1700" t="s">
        <v>22</v>
      </c>
    </row>
    <row r="1701" spans="1:14" x14ac:dyDescent="0.25">
      <c r="A1701" t="s">
        <v>5112</v>
      </c>
      <c r="B1701" s="1">
        <v>45783</v>
      </c>
      <c r="C1701" t="s">
        <v>5113</v>
      </c>
      <c r="D1701" t="s">
        <v>5114</v>
      </c>
      <c r="E1701" s="14">
        <v>923077546524</v>
      </c>
      <c r="F1701" t="s">
        <v>67</v>
      </c>
      <c r="G1701" t="s">
        <v>18</v>
      </c>
      <c r="H1701" t="s">
        <v>19</v>
      </c>
      <c r="I1701">
        <v>2</v>
      </c>
      <c r="J1701">
        <v>8796</v>
      </c>
      <c r="K1701">
        <v>17592</v>
      </c>
      <c r="L1701" t="s">
        <v>78</v>
      </c>
      <c r="M1701" t="s">
        <v>45</v>
      </c>
      <c r="N1701" t="s">
        <v>22</v>
      </c>
    </row>
    <row r="1702" spans="1:14" x14ac:dyDescent="0.25">
      <c r="A1702" t="s">
        <v>5115</v>
      </c>
      <c r="B1702" s="1">
        <v>45877</v>
      </c>
      <c r="C1702" t="s">
        <v>5116</v>
      </c>
      <c r="D1702" t="s">
        <v>5117</v>
      </c>
      <c r="E1702" s="14">
        <v>923152725534</v>
      </c>
      <c r="F1702" t="s">
        <v>67</v>
      </c>
      <c r="G1702" t="s">
        <v>18</v>
      </c>
      <c r="H1702" t="s">
        <v>19</v>
      </c>
      <c r="I1702">
        <v>1</v>
      </c>
      <c r="J1702">
        <v>7640</v>
      </c>
      <c r="K1702">
        <v>7640</v>
      </c>
      <c r="L1702" t="s">
        <v>40</v>
      </c>
      <c r="M1702" t="s">
        <v>93</v>
      </c>
      <c r="N1702" t="s">
        <v>22</v>
      </c>
    </row>
    <row r="1703" spans="1:14" x14ac:dyDescent="0.25">
      <c r="A1703" t="s">
        <v>5118</v>
      </c>
      <c r="B1703" s="1">
        <v>45811</v>
      </c>
      <c r="C1703" t="s">
        <v>5119</v>
      </c>
      <c r="D1703" t="s">
        <v>5120</v>
      </c>
      <c r="E1703" s="14">
        <v>923128165070</v>
      </c>
      <c r="F1703" t="s">
        <v>67</v>
      </c>
      <c r="G1703" t="s">
        <v>18</v>
      </c>
      <c r="H1703" t="s">
        <v>33</v>
      </c>
      <c r="I1703">
        <v>3</v>
      </c>
      <c r="J1703">
        <v>2612</v>
      </c>
      <c r="K1703">
        <v>7836</v>
      </c>
      <c r="L1703" t="s">
        <v>26</v>
      </c>
      <c r="M1703" t="s">
        <v>34</v>
      </c>
      <c r="N1703" t="s">
        <v>69</v>
      </c>
    </row>
    <row r="1704" spans="1:14" x14ac:dyDescent="0.25">
      <c r="A1704" t="s">
        <v>5121</v>
      </c>
      <c r="B1704" s="1">
        <v>45735</v>
      </c>
      <c r="C1704" t="s">
        <v>5122</v>
      </c>
      <c r="D1704" t="s">
        <v>5123</v>
      </c>
      <c r="E1704" s="14">
        <v>923028478882</v>
      </c>
      <c r="F1704" t="s">
        <v>67</v>
      </c>
      <c r="G1704" t="s">
        <v>18</v>
      </c>
      <c r="H1704" t="s">
        <v>39</v>
      </c>
      <c r="I1704">
        <v>5</v>
      </c>
      <c r="J1704">
        <v>6617</v>
      </c>
      <c r="K1704">
        <v>33085</v>
      </c>
      <c r="L1704" t="s">
        <v>68</v>
      </c>
      <c r="M1704" t="s">
        <v>27</v>
      </c>
      <c r="N1704" t="s">
        <v>35</v>
      </c>
    </row>
    <row r="1705" spans="1:14" x14ac:dyDescent="0.25">
      <c r="A1705" t="s">
        <v>5124</v>
      </c>
      <c r="B1705" s="1">
        <v>45872</v>
      </c>
      <c r="C1705" t="s">
        <v>5125</v>
      </c>
      <c r="D1705" t="s">
        <v>5126</v>
      </c>
      <c r="E1705" s="14">
        <v>923234676491</v>
      </c>
      <c r="F1705" t="s">
        <v>67</v>
      </c>
      <c r="G1705" t="s">
        <v>18</v>
      </c>
      <c r="H1705" t="s">
        <v>19</v>
      </c>
      <c r="I1705">
        <v>2</v>
      </c>
      <c r="J1705">
        <v>1157</v>
      </c>
      <c r="K1705">
        <v>2314</v>
      </c>
      <c r="L1705" t="s">
        <v>40</v>
      </c>
      <c r="M1705" t="s">
        <v>93</v>
      </c>
      <c r="N1705" t="s">
        <v>22</v>
      </c>
    </row>
    <row r="1706" spans="1:14" x14ac:dyDescent="0.25">
      <c r="A1706" t="s">
        <v>5127</v>
      </c>
      <c r="B1706" s="1">
        <v>45964</v>
      </c>
      <c r="C1706" t="s">
        <v>5128</v>
      </c>
      <c r="D1706" t="s">
        <v>5129</v>
      </c>
      <c r="E1706" s="14">
        <v>923157336996</v>
      </c>
      <c r="F1706" t="s">
        <v>77</v>
      </c>
      <c r="G1706" t="s">
        <v>18</v>
      </c>
      <c r="H1706" t="s">
        <v>39</v>
      </c>
      <c r="I1706">
        <v>1</v>
      </c>
      <c r="J1706">
        <v>7016</v>
      </c>
      <c r="K1706">
        <v>7016</v>
      </c>
      <c r="L1706" t="s">
        <v>26</v>
      </c>
      <c r="M1706" t="s">
        <v>27</v>
      </c>
      <c r="N1706" t="s">
        <v>69</v>
      </c>
    </row>
    <row r="1707" spans="1:14" x14ac:dyDescent="0.25">
      <c r="A1707" t="s">
        <v>5130</v>
      </c>
      <c r="B1707" s="1">
        <v>45877</v>
      </c>
      <c r="C1707" t="s">
        <v>5131</v>
      </c>
      <c r="D1707" t="s">
        <v>5132</v>
      </c>
      <c r="E1707" s="14">
        <v>923417027760</v>
      </c>
      <c r="F1707" t="s">
        <v>67</v>
      </c>
      <c r="G1707" t="s">
        <v>18</v>
      </c>
      <c r="H1707" t="s">
        <v>73</v>
      </c>
      <c r="I1707">
        <v>3</v>
      </c>
      <c r="J1707">
        <v>10380</v>
      </c>
      <c r="K1707">
        <v>31140</v>
      </c>
      <c r="L1707" t="s">
        <v>20</v>
      </c>
      <c r="M1707" t="s">
        <v>45</v>
      </c>
      <c r="N1707" t="s">
        <v>28</v>
      </c>
    </row>
    <row r="1708" spans="1:14" x14ac:dyDescent="0.25">
      <c r="A1708" t="s">
        <v>5133</v>
      </c>
      <c r="B1708" s="1">
        <v>45896</v>
      </c>
      <c r="C1708" t="s">
        <v>5134</v>
      </c>
      <c r="D1708" t="s">
        <v>5135</v>
      </c>
      <c r="E1708" s="14">
        <v>923093740900</v>
      </c>
      <c r="F1708" t="s">
        <v>92</v>
      </c>
      <c r="G1708" t="s">
        <v>18</v>
      </c>
      <c r="H1708" t="s">
        <v>50</v>
      </c>
      <c r="I1708">
        <v>4</v>
      </c>
      <c r="J1708">
        <v>4060</v>
      </c>
      <c r="K1708">
        <v>16240</v>
      </c>
      <c r="L1708" t="s">
        <v>63</v>
      </c>
      <c r="M1708" t="s">
        <v>27</v>
      </c>
      <c r="N1708" t="s">
        <v>35</v>
      </c>
    </row>
    <row r="1709" spans="1:14" x14ac:dyDescent="0.25">
      <c r="A1709" t="s">
        <v>5136</v>
      </c>
      <c r="B1709" s="1">
        <v>45957</v>
      </c>
      <c r="C1709" t="s">
        <v>5137</v>
      </c>
      <c r="D1709" t="s">
        <v>5138</v>
      </c>
      <c r="E1709" s="14">
        <v>923066954197</v>
      </c>
      <c r="F1709" t="s">
        <v>54</v>
      </c>
      <c r="G1709" t="s">
        <v>18</v>
      </c>
      <c r="H1709" t="s">
        <v>59</v>
      </c>
      <c r="I1709">
        <v>1</v>
      </c>
      <c r="J1709">
        <v>4001</v>
      </c>
      <c r="K1709">
        <v>4001</v>
      </c>
      <c r="L1709" t="s">
        <v>40</v>
      </c>
      <c r="M1709" t="s">
        <v>55</v>
      </c>
      <c r="N1709" t="s">
        <v>35</v>
      </c>
    </row>
    <row r="1710" spans="1:14" x14ac:dyDescent="0.25">
      <c r="A1710" t="s">
        <v>5139</v>
      </c>
      <c r="B1710" s="1">
        <v>46064</v>
      </c>
      <c r="C1710" t="s">
        <v>5140</v>
      </c>
      <c r="D1710" t="s">
        <v>5141</v>
      </c>
      <c r="E1710" s="14">
        <v>923138623507</v>
      </c>
      <c r="F1710" t="s">
        <v>67</v>
      </c>
      <c r="G1710" t="s">
        <v>18</v>
      </c>
      <c r="H1710" t="s">
        <v>73</v>
      </c>
      <c r="I1710">
        <v>2</v>
      </c>
      <c r="J1710">
        <v>3996</v>
      </c>
      <c r="K1710">
        <v>7992</v>
      </c>
      <c r="L1710" t="s">
        <v>68</v>
      </c>
      <c r="M1710" t="s">
        <v>34</v>
      </c>
      <c r="N1710" t="s">
        <v>28</v>
      </c>
    </row>
    <row r="1711" spans="1:14" x14ac:dyDescent="0.25">
      <c r="A1711" t="s">
        <v>5142</v>
      </c>
      <c r="B1711" s="1">
        <v>45903</v>
      </c>
      <c r="C1711" t="s">
        <v>5143</v>
      </c>
      <c r="D1711" t="s">
        <v>5144</v>
      </c>
      <c r="E1711" s="14">
        <v>923313406218</v>
      </c>
      <c r="F1711" t="s">
        <v>49</v>
      </c>
      <c r="G1711" t="s">
        <v>18</v>
      </c>
      <c r="H1711" t="s">
        <v>50</v>
      </c>
      <c r="I1711">
        <v>4</v>
      </c>
      <c r="J1711">
        <v>2176</v>
      </c>
      <c r="K1711">
        <v>8704</v>
      </c>
      <c r="L1711" t="s">
        <v>68</v>
      </c>
      <c r="M1711" t="s">
        <v>34</v>
      </c>
      <c r="N1711" t="s">
        <v>22</v>
      </c>
    </row>
    <row r="1712" spans="1:14" x14ac:dyDescent="0.25">
      <c r="A1712" t="s">
        <v>5145</v>
      </c>
      <c r="B1712" s="1">
        <v>45774</v>
      </c>
      <c r="C1712" t="s">
        <v>5146</v>
      </c>
      <c r="D1712" t="s">
        <v>5147</v>
      </c>
      <c r="E1712" s="14">
        <v>923193204145</v>
      </c>
      <c r="F1712" t="s">
        <v>49</v>
      </c>
      <c r="G1712" t="s">
        <v>18</v>
      </c>
      <c r="H1712" t="s">
        <v>39</v>
      </c>
      <c r="I1712">
        <v>4</v>
      </c>
      <c r="J1712">
        <v>14311</v>
      </c>
      <c r="K1712">
        <v>57244</v>
      </c>
      <c r="L1712" t="s">
        <v>26</v>
      </c>
      <c r="M1712" t="s">
        <v>93</v>
      </c>
      <c r="N1712" t="s">
        <v>22</v>
      </c>
    </row>
    <row r="1713" spans="1:14" x14ac:dyDescent="0.25">
      <c r="A1713" t="s">
        <v>5148</v>
      </c>
      <c r="B1713" s="1">
        <v>45714</v>
      </c>
      <c r="C1713" t="s">
        <v>5149</v>
      </c>
      <c r="D1713" t="s">
        <v>5150</v>
      </c>
      <c r="E1713" s="14">
        <v>923029055787</v>
      </c>
      <c r="F1713" t="s">
        <v>32</v>
      </c>
      <c r="G1713" t="s">
        <v>18</v>
      </c>
      <c r="H1713" t="s">
        <v>39</v>
      </c>
      <c r="I1713">
        <v>4</v>
      </c>
      <c r="J1713">
        <v>7440</v>
      </c>
      <c r="K1713">
        <v>29760</v>
      </c>
      <c r="L1713" t="s">
        <v>78</v>
      </c>
      <c r="M1713" t="s">
        <v>21</v>
      </c>
      <c r="N1713" t="s">
        <v>28</v>
      </c>
    </row>
    <row r="1714" spans="1:14" x14ac:dyDescent="0.25">
      <c r="A1714" t="s">
        <v>5151</v>
      </c>
      <c r="B1714" s="1">
        <v>46003</v>
      </c>
      <c r="C1714" t="s">
        <v>5152</v>
      </c>
      <c r="D1714" t="s">
        <v>5153</v>
      </c>
      <c r="E1714" s="14">
        <v>923419867750</v>
      </c>
      <c r="F1714" t="s">
        <v>49</v>
      </c>
      <c r="G1714" t="s">
        <v>18</v>
      </c>
      <c r="H1714" t="s">
        <v>39</v>
      </c>
      <c r="I1714">
        <v>1</v>
      </c>
      <c r="J1714">
        <v>9029</v>
      </c>
      <c r="K1714">
        <v>9029</v>
      </c>
      <c r="L1714" t="s">
        <v>26</v>
      </c>
      <c r="M1714" t="s">
        <v>27</v>
      </c>
      <c r="N1714" t="s">
        <v>69</v>
      </c>
    </row>
    <row r="1715" spans="1:14" x14ac:dyDescent="0.25">
      <c r="A1715" t="s">
        <v>5154</v>
      </c>
      <c r="B1715" s="1">
        <v>45794</v>
      </c>
      <c r="C1715" t="s">
        <v>5155</v>
      </c>
      <c r="D1715" t="s">
        <v>5156</v>
      </c>
      <c r="E1715" s="14">
        <v>923107587466</v>
      </c>
      <c r="F1715" t="s">
        <v>67</v>
      </c>
      <c r="G1715" t="s">
        <v>18</v>
      </c>
      <c r="H1715" t="s">
        <v>39</v>
      </c>
      <c r="I1715">
        <v>3</v>
      </c>
      <c r="J1715">
        <v>9449</v>
      </c>
      <c r="K1715">
        <v>28347</v>
      </c>
      <c r="L1715" t="s">
        <v>78</v>
      </c>
      <c r="M1715" t="s">
        <v>55</v>
      </c>
      <c r="N1715" t="s">
        <v>28</v>
      </c>
    </row>
    <row r="1716" spans="1:14" x14ac:dyDescent="0.25">
      <c r="A1716" t="s">
        <v>5157</v>
      </c>
      <c r="B1716" s="1">
        <v>45746</v>
      </c>
      <c r="C1716" t="s">
        <v>5158</v>
      </c>
      <c r="D1716" t="s">
        <v>5159</v>
      </c>
      <c r="E1716" s="14">
        <v>923123668874</v>
      </c>
      <c r="F1716" t="s">
        <v>92</v>
      </c>
      <c r="G1716" t="s">
        <v>18</v>
      </c>
      <c r="H1716" t="s">
        <v>59</v>
      </c>
      <c r="I1716">
        <v>1</v>
      </c>
      <c r="J1716">
        <v>5177</v>
      </c>
      <c r="K1716">
        <v>5177</v>
      </c>
      <c r="L1716" t="s">
        <v>68</v>
      </c>
      <c r="M1716" t="s">
        <v>27</v>
      </c>
      <c r="N1716" t="s">
        <v>35</v>
      </c>
    </row>
    <row r="1717" spans="1:14" x14ac:dyDescent="0.25">
      <c r="A1717" t="s">
        <v>5160</v>
      </c>
      <c r="B1717" s="1">
        <v>46046</v>
      </c>
      <c r="C1717" t="s">
        <v>5161</v>
      </c>
      <c r="D1717" t="s">
        <v>5162</v>
      </c>
      <c r="E1717" s="14">
        <v>923065979183</v>
      </c>
      <c r="F1717" t="s">
        <v>44</v>
      </c>
      <c r="G1717" t="s">
        <v>18</v>
      </c>
      <c r="H1717" t="s">
        <v>33</v>
      </c>
      <c r="I1717">
        <v>5</v>
      </c>
      <c r="J1717">
        <v>10988</v>
      </c>
      <c r="K1717">
        <v>54940</v>
      </c>
      <c r="L1717" t="s">
        <v>20</v>
      </c>
      <c r="M1717" t="s">
        <v>34</v>
      </c>
      <c r="N1717" t="s">
        <v>22</v>
      </c>
    </row>
    <row r="1718" spans="1:14" x14ac:dyDescent="0.25">
      <c r="A1718" t="s">
        <v>5163</v>
      </c>
      <c r="B1718" s="1">
        <v>45760</v>
      </c>
      <c r="C1718" t="s">
        <v>5164</v>
      </c>
      <c r="D1718" t="s">
        <v>5165</v>
      </c>
      <c r="E1718" s="14">
        <v>923356775851</v>
      </c>
      <c r="F1718" t="s">
        <v>122</v>
      </c>
      <c r="G1718" t="s">
        <v>18</v>
      </c>
      <c r="H1718" t="s">
        <v>59</v>
      </c>
      <c r="I1718">
        <v>5</v>
      </c>
      <c r="J1718">
        <v>4603</v>
      </c>
      <c r="K1718">
        <v>23015</v>
      </c>
      <c r="L1718" t="s">
        <v>68</v>
      </c>
      <c r="M1718" t="s">
        <v>21</v>
      </c>
      <c r="N1718" t="s">
        <v>69</v>
      </c>
    </row>
    <row r="1719" spans="1:14" x14ac:dyDescent="0.25">
      <c r="A1719" t="s">
        <v>5166</v>
      </c>
      <c r="B1719" s="1">
        <v>45864</v>
      </c>
      <c r="C1719" t="s">
        <v>5167</v>
      </c>
      <c r="D1719" t="s">
        <v>5168</v>
      </c>
      <c r="E1719" s="14">
        <v>923495985469</v>
      </c>
      <c r="F1719" t="s">
        <v>49</v>
      </c>
      <c r="G1719" t="s">
        <v>18</v>
      </c>
      <c r="H1719" t="s">
        <v>19</v>
      </c>
      <c r="I1719">
        <v>3</v>
      </c>
      <c r="J1719">
        <v>10642</v>
      </c>
      <c r="K1719">
        <v>31926</v>
      </c>
      <c r="L1719" t="s">
        <v>68</v>
      </c>
      <c r="M1719" t="s">
        <v>21</v>
      </c>
      <c r="N1719" t="s">
        <v>69</v>
      </c>
    </row>
    <row r="1720" spans="1:14" x14ac:dyDescent="0.25">
      <c r="A1720" t="s">
        <v>5169</v>
      </c>
      <c r="B1720" s="1">
        <v>45889</v>
      </c>
      <c r="C1720" t="s">
        <v>5170</v>
      </c>
      <c r="D1720" t="s">
        <v>5171</v>
      </c>
      <c r="E1720" s="14">
        <v>923437440271</v>
      </c>
      <c r="F1720" t="s">
        <v>77</v>
      </c>
      <c r="G1720" t="s">
        <v>18</v>
      </c>
      <c r="H1720" t="s">
        <v>33</v>
      </c>
      <c r="I1720">
        <v>1</v>
      </c>
      <c r="J1720">
        <v>9700</v>
      </c>
      <c r="K1720">
        <v>9700</v>
      </c>
      <c r="L1720" t="s">
        <v>63</v>
      </c>
      <c r="M1720" t="s">
        <v>45</v>
      </c>
      <c r="N1720" t="s">
        <v>22</v>
      </c>
    </row>
    <row r="1721" spans="1:14" x14ac:dyDescent="0.25">
      <c r="A1721" t="s">
        <v>5172</v>
      </c>
      <c r="B1721" s="1">
        <v>45997</v>
      </c>
      <c r="C1721" t="s">
        <v>5173</v>
      </c>
      <c r="D1721" t="s">
        <v>5174</v>
      </c>
      <c r="E1721" s="14">
        <v>923329965348</v>
      </c>
      <c r="F1721" t="s">
        <v>67</v>
      </c>
      <c r="G1721" t="s">
        <v>18</v>
      </c>
      <c r="H1721" t="s">
        <v>73</v>
      </c>
      <c r="I1721">
        <v>2</v>
      </c>
      <c r="J1721">
        <v>12785</v>
      </c>
      <c r="K1721">
        <v>25570</v>
      </c>
      <c r="L1721" t="s">
        <v>78</v>
      </c>
      <c r="M1721" t="s">
        <v>82</v>
      </c>
      <c r="N1721" t="s">
        <v>69</v>
      </c>
    </row>
    <row r="1722" spans="1:14" x14ac:dyDescent="0.25">
      <c r="A1722" t="s">
        <v>5175</v>
      </c>
      <c r="B1722" s="1">
        <v>45930</v>
      </c>
      <c r="C1722" t="s">
        <v>5176</v>
      </c>
      <c r="D1722" t="s">
        <v>5177</v>
      </c>
      <c r="E1722" s="14">
        <v>923360016936</v>
      </c>
      <c r="F1722" t="s">
        <v>49</v>
      </c>
      <c r="G1722" t="s">
        <v>18</v>
      </c>
      <c r="H1722" t="s">
        <v>33</v>
      </c>
      <c r="I1722">
        <v>3</v>
      </c>
      <c r="J1722">
        <v>5252</v>
      </c>
      <c r="K1722">
        <v>15756</v>
      </c>
      <c r="L1722" t="s">
        <v>40</v>
      </c>
      <c r="M1722" t="s">
        <v>21</v>
      </c>
      <c r="N1722" t="s">
        <v>35</v>
      </c>
    </row>
    <row r="1723" spans="1:14" x14ac:dyDescent="0.25">
      <c r="A1723" t="s">
        <v>5178</v>
      </c>
      <c r="B1723" s="1">
        <v>45934</v>
      </c>
      <c r="C1723" t="s">
        <v>5179</v>
      </c>
      <c r="D1723" t="s">
        <v>5180</v>
      </c>
      <c r="E1723" s="14">
        <v>923144482858</v>
      </c>
      <c r="F1723" t="s">
        <v>106</v>
      </c>
      <c r="G1723" t="s">
        <v>18</v>
      </c>
      <c r="H1723" t="s">
        <v>50</v>
      </c>
      <c r="I1723">
        <v>4</v>
      </c>
      <c r="J1723">
        <v>14662</v>
      </c>
      <c r="K1723">
        <v>58648</v>
      </c>
      <c r="L1723" t="s">
        <v>78</v>
      </c>
      <c r="M1723" t="s">
        <v>45</v>
      </c>
      <c r="N1723" t="s">
        <v>28</v>
      </c>
    </row>
    <row r="1724" spans="1:14" x14ac:dyDescent="0.25">
      <c r="A1724" t="s">
        <v>5181</v>
      </c>
      <c r="B1724" s="1">
        <v>45874</v>
      </c>
      <c r="C1724" t="s">
        <v>5182</v>
      </c>
      <c r="D1724" t="s">
        <v>5183</v>
      </c>
      <c r="E1724" s="14">
        <v>923409996800</v>
      </c>
      <c r="F1724" t="s">
        <v>92</v>
      </c>
      <c r="G1724" t="s">
        <v>18</v>
      </c>
      <c r="H1724" t="s">
        <v>39</v>
      </c>
      <c r="I1724">
        <v>5</v>
      </c>
      <c r="J1724">
        <v>13519</v>
      </c>
      <c r="K1724">
        <v>67595</v>
      </c>
      <c r="L1724" t="s">
        <v>63</v>
      </c>
      <c r="M1724" t="s">
        <v>55</v>
      </c>
      <c r="N1724" t="s">
        <v>28</v>
      </c>
    </row>
    <row r="1725" spans="1:14" x14ac:dyDescent="0.25">
      <c r="A1725" t="s">
        <v>5184</v>
      </c>
      <c r="B1725" s="1">
        <v>45981</v>
      </c>
      <c r="C1725" t="s">
        <v>5185</v>
      </c>
      <c r="D1725" t="s">
        <v>5186</v>
      </c>
      <c r="E1725" s="14">
        <v>923229270655</v>
      </c>
      <c r="F1725" t="s">
        <v>32</v>
      </c>
      <c r="G1725" t="s">
        <v>18</v>
      </c>
      <c r="H1725" t="s">
        <v>73</v>
      </c>
      <c r="I1725">
        <v>3</v>
      </c>
      <c r="J1725">
        <v>12436</v>
      </c>
      <c r="K1725">
        <v>37308</v>
      </c>
      <c r="L1725" t="s">
        <v>68</v>
      </c>
      <c r="M1725" t="s">
        <v>55</v>
      </c>
      <c r="N1725" t="s">
        <v>28</v>
      </c>
    </row>
    <row r="1726" spans="1:14" x14ac:dyDescent="0.25">
      <c r="A1726" t="s">
        <v>5187</v>
      </c>
      <c r="B1726" s="1">
        <v>45875</v>
      </c>
      <c r="C1726" t="s">
        <v>5188</v>
      </c>
      <c r="D1726" t="s">
        <v>5189</v>
      </c>
      <c r="E1726" s="14">
        <v>923237656881</v>
      </c>
      <c r="F1726" t="s">
        <v>49</v>
      </c>
      <c r="G1726" t="s">
        <v>18</v>
      </c>
      <c r="H1726" t="s">
        <v>73</v>
      </c>
      <c r="I1726">
        <v>3</v>
      </c>
      <c r="J1726">
        <v>13383</v>
      </c>
      <c r="K1726">
        <v>40149</v>
      </c>
      <c r="L1726" t="s">
        <v>40</v>
      </c>
      <c r="M1726" t="s">
        <v>27</v>
      </c>
      <c r="N1726" t="s">
        <v>69</v>
      </c>
    </row>
    <row r="1727" spans="1:14" x14ac:dyDescent="0.25">
      <c r="A1727" t="s">
        <v>5190</v>
      </c>
      <c r="B1727" s="1">
        <v>45929</v>
      </c>
      <c r="C1727" t="s">
        <v>5191</v>
      </c>
      <c r="D1727" t="s">
        <v>5192</v>
      </c>
      <c r="E1727" s="14">
        <v>923287262385</v>
      </c>
      <c r="F1727" t="s">
        <v>17</v>
      </c>
      <c r="G1727" t="s">
        <v>18</v>
      </c>
      <c r="H1727" t="s">
        <v>59</v>
      </c>
      <c r="I1727">
        <v>5</v>
      </c>
      <c r="J1727">
        <v>5312</v>
      </c>
      <c r="K1727">
        <v>26560</v>
      </c>
      <c r="L1727" t="s">
        <v>78</v>
      </c>
      <c r="M1727" t="s">
        <v>93</v>
      </c>
      <c r="N1727" t="s">
        <v>69</v>
      </c>
    </row>
    <row r="1728" spans="1:14" x14ac:dyDescent="0.25">
      <c r="A1728" t="s">
        <v>5193</v>
      </c>
      <c r="B1728" s="1">
        <v>45920</v>
      </c>
      <c r="C1728" t="s">
        <v>5194</v>
      </c>
      <c r="D1728" t="s">
        <v>5195</v>
      </c>
      <c r="E1728" s="14">
        <v>923137394117</v>
      </c>
      <c r="F1728" t="s">
        <v>67</v>
      </c>
      <c r="G1728" t="s">
        <v>18</v>
      </c>
      <c r="H1728" t="s">
        <v>39</v>
      </c>
      <c r="I1728">
        <v>1</v>
      </c>
      <c r="J1728">
        <v>8780</v>
      </c>
      <c r="K1728">
        <v>8780</v>
      </c>
      <c r="L1728" t="s">
        <v>78</v>
      </c>
      <c r="M1728" t="s">
        <v>55</v>
      </c>
      <c r="N1728" t="s">
        <v>69</v>
      </c>
    </row>
    <row r="1729" spans="1:14" x14ac:dyDescent="0.25">
      <c r="A1729" t="s">
        <v>5196</v>
      </c>
      <c r="B1729" s="1">
        <v>45920</v>
      </c>
      <c r="C1729" t="s">
        <v>5197</v>
      </c>
      <c r="D1729" t="s">
        <v>5198</v>
      </c>
      <c r="E1729" s="14">
        <v>923268340016</v>
      </c>
      <c r="F1729" t="s">
        <v>32</v>
      </c>
      <c r="G1729" t="s">
        <v>18</v>
      </c>
      <c r="H1729" t="s">
        <v>33</v>
      </c>
      <c r="I1729">
        <v>2</v>
      </c>
      <c r="J1729">
        <v>5669</v>
      </c>
      <c r="K1729">
        <v>11338</v>
      </c>
      <c r="L1729" t="s">
        <v>68</v>
      </c>
      <c r="M1729" t="s">
        <v>34</v>
      </c>
      <c r="N1729" t="s">
        <v>69</v>
      </c>
    </row>
    <row r="1730" spans="1:14" x14ac:dyDescent="0.25">
      <c r="A1730" t="s">
        <v>5199</v>
      </c>
      <c r="B1730" s="1">
        <v>46055</v>
      </c>
      <c r="C1730" t="s">
        <v>5200</v>
      </c>
      <c r="D1730" t="s">
        <v>5201</v>
      </c>
      <c r="E1730" s="14">
        <v>923326520956</v>
      </c>
      <c r="F1730" t="s">
        <v>44</v>
      </c>
      <c r="G1730" t="s">
        <v>18</v>
      </c>
      <c r="H1730" t="s">
        <v>59</v>
      </c>
      <c r="I1730">
        <v>2</v>
      </c>
      <c r="J1730">
        <v>4726</v>
      </c>
      <c r="K1730">
        <v>9452</v>
      </c>
      <c r="L1730" t="s">
        <v>26</v>
      </c>
      <c r="M1730" t="s">
        <v>27</v>
      </c>
      <c r="N1730" t="s">
        <v>69</v>
      </c>
    </row>
    <row r="1731" spans="1:14" x14ac:dyDescent="0.25">
      <c r="A1731" t="s">
        <v>5202</v>
      </c>
      <c r="B1731" s="1">
        <v>45745</v>
      </c>
      <c r="C1731" t="s">
        <v>5203</v>
      </c>
      <c r="D1731" t="s">
        <v>5204</v>
      </c>
      <c r="E1731" s="14">
        <v>923446704893</v>
      </c>
      <c r="F1731" t="s">
        <v>122</v>
      </c>
      <c r="G1731" t="s">
        <v>18</v>
      </c>
      <c r="H1731" t="s">
        <v>19</v>
      </c>
      <c r="I1731">
        <v>5</v>
      </c>
      <c r="J1731">
        <v>7880</v>
      </c>
      <c r="K1731">
        <v>39400</v>
      </c>
      <c r="L1731" t="s">
        <v>68</v>
      </c>
      <c r="M1731" t="s">
        <v>55</v>
      </c>
      <c r="N1731" t="s">
        <v>35</v>
      </c>
    </row>
    <row r="1732" spans="1:14" x14ac:dyDescent="0.25">
      <c r="A1732" t="s">
        <v>5205</v>
      </c>
      <c r="B1732" s="1">
        <v>45884</v>
      </c>
      <c r="C1732" t="s">
        <v>5206</v>
      </c>
      <c r="D1732" t="s">
        <v>5207</v>
      </c>
      <c r="E1732" s="14">
        <v>923390033341</v>
      </c>
      <c r="F1732" t="s">
        <v>106</v>
      </c>
      <c r="G1732" t="s">
        <v>18</v>
      </c>
      <c r="H1732" t="s">
        <v>73</v>
      </c>
      <c r="I1732">
        <v>3</v>
      </c>
      <c r="J1732">
        <v>8125</v>
      </c>
      <c r="K1732">
        <v>24375</v>
      </c>
      <c r="L1732" t="s">
        <v>68</v>
      </c>
      <c r="M1732" t="s">
        <v>45</v>
      </c>
      <c r="N1732" t="s">
        <v>35</v>
      </c>
    </row>
    <row r="1733" spans="1:14" x14ac:dyDescent="0.25">
      <c r="A1733" t="s">
        <v>5208</v>
      </c>
      <c r="B1733" s="1">
        <v>45881</v>
      </c>
      <c r="C1733" t="s">
        <v>5209</v>
      </c>
      <c r="D1733" t="s">
        <v>5210</v>
      </c>
      <c r="E1733" s="14">
        <v>923295113739</v>
      </c>
      <c r="F1733" t="s">
        <v>49</v>
      </c>
      <c r="G1733" t="s">
        <v>18</v>
      </c>
      <c r="H1733" t="s">
        <v>59</v>
      </c>
      <c r="I1733">
        <v>4</v>
      </c>
      <c r="J1733">
        <v>9436</v>
      </c>
      <c r="K1733">
        <v>37744</v>
      </c>
      <c r="L1733" t="s">
        <v>20</v>
      </c>
      <c r="M1733" t="s">
        <v>45</v>
      </c>
      <c r="N1733" t="s">
        <v>35</v>
      </c>
    </row>
    <row r="1734" spans="1:14" x14ac:dyDescent="0.25">
      <c r="A1734" t="s">
        <v>5211</v>
      </c>
      <c r="B1734" s="1">
        <v>45769</v>
      </c>
      <c r="C1734" t="s">
        <v>5212</v>
      </c>
      <c r="D1734" t="s">
        <v>5213</v>
      </c>
      <c r="E1734" s="14">
        <v>923177365469</v>
      </c>
      <c r="F1734" t="s">
        <v>17</v>
      </c>
      <c r="G1734" t="s">
        <v>18</v>
      </c>
      <c r="H1734" t="s">
        <v>50</v>
      </c>
      <c r="I1734">
        <v>2</v>
      </c>
      <c r="J1734">
        <v>9392</v>
      </c>
      <c r="K1734">
        <v>18784</v>
      </c>
      <c r="L1734" t="s">
        <v>40</v>
      </c>
      <c r="M1734" t="s">
        <v>34</v>
      </c>
      <c r="N1734" t="s">
        <v>35</v>
      </c>
    </row>
    <row r="1735" spans="1:14" x14ac:dyDescent="0.25">
      <c r="A1735" t="s">
        <v>5214</v>
      </c>
      <c r="B1735" s="1">
        <v>45861</v>
      </c>
      <c r="C1735" t="s">
        <v>5215</v>
      </c>
      <c r="D1735" t="s">
        <v>5216</v>
      </c>
      <c r="E1735" s="14">
        <v>923181299122</v>
      </c>
      <c r="F1735" t="s">
        <v>92</v>
      </c>
      <c r="G1735" t="s">
        <v>18</v>
      </c>
      <c r="H1735" t="s">
        <v>33</v>
      </c>
      <c r="I1735">
        <v>5</v>
      </c>
      <c r="J1735">
        <v>1157</v>
      </c>
      <c r="K1735">
        <v>5785</v>
      </c>
      <c r="L1735" t="s">
        <v>26</v>
      </c>
      <c r="M1735" t="s">
        <v>135</v>
      </c>
      <c r="N1735" t="s">
        <v>35</v>
      </c>
    </row>
    <row r="1736" spans="1:14" x14ac:dyDescent="0.25">
      <c r="A1736" t="s">
        <v>5217</v>
      </c>
      <c r="B1736" s="1">
        <v>46002</v>
      </c>
      <c r="C1736" t="s">
        <v>5218</v>
      </c>
      <c r="D1736" t="s">
        <v>5219</v>
      </c>
      <c r="E1736" s="14">
        <v>923487716729</v>
      </c>
      <c r="F1736" t="s">
        <v>67</v>
      </c>
      <c r="G1736" t="s">
        <v>18</v>
      </c>
      <c r="H1736" t="s">
        <v>19</v>
      </c>
      <c r="I1736">
        <v>1</v>
      </c>
      <c r="J1736">
        <v>6050</v>
      </c>
      <c r="K1736">
        <v>6050</v>
      </c>
      <c r="L1736" t="s">
        <v>78</v>
      </c>
      <c r="M1736" t="s">
        <v>34</v>
      </c>
      <c r="N1736" t="s">
        <v>22</v>
      </c>
    </row>
    <row r="1737" spans="1:14" x14ac:dyDescent="0.25">
      <c r="A1737" t="s">
        <v>5220</v>
      </c>
      <c r="B1737" s="1">
        <v>45718</v>
      </c>
      <c r="C1737" t="s">
        <v>5221</v>
      </c>
      <c r="D1737" t="s">
        <v>5222</v>
      </c>
      <c r="E1737" s="14">
        <v>923045748724</v>
      </c>
      <c r="F1737" t="s">
        <v>17</v>
      </c>
      <c r="G1737" t="s">
        <v>18</v>
      </c>
      <c r="H1737" t="s">
        <v>73</v>
      </c>
      <c r="I1737">
        <v>5</v>
      </c>
      <c r="J1737">
        <v>6246</v>
      </c>
      <c r="K1737">
        <v>31230</v>
      </c>
      <c r="L1737" t="s">
        <v>63</v>
      </c>
      <c r="M1737" t="s">
        <v>135</v>
      </c>
      <c r="N1737" t="s">
        <v>28</v>
      </c>
    </row>
    <row r="1738" spans="1:14" x14ac:dyDescent="0.25">
      <c r="A1738" t="s">
        <v>5223</v>
      </c>
      <c r="B1738" s="1">
        <v>45843</v>
      </c>
      <c r="C1738" t="s">
        <v>5224</v>
      </c>
      <c r="D1738" t="s">
        <v>5225</v>
      </c>
      <c r="E1738" s="14">
        <v>923067502793</v>
      </c>
      <c r="F1738" t="s">
        <v>32</v>
      </c>
      <c r="G1738" t="s">
        <v>18</v>
      </c>
      <c r="H1738" t="s">
        <v>59</v>
      </c>
      <c r="I1738">
        <v>3</v>
      </c>
      <c r="J1738">
        <v>12189</v>
      </c>
      <c r="K1738">
        <v>36567</v>
      </c>
      <c r="L1738" t="s">
        <v>20</v>
      </c>
      <c r="M1738" t="s">
        <v>34</v>
      </c>
      <c r="N1738" t="s">
        <v>69</v>
      </c>
    </row>
    <row r="1739" spans="1:14" x14ac:dyDescent="0.25">
      <c r="A1739" t="s">
        <v>5226</v>
      </c>
      <c r="B1739" s="1">
        <v>45737</v>
      </c>
      <c r="C1739" t="s">
        <v>5227</v>
      </c>
      <c r="D1739" t="s">
        <v>5228</v>
      </c>
      <c r="E1739" s="14">
        <v>923200298648</v>
      </c>
      <c r="F1739" t="s">
        <v>44</v>
      </c>
      <c r="G1739" t="s">
        <v>18</v>
      </c>
      <c r="H1739" t="s">
        <v>19</v>
      </c>
      <c r="I1739">
        <v>5</v>
      </c>
      <c r="J1739">
        <v>6268</v>
      </c>
      <c r="K1739">
        <v>31340</v>
      </c>
      <c r="L1739" t="s">
        <v>20</v>
      </c>
      <c r="M1739" t="s">
        <v>82</v>
      </c>
      <c r="N1739" t="s">
        <v>28</v>
      </c>
    </row>
    <row r="1740" spans="1:14" x14ac:dyDescent="0.25">
      <c r="A1740" t="s">
        <v>5229</v>
      </c>
      <c r="B1740" s="1">
        <v>45918</v>
      </c>
      <c r="C1740" t="s">
        <v>5230</v>
      </c>
      <c r="D1740" t="s">
        <v>5231</v>
      </c>
      <c r="E1740" s="14">
        <v>923467366046</v>
      </c>
      <c r="F1740" t="s">
        <v>106</v>
      </c>
      <c r="G1740" t="s">
        <v>18</v>
      </c>
      <c r="H1740" t="s">
        <v>50</v>
      </c>
      <c r="I1740">
        <v>2</v>
      </c>
      <c r="J1740">
        <v>5914</v>
      </c>
      <c r="K1740">
        <v>11828</v>
      </c>
      <c r="L1740" t="s">
        <v>68</v>
      </c>
      <c r="M1740" t="s">
        <v>34</v>
      </c>
      <c r="N1740" t="s">
        <v>22</v>
      </c>
    </row>
    <row r="1741" spans="1:14" x14ac:dyDescent="0.25">
      <c r="A1741" t="s">
        <v>5232</v>
      </c>
      <c r="B1741" s="1">
        <v>45989</v>
      </c>
      <c r="C1741" t="s">
        <v>5233</v>
      </c>
      <c r="D1741" t="s">
        <v>5234</v>
      </c>
      <c r="E1741" s="14">
        <v>923378442442</v>
      </c>
      <c r="F1741" t="s">
        <v>17</v>
      </c>
      <c r="G1741" t="s">
        <v>18</v>
      </c>
      <c r="H1741" t="s">
        <v>50</v>
      </c>
      <c r="I1741">
        <v>3</v>
      </c>
      <c r="J1741">
        <v>9480</v>
      </c>
      <c r="K1741">
        <v>28440</v>
      </c>
      <c r="L1741" t="s">
        <v>40</v>
      </c>
      <c r="M1741" t="s">
        <v>93</v>
      </c>
      <c r="N1741" t="s">
        <v>22</v>
      </c>
    </row>
    <row r="1742" spans="1:14" x14ac:dyDescent="0.25">
      <c r="A1742" t="s">
        <v>5235</v>
      </c>
      <c r="B1742" s="1">
        <v>45954</v>
      </c>
      <c r="C1742" t="s">
        <v>5236</v>
      </c>
      <c r="D1742" t="s">
        <v>5237</v>
      </c>
      <c r="E1742" s="14">
        <v>923337150530</v>
      </c>
      <c r="F1742" t="s">
        <v>92</v>
      </c>
      <c r="G1742" t="s">
        <v>18</v>
      </c>
      <c r="H1742" t="s">
        <v>33</v>
      </c>
      <c r="I1742">
        <v>2</v>
      </c>
      <c r="J1742">
        <v>13897</v>
      </c>
      <c r="K1742">
        <v>27794</v>
      </c>
      <c r="L1742" t="s">
        <v>26</v>
      </c>
      <c r="M1742" t="s">
        <v>27</v>
      </c>
      <c r="N1742" t="s">
        <v>28</v>
      </c>
    </row>
    <row r="1743" spans="1:14" x14ac:dyDescent="0.25">
      <c r="A1743" t="s">
        <v>5238</v>
      </c>
      <c r="B1743" s="1">
        <v>45935</v>
      </c>
      <c r="C1743" t="s">
        <v>5239</v>
      </c>
      <c r="D1743" t="s">
        <v>5240</v>
      </c>
      <c r="E1743" s="14">
        <v>923021769367</v>
      </c>
      <c r="F1743" t="s">
        <v>54</v>
      </c>
      <c r="G1743" t="s">
        <v>18</v>
      </c>
      <c r="H1743" t="s">
        <v>50</v>
      </c>
      <c r="I1743">
        <v>2</v>
      </c>
      <c r="J1743">
        <v>9730</v>
      </c>
      <c r="K1743">
        <v>19460</v>
      </c>
      <c r="L1743" t="s">
        <v>63</v>
      </c>
      <c r="M1743" t="s">
        <v>93</v>
      </c>
      <c r="N1743" t="s">
        <v>22</v>
      </c>
    </row>
    <row r="1744" spans="1:14" x14ac:dyDescent="0.25">
      <c r="A1744" t="s">
        <v>5241</v>
      </c>
      <c r="B1744" s="1">
        <v>45926</v>
      </c>
      <c r="C1744" t="s">
        <v>5242</v>
      </c>
      <c r="D1744" t="s">
        <v>5243</v>
      </c>
      <c r="E1744" s="14">
        <v>923286130904</v>
      </c>
      <c r="F1744" t="s">
        <v>32</v>
      </c>
      <c r="G1744" t="s">
        <v>18</v>
      </c>
      <c r="H1744" t="s">
        <v>33</v>
      </c>
      <c r="I1744">
        <v>1</v>
      </c>
      <c r="J1744">
        <v>12173</v>
      </c>
      <c r="K1744">
        <v>12173</v>
      </c>
      <c r="L1744" t="s">
        <v>63</v>
      </c>
      <c r="M1744" t="s">
        <v>135</v>
      </c>
      <c r="N1744" t="s">
        <v>22</v>
      </c>
    </row>
    <row r="1745" spans="1:14" x14ac:dyDescent="0.25">
      <c r="A1745" t="s">
        <v>5244</v>
      </c>
      <c r="B1745" s="1">
        <v>45795</v>
      </c>
      <c r="C1745" t="s">
        <v>5245</v>
      </c>
      <c r="D1745" t="s">
        <v>5246</v>
      </c>
      <c r="E1745" s="14">
        <v>923497267524</v>
      </c>
      <c r="F1745" t="s">
        <v>122</v>
      </c>
      <c r="G1745" t="s">
        <v>18</v>
      </c>
      <c r="H1745" t="s">
        <v>33</v>
      </c>
      <c r="I1745">
        <v>2</v>
      </c>
      <c r="J1745">
        <v>6307</v>
      </c>
      <c r="K1745">
        <v>12614</v>
      </c>
      <c r="L1745" t="s">
        <v>20</v>
      </c>
      <c r="M1745" t="s">
        <v>93</v>
      </c>
      <c r="N1745" t="s">
        <v>28</v>
      </c>
    </row>
    <row r="1746" spans="1:14" x14ac:dyDescent="0.25">
      <c r="A1746" t="s">
        <v>5247</v>
      </c>
      <c r="B1746" s="1">
        <v>45729</v>
      </c>
      <c r="C1746" t="s">
        <v>5248</v>
      </c>
      <c r="D1746" t="s">
        <v>5249</v>
      </c>
      <c r="E1746" s="14">
        <v>923244461382</v>
      </c>
      <c r="F1746" t="s">
        <v>122</v>
      </c>
      <c r="G1746" t="s">
        <v>18</v>
      </c>
      <c r="H1746" t="s">
        <v>73</v>
      </c>
      <c r="I1746">
        <v>2</v>
      </c>
      <c r="J1746">
        <v>12682</v>
      </c>
      <c r="K1746">
        <v>25364</v>
      </c>
      <c r="L1746" t="s">
        <v>78</v>
      </c>
      <c r="M1746" t="s">
        <v>82</v>
      </c>
      <c r="N1746" t="s">
        <v>69</v>
      </c>
    </row>
    <row r="1747" spans="1:14" x14ac:dyDescent="0.25">
      <c r="A1747" t="s">
        <v>5250</v>
      </c>
      <c r="B1747" s="1">
        <v>45967</v>
      </c>
      <c r="C1747" t="s">
        <v>5251</v>
      </c>
      <c r="D1747" t="s">
        <v>5252</v>
      </c>
      <c r="E1747" s="14">
        <v>923391092610</v>
      </c>
      <c r="F1747" t="s">
        <v>44</v>
      </c>
      <c r="G1747" t="s">
        <v>18</v>
      </c>
      <c r="H1747" t="s">
        <v>39</v>
      </c>
      <c r="I1747">
        <v>3</v>
      </c>
      <c r="J1747">
        <v>6490</v>
      </c>
      <c r="K1747">
        <v>19470</v>
      </c>
      <c r="L1747" t="s">
        <v>63</v>
      </c>
      <c r="M1747" t="s">
        <v>27</v>
      </c>
      <c r="N1747" t="s">
        <v>22</v>
      </c>
    </row>
    <row r="1748" spans="1:14" x14ac:dyDescent="0.25">
      <c r="A1748" t="s">
        <v>5253</v>
      </c>
      <c r="B1748" s="1">
        <v>45730</v>
      </c>
      <c r="C1748" t="s">
        <v>5254</v>
      </c>
      <c r="D1748" t="s">
        <v>5255</v>
      </c>
      <c r="E1748" s="14">
        <v>923388137025</v>
      </c>
      <c r="F1748" t="s">
        <v>17</v>
      </c>
      <c r="G1748" t="s">
        <v>18</v>
      </c>
      <c r="H1748" t="s">
        <v>39</v>
      </c>
      <c r="I1748">
        <v>5</v>
      </c>
      <c r="J1748">
        <v>3926</v>
      </c>
      <c r="K1748">
        <v>19630</v>
      </c>
      <c r="L1748" t="s">
        <v>78</v>
      </c>
      <c r="M1748" t="s">
        <v>45</v>
      </c>
      <c r="N1748" t="s">
        <v>22</v>
      </c>
    </row>
    <row r="1749" spans="1:14" x14ac:dyDescent="0.25">
      <c r="A1749" t="s">
        <v>5256</v>
      </c>
      <c r="B1749" s="1">
        <v>45903</v>
      </c>
      <c r="C1749" t="s">
        <v>5257</v>
      </c>
      <c r="D1749" t="s">
        <v>5258</v>
      </c>
      <c r="E1749" s="14">
        <v>923039054106</v>
      </c>
      <c r="F1749" t="s">
        <v>77</v>
      </c>
      <c r="G1749" t="s">
        <v>18</v>
      </c>
      <c r="H1749" t="s">
        <v>50</v>
      </c>
      <c r="I1749">
        <v>4</v>
      </c>
      <c r="J1749">
        <v>5625</v>
      </c>
      <c r="K1749">
        <v>22500</v>
      </c>
      <c r="L1749" t="s">
        <v>20</v>
      </c>
      <c r="M1749" t="s">
        <v>82</v>
      </c>
      <c r="N1749" t="s">
        <v>69</v>
      </c>
    </row>
    <row r="1750" spans="1:14" x14ac:dyDescent="0.25">
      <c r="A1750" t="s">
        <v>5259</v>
      </c>
      <c r="B1750" s="1">
        <v>46067</v>
      </c>
      <c r="C1750" t="s">
        <v>5260</v>
      </c>
      <c r="D1750" t="s">
        <v>5261</v>
      </c>
      <c r="E1750" s="14">
        <v>923086711308</v>
      </c>
      <c r="F1750" t="s">
        <v>67</v>
      </c>
      <c r="G1750" t="s">
        <v>18</v>
      </c>
      <c r="H1750" t="s">
        <v>39</v>
      </c>
      <c r="I1750">
        <v>2</v>
      </c>
      <c r="J1750">
        <v>7280</v>
      </c>
      <c r="K1750">
        <v>14560</v>
      </c>
      <c r="L1750" t="s">
        <v>68</v>
      </c>
      <c r="M1750" t="s">
        <v>93</v>
      </c>
      <c r="N1750" t="s">
        <v>69</v>
      </c>
    </row>
    <row r="1751" spans="1:14" x14ac:dyDescent="0.25">
      <c r="A1751" t="s">
        <v>5262</v>
      </c>
      <c r="B1751" s="1">
        <v>45739</v>
      </c>
      <c r="C1751" t="s">
        <v>5263</v>
      </c>
      <c r="D1751" t="s">
        <v>5264</v>
      </c>
      <c r="E1751" s="14">
        <v>923484334020</v>
      </c>
      <c r="F1751" t="s">
        <v>32</v>
      </c>
      <c r="G1751" t="s">
        <v>18</v>
      </c>
      <c r="H1751" t="s">
        <v>33</v>
      </c>
      <c r="I1751">
        <v>4</v>
      </c>
      <c r="J1751">
        <v>13396</v>
      </c>
      <c r="K1751">
        <v>53584</v>
      </c>
      <c r="L1751" t="s">
        <v>63</v>
      </c>
      <c r="M1751" t="s">
        <v>34</v>
      </c>
      <c r="N1751" t="s">
        <v>69</v>
      </c>
    </row>
    <row r="1752" spans="1:14" x14ac:dyDescent="0.25">
      <c r="A1752" t="s">
        <v>5265</v>
      </c>
      <c r="B1752" s="1">
        <v>45779</v>
      </c>
      <c r="C1752" t="s">
        <v>422</v>
      </c>
      <c r="D1752" t="s">
        <v>5266</v>
      </c>
      <c r="E1752" s="14">
        <v>923291644111</v>
      </c>
      <c r="F1752" t="s">
        <v>49</v>
      </c>
      <c r="G1752" t="s">
        <v>18</v>
      </c>
      <c r="H1752" t="s">
        <v>33</v>
      </c>
      <c r="I1752">
        <v>4</v>
      </c>
      <c r="J1752">
        <v>9868</v>
      </c>
      <c r="K1752">
        <v>39472</v>
      </c>
      <c r="L1752" t="s">
        <v>26</v>
      </c>
      <c r="M1752" t="s">
        <v>27</v>
      </c>
      <c r="N1752" t="s">
        <v>35</v>
      </c>
    </row>
    <row r="1753" spans="1:14" x14ac:dyDescent="0.25">
      <c r="A1753" t="s">
        <v>5267</v>
      </c>
      <c r="B1753" s="1">
        <v>46023</v>
      </c>
      <c r="C1753" t="s">
        <v>4394</v>
      </c>
      <c r="D1753" t="s">
        <v>5268</v>
      </c>
      <c r="E1753" s="14">
        <v>923306450283</v>
      </c>
      <c r="F1753" t="s">
        <v>49</v>
      </c>
      <c r="G1753" t="s">
        <v>18</v>
      </c>
      <c r="H1753" t="s">
        <v>73</v>
      </c>
      <c r="I1753">
        <v>1</v>
      </c>
      <c r="J1753">
        <v>13551</v>
      </c>
      <c r="K1753">
        <v>13551</v>
      </c>
      <c r="L1753" t="s">
        <v>40</v>
      </c>
      <c r="M1753" t="s">
        <v>21</v>
      </c>
      <c r="N1753" t="s">
        <v>22</v>
      </c>
    </row>
    <row r="1754" spans="1:14" x14ac:dyDescent="0.25">
      <c r="A1754" t="s">
        <v>5269</v>
      </c>
      <c r="B1754" s="1">
        <v>45840</v>
      </c>
      <c r="C1754" t="s">
        <v>5270</v>
      </c>
      <c r="D1754" t="s">
        <v>5271</v>
      </c>
      <c r="E1754" s="14">
        <v>923417936810</v>
      </c>
      <c r="F1754" t="s">
        <v>54</v>
      </c>
      <c r="G1754" t="s">
        <v>18</v>
      </c>
      <c r="H1754" t="s">
        <v>59</v>
      </c>
      <c r="I1754">
        <v>5</v>
      </c>
      <c r="J1754">
        <v>1538</v>
      </c>
      <c r="K1754">
        <v>7690</v>
      </c>
      <c r="L1754" t="s">
        <v>40</v>
      </c>
      <c r="M1754" t="s">
        <v>27</v>
      </c>
      <c r="N1754" t="s">
        <v>22</v>
      </c>
    </row>
    <row r="1755" spans="1:14" x14ac:dyDescent="0.25">
      <c r="A1755" t="s">
        <v>5272</v>
      </c>
      <c r="B1755" s="1">
        <v>45917</v>
      </c>
      <c r="C1755" t="s">
        <v>5273</v>
      </c>
      <c r="D1755" t="s">
        <v>5274</v>
      </c>
      <c r="E1755" s="14">
        <v>923274205912</v>
      </c>
      <c r="F1755" t="s">
        <v>44</v>
      </c>
      <c r="G1755" t="s">
        <v>18</v>
      </c>
      <c r="H1755" t="s">
        <v>59</v>
      </c>
      <c r="I1755">
        <v>3</v>
      </c>
      <c r="J1755">
        <v>4011</v>
      </c>
      <c r="K1755">
        <v>12033</v>
      </c>
      <c r="L1755" t="s">
        <v>40</v>
      </c>
      <c r="M1755" t="s">
        <v>82</v>
      </c>
      <c r="N1755" t="s">
        <v>28</v>
      </c>
    </row>
    <row r="1756" spans="1:14" x14ac:dyDescent="0.25">
      <c r="A1756" t="s">
        <v>5275</v>
      </c>
      <c r="B1756" s="1">
        <v>45936</v>
      </c>
      <c r="C1756" t="s">
        <v>5276</v>
      </c>
      <c r="D1756" t="s">
        <v>5277</v>
      </c>
      <c r="E1756" s="14">
        <v>923239607915</v>
      </c>
      <c r="F1756" t="s">
        <v>32</v>
      </c>
      <c r="G1756" t="s">
        <v>18</v>
      </c>
      <c r="H1756" t="s">
        <v>39</v>
      </c>
      <c r="I1756">
        <v>5</v>
      </c>
      <c r="J1756">
        <v>12198</v>
      </c>
      <c r="K1756">
        <v>60990</v>
      </c>
      <c r="L1756" t="s">
        <v>78</v>
      </c>
      <c r="M1756" t="s">
        <v>45</v>
      </c>
      <c r="N1756" t="s">
        <v>69</v>
      </c>
    </row>
    <row r="1757" spans="1:14" x14ac:dyDescent="0.25">
      <c r="A1757" t="s">
        <v>5278</v>
      </c>
      <c r="B1757" s="1">
        <v>45875</v>
      </c>
      <c r="C1757" t="s">
        <v>5279</v>
      </c>
      <c r="D1757" t="s">
        <v>5280</v>
      </c>
      <c r="E1757" s="14">
        <v>923223495173</v>
      </c>
      <c r="F1757" t="s">
        <v>32</v>
      </c>
      <c r="G1757" t="s">
        <v>18</v>
      </c>
      <c r="H1757" t="s">
        <v>39</v>
      </c>
      <c r="I1757">
        <v>2</v>
      </c>
      <c r="J1757">
        <v>9178</v>
      </c>
      <c r="K1757">
        <v>18356</v>
      </c>
      <c r="L1757" t="s">
        <v>68</v>
      </c>
      <c r="M1757" t="s">
        <v>82</v>
      </c>
      <c r="N1757" t="s">
        <v>35</v>
      </c>
    </row>
    <row r="1758" spans="1:14" x14ac:dyDescent="0.25">
      <c r="A1758" t="s">
        <v>5281</v>
      </c>
      <c r="B1758" s="1">
        <v>45838</v>
      </c>
      <c r="C1758" t="s">
        <v>5282</v>
      </c>
      <c r="D1758" t="s">
        <v>5283</v>
      </c>
      <c r="E1758" s="14">
        <v>923300635639</v>
      </c>
      <c r="F1758" t="s">
        <v>44</v>
      </c>
      <c r="G1758" t="s">
        <v>18</v>
      </c>
      <c r="H1758" t="s">
        <v>39</v>
      </c>
      <c r="I1758">
        <v>5</v>
      </c>
      <c r="J1758">
        <v>1365</v>
      </c>
      <c r="K1758">
        <v>6825</v>
      </c>
      <c r="L1758" t="s">
        <v>68</v>
      </c>
      <c r="M1758" t="s">
        <v>82</v>
      </c>
      <c r="N1758" t="s">
        <v>28</v>
      </c>
    </row>
    <row r="1759" spans="1:14" x14ac:dyDescent="0.25">
      <c r="A1759" t="s">
        <v>5284</v>
      </c>
      <c r="B1759" s="1">
        <v>45966</v>
      </c>
      <c r="C1759" t="s">
        <v>5285</v>
      </c>
      <c r="D1759" t="s">
        <v>5286</v>
      </c>
      <c r="E1759" s="14">
        <v>923181443752</v>
      </c>
      <c r="F1759" t="s">
        <v>17</v>
      </c>
      <c r="G1759" t="s">
        <v>18</v>
      </c>
      <c r="H1759" t="s">
        <v>39</v>
      </c>
      <c r="I1759">
        <v>2</v>
      </c>
      <c r="J1759">
        <v>13614</v>
      </c>
      <c r="K1759">
        <v>27228</v>
      </c>
      <c r="L1759" t="s">
        <v>63</v>
      </c>
      <c r="M1759" t="s">
        <v>135</v>
      </c>
      <c r="N1759" t="s">
        <v>28</v>
      </c>
    </row>
    <row r="1760" spans="1:14" x14ac:dyDescent="0.25">
      <c r="A1760" t="s">
        <v>5287</v>
      </c>
      <c r="B1760" s="1">
        <v>45829</v>
      </c>
      <c r="C1760" t="s">
        <v>5288</v>
      </c>
      <c r="D1760" t="s">
        <v>5289</v>
      </c>
      <c r="E1760" s="14">
        <v>923302531551</v>
      </c>
      <c r="F1760" t="s">
        <v>106</v>
      </c>
      <c r="G1760" t="s">
        <v>18</v>
      </c>
      <c r="H1760" t="s">
        <v>59</v>
      </c>
      <c r="I1760">
        <v>3</v>
      </c>
      <c r="J1760">
        <v>11672</v>
      </c>
      <c r="K1760">
        <v>35016</v>
      </c>
      <c r="L1760" t="s">
        <v>78</v>
      </c>
      <c r="M1760" t="s">
        <v>45</v>
      </c>
      <c r="N1760" t="s">
        <v>22</v>
      </c>
    </row>
    <row r="1761" spans="1:14" x14ac:dyDescent="0.25">
      <c r="A1761" t="s">
        <v>5290</v>
      </c>
      <c r="B1761" s="1">
        <v>45856</v>
      </c>
      <c r="C1761" t="s">
        <v>5291</v>
      </c>
      <c r="D1761" t="s">
        <v>5292</v>
      </c>
      <c r="E1761" s="14">
        <v>923311280230</v>
      </c>
      <c r="F1761" t="s">
        <v>122</v>
      </c>
      <c r="G1761" t="s">
        <v>18</v>
      </c>
      <c r="H1761" t="s">
        <v>50</v>
      </c>
      <c r="I1761">
        <v>4</v>
      </c>
      <c r="J1761">
        <v>4183</v>
      </c>
      <c r="K1761">
        <v>16732</v>
      </c>
      <c r="L1761" t="s">
        <v>68</v>
      </c>
      <c r="M1761" t="s">
        <v>55</v>
      </c>
      <c r="N1761" t="s">
        <v>28</v>
      </c>
    </row>
    <row r="1762" spans="1:14" x14ac:dyDescent="0.25">
      <c r="A1762" t="s">
        <v>5293</v>
      </c>
      <c r="B1762" s="1">
        <v>45780</v>
      </c>
      <c r="C1762" t="s">
        <v>5294</v>
      </c>
      <c r="D1762" t="s">
        <v>5295</v>
      </c>
      <c r="E1762" s="14">
        <v>923118168302</v>
      </c>
      <c r="F1762" t="s">
        <v>49</v>
      </c>
      <c r="G1762" t="s">
        <v>18</v>
      </c>
      <c r="H1762" t="s">
        <v>73</v>
      </c>
      <c r="I1762">
        <v>3</v>
      </c>
      <c r="J1762">
        <v>6569</v>
      </c>
      <c r="K1762">
        <v>19707</v>
      </c>
      <c r="L1762" t="s">
        <v>63</v>
      </c>
      <c r="M1762" t="s">
        <v>82</v>
      </c>
      <c r="N1762" t="s">
        <v>69</v>
      </c>
    </row>
    <row r="1763" spans="1:14" x14ac:dyDescent="0.25">
      <c r="A1763" t="s">
        <v>5296</v>
      </c>
      <c r="B1763" s="1">
        <v>46031</v>
      </c>
      <c r="C1763" t="s">
        <v>5297</v>
      </c>
      <c r="D1763" t="s">
        <v>5298</v>
      </c>
      <c r="E1763" s="14">
        <v>923374237040</v>
      </c>
      <c r="F1763" t="s">
        <v>54</v>
      </c>
      <c r="G1763" t="s">
        <v>18</v>
      </c>
      <c r="H1763" t="s">
        <v>39</v>
      </c>
      <c r="I1763">
        <v>5</v>
      </c>
      <c r="J1763">
        <v>6771</v>
      </c>
      <c r="K1763">
        <v>33855</v>
      </c>
      <c r="L1763" t="s">
        <v>20</v>
      </c>
      <c r="M1763" t="s">
        <v>45</v>
      </c>
      <c r="N1763" t="s">
        <v>28</v>
      </c>
    </row>
    <row r="1764" spans="1:14" x14ac:dyDescent="0.25">
      <c r="A1764" t="s">
        <v>5299</v>
      </c>
      <c r="B1764" s="1">
        <v>45756</v>
      </c>
      <c r="C1764" t="s">
        <v>5300</v>
      </c>
      <c r="D1764" t="s">
        <v>5301</v>
      </c>
      <c r="E1764" s="14">
        <v>923461393318</v>
      </c>
      <c r="F1764" t="s">
        <v>106</v>
      </c>
      <c r="G1764" t="s">
        <v>18</v>
      </c>
      <c r="H1764" t="s">
        <v>59</v>
      </c>
      <c r="I1764">
        <v>1</v>
      </c>
      <c r="J1764">
        <v>8801</v>
      </c>
      <c r="K1764">
        <v>8801</v>
      </c>
      <c r="L1764" t="s">
        <v>26</v>
      </c>
      <c r="M1764" t="s">
        <v>93</v>
      </c>
      <c r="N1764" t="s">
        <v>35</v>
      </c>
    </row>
    <row r="1765" spans="1:14" x14ac:dyDescent="0.25">
      <c r="A1765" t="s">
        <v>5302</v>
      </c>
      <c r="B1765" s="1">
        <v>45820</v>
      </c>
      <c r="C1765" t="s">
        <v>482</v>
      </c>
      <c r="D1765" t="s">
        <v>5303</v>
      </c>
      <c r="E1765" s="14">
        <v>923197163717</v>
      </c>
      <c r="F1765" t="s">
        <v>77</v>
      </c>
      <c r="G1765" t="s">
        <v>18</v>
      </c>
      <c r="H1765" t="s">
        <v>33</v>
      </c>
      <c r="I1765">
        <v>1</v>
      </c>
      <c r="J1765">
        <v>5008</v>
      </c>
      <c r="K1765">
        <v>5008</v>
      </c>
      <c r="L1765" t="s">
        <v>63</v>
      </c>
      <c r="M1765" t="s">
        <v>82</v>
      </c>
      <c r="N1765" t="s">
        <v>22</v>
      </c>
    </row>
    <row r="1766" spans="1:14" x14ac:dyDescent="0.25">
      <c r="A1766" t="s">
        <v>5304</v>
      </c>
      <c r="B1766" s="1">
        <v>46034</v>
      </c>
      <c r="C1766" t="s">
        <v>5305</v>
      </c>
      <c r="D1766" t="s">
        <v>5306</v>
      </c>
      <c r="E1766" s="14">
        <v>923469424135</v>
      </c>
      <c r="F1766" t="s">
        <v>44</v>
      </c>
      <c r="G1766" t="s">
        <v>18</v>
      </c>
      <c r="H1766" t="s">
        <v>50</v>
      </c>
      <c r="I1766">
        <v>5</v>
      </c>
      <c r="J1766">
        <v>5946</v>
      </c>
      <c r="K1766">
        <v>29730</v>
      </c>
      <c r="L1766" t="s">
        <v>63</v>
      </c>
      <c r="M1766" t="s">
        <v>34</v>
      </c>
      <c r="N1766" t="s">
        <v>28</v>
      </c>
    </row>
    <row r="1767" spans="1:14" x14ac:dyDescent="0.25">
      <c r="A1767" t="s">
        <v>5307</v>
      </c>
      <c r="B1767" s="1">
        <v>45792</v>
      </c>
      <c r="C1767" t="s">
        <v>5308</v>
      </c>
      <c r="D1767" t="s">
        <v>5309</v>
      </c>
      <c r="E1767" s="14">
        <v>923133918634</v>
      </c>
      <c r="F1767" t="s">
        <v>122</v>
      </c>
      <c r="G1767" t="s">
        <v>18</v>
      </c>
      <c r="H1767" t="s">
        <v>50</v>
      </c>
      <c r="I1767">
        <v>3</v>
      </c>
      <c r="J1767">
        <v>12803</v>
      </c>
      <c r="K1767">
        <v>38409</v>
      </c>
      <c r="L1767" t="s">
        <v>26</v>
      </c>
      <c r="M1767" t="s">
        <v>82</v>
      </c>
      <c r="N1767" t="s">
        <v>28</v>
      </c>
    </row>
    <row r="1768" spans="1:14" x14ac:dyDescent="0.25">
      <c r="A1768" t="s">
        <v>5310</v>
      </c>
      <c r="B1768" s="1">
        <v>45706</v>
      </c>
      <c r="C1768" t="s">
        <v>5311</v>
      </c>
      <c r="D1768" t="s">
        <v>5312</v>
      </c>
      <c r="E1768" s="14">
        <v>923381562842</v>
      </c>
      <c r="F1768" t="s">
        <v>77</v>
      </c>
      <c r="G1768" t="s">
        <v>18</v>
      </c>
      <c r="H1768" t="s">
        <v>39</v>
      </c>
      <c r="I1768">
        <v>2</v>
      </c>
      <c r="J1768">
        <v>13468</v>
      </c>
      <c r="K1768">
        <v>26936</v>
      </c>
      <c r="L1768" t="s">
        <v>20</v>
      </c>
      <c r="M1768" t="s">
        <v>82</v>
      </c>
      <c r="N1768" t="s">
        <v>22</v>
      </c>
    </row>
    <row r="1769" spans="1:14" x14ac:dyDescent="0.25">
      <c r="A1769" t="s">
        <v>5313</v>
      </c>
      <c r="B1769" s="1">
        <v>45875</v>
      </c>
      <c r="C1769" t="s">
        <v>5314</v>
      </c>
      <c r="D1769" t="s">
        <v>5315</v>
      </c>
      <c r="E1769" s="14">
        <v>923184687907</v>
      </c>
      <c r="F1769" t="s">
        <v>92</v>
      </c>
      <c r="G1769" t="s">
        <v>18</v>
      </c>
      <c r="H1769" t="s">
        <v>33</v>
      </c>
      <c r="I1769">
        <v>1</v>
      </c>
      <c r="J1769">
        <v>1224</v>
      </c>
      <c r="K1769">
        <v>1224</v>
      </c>
      <c r="L1769" t="s">
        <v>26</v>
      </c>
      <c r="M1769" t="s">
        <v>135</v>
      </c>
      <c r="N1769" t="s">
        <v>22</v>
      </c>
    </row>
    <row r="1770" spans="1:14" x14ac:dyDescent="0.25">
      <c r="A1770" t="s">
        <v>5316</v>
      </c>
      <c r="B1770" s="1">
        <v>45860</v>
      </c>
      <c r="C1770" t="s">
        <v>5317</v>
      </c>
      <c r="D1770" t="s">
        <v>5318</v>
      </c>
      <c r="E1770" s="14">
        <v>923318802325</v>
      </c>
      <c r="F1770" t="s">
        <v>122</v>
      </c>
      <c r="G1770" t="s">
        <v>18</v>
      </c>
      <c r="H1770" t="s">
        <v>50</v>
      </c>
      <c r="I1770">
        <v>3</v>
      </c>
      <c r="J1770">
        <v>4884</v>
      </c>
      <c r="K1770">
        <v>14652</v>
      </c>
      <c r="L1770" t="s">
        <v>63</v>
      </c>
      <c r="M1770" t="s">
        <v>21</v>
      </c>
      <c r="N1770" t="s">
        <v>35</v>
      </c>
    </row>
    <row r="1771" spans="1:14" x14ac:dyDescent="0.25">
      <c r="A1771" t="s">
        <v>5319</v>
      </c>
      <c r="B1771" s="1">
        <v>45795</v>
      </c>
      <c r="C1771" t="s">
        <v>5320</v>
      </c>
      <c r="D1771" t="s">
        <v>5321</v>
      </c>
      <c r="E1771" s="14">
        <v>923142912102</v>
      </c>
      <c r="F1771" t="s">
        <v>44</v>
      </c>
      <c r="G1771" t="s">
        <v>18</v>
      </c>
      <c r="H1771" t="s">
        <v>19</v>
      </c>
      <c r="I1771">
        <v>2</v>
      </c>
      <c r="J1771">
        <v>5408</v>
      </c>
      <c r="K1771">
        <v>10816</v>
      </c>
      <c r="L1771" t="s">
        <v>26</v>
      </c>
      <c r="M1771" t="s">
        <v>93</v>
      </c>
      <c r="N1771" t="s">
        <v>22</v>
      </c>
    </row>
    <row r="1772" spans="1:14" x14ac:dyDescent="0.25">
      <c r="A1772" t="s">
        <v>5322</v>
      </c>
      <c r="B1772" s="1">
        <v>45800</v>
      </c>
      <c r="C1772" t="s">
        <v>5323</v>
      </c>
      <c r="D1772" t="s">
        <v>5324</v>
      </c>
      <c r="E1772" s="14">
        <v>923458723438</v>
      </c>
      <c r="F1772" t="s">
        <v>92</v>
      </c>
      <c r="G1772" t="s">
        <v>18</v>
      </c>
      <c r="H1772" t="s">
        <v>50</v>
      </c>
      <c r="I1772">
        <v>3</v>
      </c>
      <c r="J1772">
        <v>8720</v>
      </c>
      <c r="K1772">
        <v>26160</v>
      </c>
      <c r="L1772" t="s">
        <v>78</v>
      </c>
      <c r="M1772" t="s">
        <v>21</v>
      </c>
      <c r="N1772" t="s">
        <v>22</v>
      </c>
    </row>
    <row r="1773" spans="1:14" x14ac:dyDescent="0.25">
      <c r="A1773" t="s">
        <v>5325</v>
      </c>
      <c r="B1773" s="1">
        <v>46037</v>
      </c>
      <c r="C1773" t="s">
        <v>5326</v>
      </c>
      <c r="D1773" t="s">
        <v>5327</v>
      </c>
      <c r="E1773" s="14">
        <v>923322050257</v>
      </c>
      <c r="F1773" t="s">
        <v>54</v>
      </c>
      <c r="G1773" t="s">
        <v>18</v>
      </c>
      <c r="H1773" t="s">
        <v>19</v>
      </c>
      <c r="I1773">
        <v>2</v>
      </c>
      <c r="J1773">
        <v>1202</v>
      </c>
      <c r="K1773">
        <v>2404</v>
      </c>
      <c r="L1773" t="s">
        <v>68</v>
      </c>
      <c r="M1773" t="s">
        <v>135</v>
      </c>
      <c r="N1773" t="s">
        <v>35</v>
      </c>
    </row>
    <row r="1774" spans="1:14" x14ac:dyDescent="0.25">
      <c r="A1774" t="s">
        <v>5328</v>
      </c>
      <c r="B1774" s="1">
        <v>45707</v>
      </c>
      <c r="C1774" t="s">
        <v>5329</v>
      </c>
      <c r="D1774" t="s">
        <v>5330</v>
      </c>
      <c r="E1774" s="14">
        <v>923307763531</v>
      </c>
      <c r="F1774" t="s">
        <v>32</v>
      </c>
      <c r="G1774" t="s">
        <v>18</v>
      </c>
      <c r="H1774" t="s">
        <v>19</v>
      </c>
      <c r="I1774">
        <v>4</v>
      </c>
      <c r="J1774">
        <v>8506</v>
      </c>
      <c r="K1774">
        <v>34024</v>
      </c>
      <c r="L1774" t="s">
        <v>68</v>
      </c>
      <c r="M1774" t="s">
        <v>135</v>
      </c>
      <c r="N1774" t="s">
        <v>22</v>
      </c>
    </row>
    <row r="1775" spans="1:14" x14ac:dyDescent="0.25">
      <c r="A1775" t="s">
        <v>5331</v>
      </c>
      <c r="B1775" s="1">
        <v>46011</v>
      </c>
      <c r="C1775" t="s">
        <v>5332</v>
      </c>
      <c r="D1775" t="s">
        <v>5333</v>
      </c>
      <c r="E1775" s="14">
        <v>923140900184</v>
      </c>
      <c r="F1775" t="s">
        <v>122</v>
      </c>
      <c r="G1775" t="s">
        <v>18</v>
      </c>
      <c r="H1775" t="s">
        <v>50</v>
      </c>
      <c r="I1775">
        <v>4</v>
      </c>
      <c r="J1775">
        <v>12633</v>
      </c>
      <c r="K1775">
        <v>50532</v>
      </c>
      <c r="L1775" t="s">
        <v>40</v>
      </c>
      <c r="M1775" t="s">
        <v>55</v>
      </c>
      <c r="N1775" t="s">
        <v>22</v>
      </c>
    </row>
    <row r="1776" spans="1:14" x14ac:dyDescent="0.25">
      <c r="A1776" t="s">
        <v>5334</v>
      </c>
      <c r="B1776" s="1">
        <v>45963</v>
      </c>
      <c r="C1776" t="s">
        <v>5335</v>
      </c>
      <c r="D1776" t="s">
        <v>5336</v>
      </c>
      <c r="E1776" s="14">
        <v>923031174253</v>
      </c>
      <c r="F1776" t="s">
        <v>32</v>
      </c>
      <c r="G1776" t="s">
        <v>18</v>
      </c>
      <c r="H1776" t="s">
        <v>59</v>
      </c>
      <c r="I1776">
        <v>1</v>
      </c>
      <c r="J1776">
        <v>3316</v>
      </c>
      <c r="K1776">
        <v>3316</v>
      </c>
      <c r="L1776" t="s">
        <v>63</v>
      </c>
      <c r="M1776" t="s">
        <v>135</v>
      </c>
      <c r="N1776" t="s">
        <v>69</v>
      </c>
    </row>
    <row r="1777" spans="1:14" x14ac:dyDescent="0.25">
      <c r="A1777" t="s">
        <v>5337</v>
      </c>
      <c r="B1777" s="1">
        <v>45993</v>
      </c>
      <c r="C1777" t="s">
        <v>5338</v>
      </c>
      <c r="D1777" t="s">
        <v>5339</v>
      </c>
      <c r="E1777" s="14">
        <v>923093759255</v>
      </c>
      <c r="F1777" t="s">
        <v>44</v>
      </c>
      <c r="G1777" t="s">
        <v>18</v>
      </c>
      <c r="H1777" t="s">
        <v>73</v>
      </c>
      <c r="I1777">
        <v>5</v>
      </c>
      <c r="J1777">
        <v>6115</v>
      </c>
      <c r="K1777">
        <v>30575</v>
      </c>
      <c r="L1777" t="s">
        <v>40</v>
      </c>
      <c r="M1777" t="s">
        <v>34</v>
      </c>
      <c r="N1777" t="s">
        <v>22</v>
      </c>
    </row>
    <row r="1778" spans="1:14" x14ac:dyDescent="0.25">
      <c r="A1778" t="s">
        <v>5340</v>
      </c>
      <c r="B1778" s="1">
        <v>46006</v>
      </c>
      <c r="C1778" t="s">
        <v>5341</v>
      </c>
      <c r="D1778" t="s">
        <v>5342</v>
      </c>
      <c r="E1778" s="14">
        <v>923178706773</v>
      </c>
      <c r="F1778" t="s">
        <v>49</v>
      </c>
      <c r="G1778" t="s">
        <v>18</v>
      </c>
      <c r="H1778" t="s">
        <v>59</v>
      </c>
      <c r="I1778">
        <v>3</v>
      </c>
      <c r="J1778">
        <v>2836</v>
      </c>
      <c r="K1778">
        <v>8508</v>
      </c>
      <c r="L1778" t="s">
        <v>26</v>
      </c>
      <c r="M1778" t="s">
        <v>27</v>
      </c>
      <c r="N1778" t="s">
        <v>35</v>
      </c>
    </row>
    <row r="1779" spans="1:14" x14ac:dyDescent="0.25">
      <c r="A1779" t="s">
        <v>5343</v>
      </c>
      <c r="B1779" s="1">
        <v>46029</v>
      </c>
      <c r="C1779" t="s">
        <v>5344</v>
      </c>
      <c r="D1779" t="s">
        <v>5345</v>
      </c>
      <c r="E1779" s="14">
        <v>923232906985</v>
      </c>
      <c r="F1779" t="s">
        <v>67</v>
      </c>
      <c r="G1779" t="s">
        <v>18</v>
      </c>
      <c r="H1779" t="s">
        <v>59</v>
      </c>
      <c r="I1779">
        <v>5</v>
      </c>
      <c r="J1779">
        <v>11989</v>
      </c>
      <c r="K1779">
        <v>59945</v>
      </c>
      <c r="L1779" t="s">
        <v>78</v>
      </c>
      <c r="M1779" t="s">
        <v>93</v>
      </c>
      <c r="N1779" t="s">
        <v>35</v>
      </c>
    </row>
    <row r="1780" spans="1:14" x14ac:dyDescent="0.25">
      <c r="A1780" t="s">
        <v>5346</v>
      </c>
      <c r="B1780" s="1">
        <v>45958</v>
      </c>
      <c r="C1780" t="s">
        <v>5347</v>
      </c>
      <c r="D1780" t="s">
        <v>5348</v>
      </c>
      <c r="E1780" s="14">
        <v>923005643256</v>
      </c>
      <c r="F1780" t="s">
        <v>122</v>
      </c>
      <c r="G1780" t="s">
        <v>18</v>
      </c>
      <c r="H1780" t="s">
        <v>39</v>
      </c>
      <c r="I1780">
        <v>1</v>
      </c>
      <c r="J1780">
        <v>11835</v>
      </c>
      <c r="K1780">
        <v>11835</v>
      </c>
      <c r="L1780" t="s">
        <v>40</v>
      </c>
      <c r="M1780" t="s">
        <v>93</v>
      </c>
      <c r="N1780" t="s">
        <v>35</v>
      </c>
    </row>
    <row r="1781" spans="1:14" x14ac:dyDescent="0.25">
      <c r="A1781" t="s">
        <v>5349</v>
      </c>
      <c r="B1781" s="1">
        <v>45760</v>
      </c>
      <c r="C1781" t="s">
        <v>3029</v>
      </c>
      <c r="D1781" t="s">
        <v>5350</v>
      </c>
      <c r="E1781" s="14">
        <v>923476402359</v>
      </c>
      <c r="F1781" t="s">
        <v>17</v>
      </c>
      <c r="G1781" t="s">
        <v>18</v>
      </c>
      <c r="H1781" t="s">
        <v>73</v>
      </c>
      <c r="I1781">
        <v>4</v>
      </c>
      <c r="J1781">
        <v>7446</v>
      </c>
      <c r="K1781">
        <v>29784</v>
      </c>
      <c r="L1781" t="s">
        <v>26</v>
      </c>
      <c r="M1781" t="s">
        <v>45</v>
      </c>
      <c r="N1781" t="s">
        <v>22</v>
      </c>
    </row>
    <row r="1782" spans="1:14" x14ac:dyDescent="0.25">
      <c r="A1782" t="s">
        <v>5351</v>
      </c>
      <c r="B1782" s="1">
        <v>45988</v>
      </c>
      <c r="C1782" t="s">
        <v>5352</v>
      </c>
      <c r="D1782" t="s">
        <v>5353</v>
      </c>
      <c r="E1782" s="14">
        <v>923203541765</v>
      </c>
      <c r="F1782" t="s">
        <v>122</v>
      </c>
      <c r="G1782" t="s">
        <v>18</v>
      </c>
      <c r="H1782" t="s">
        <v>73</v>
      </c>
      <c r="I1782">
        <v>3</v>
      </c>
      <c r="J1782">
        <v>5750</v>
      </c>
      <c r="K1782">
        <v>17250</v>
      </c>
      <c r="L1782" t="s">
        <v>78</v>
      </c>
      <c r="M1782" t="s">
        <v>55</v>
      </c>
      <c r="N1782" t="s">
        <v>35</v>
      </c>
    </row>
    <row r="1783" spans="1:14" x14ac:dyDescent="0.25">
      <c r="A1783" t="s">
        <v>5354</v>
      </c>
      <c r="B1783" s="1">
        <v>45741</v>
      </c>
      <c r="C1783" t="s">
        <v>5355</v>
      </c>
      <c r="D1783" t="s">
        <v>5356</v>
      </c>
      <c r="E1783" s="14">
        <v>923109901117</v>
      </c>
      <c r="F1783" t="s">
        <v>77</v>
      </c>
      <c r="G1783" t="s">
        <v>18</v>
      </c>
      <c r="H1783" t="s">
        <v>19</v>
      </c>
      <c r="I1783">
        <v>1</v>
      </c>
      <c r="J1783">
        <v>6846</v>
      </c>
      <c r="K1783">
        <v>6846</v>
      </c>
      <c r="L1783" t="s">
        <v>63</v>
      </c>
      <c r="M1783" t="s">
        <v>21</v>
      </c>
      <c r="N1783" t="s">
        <v>22</v>
      </c>
    </row>
    <row r="1784" spans="1:14" x14ac:dyDescent="0.25">
      <c r="A1784" t="s">
        <v>5357</v>
      </c>
      <c r="B1784" s="1">
        <v>45899</v>
      </c>
      <c r="C1784" t="s">
        <v>5358</v>
      </c>
      <c r="D1784" t="s">
        <v>5359</v>
      </c>
      <c r="E1784" s="14">
        <v>923472698867</v>
      </c>
      <c r="F1784" t="s">
        <v>32</v>
      </c>
      <c r="G1784" t="s">
        <v>18</v>
      </c>
      <c r="H1784" t="s">
        <v>39</v>
      </c>
      <c r="I1784">
        <v>4</v>
      </c>
      <c r="J1784">
        <v>1728</v>
      </c>
      <c r="K1784">
        <v>6912</v>
      </c>
      <c r="L1784" t="s">
        <v>78</v>
      </c>
      <c r="M1784" t="s">
        <v>21</v>
      </c>
      <c r="N1784" t="s">
        <v>69</v>
      </c>
    </row>
    <row r="1785" spans="1:14" x14ac:dyDescent="0.25">
      <c r="A1785" t="s">
        <v>5360</v>
      </c>
      <c r="B1785" s="1">
        <v>45894</v>
      </c>
      <c r="C1785" t="s">
        <v>5361</v>
      </c>
      <c r="D1785" t="s">
        <v>5362</v>
      </c>
      <c r="E1785" s="14">
        <v>923420889076</v>
      </c>
      <c r="F1785" t="s">
        <v>17</v>
      </c>
      <c r="G1785" t="s">
        <v>18</v>
      </c>
      <c r="H1785" t="s">
        <v>50</v>
      </c>
      <c r="I1785">
        <v>2</v>
      </c>
      <c r="J1785">
        <v>7826</v>
      </c>
      <c r="K1785">
        <v>15652</v>
      </c>
      <c r="L1785" t="s">
        <v>63</v>
      </c>
      <c r="M1785" t="s">
        <v>27</v>
      </c>
      <c r="N1785" t="s">
        <v>35</v>
      </c>
    </row>
    <row r="1786" spans="1:14" x14ac:dyDescent="0.25">
      <c r="A1786" t="s">
        <v>5363</v>
      </c>
      <c r="B1786" s="1">
        <v>46069</v>
      </c>
      <c r="C1786" t="s">
        <v>5364</v>
      </c>
      <c r="D1786" t="s">
        <v>5365</v>
      </c>
      <c r="E1786" s="14">
        <v>923444272698</v>
      </c>
      <c r="F1786" t="s">
        <v>122</v>
      </c>
      <c r="G1786" t="s">
        <v>18</v>
      </c>
      <c r="H1786" t="s">
        <v>33</v>
      </c>
      <c r="I1786">
        <v>3</v>
      </c>
      <c r="J1786">
        <v>3859</v>
      </c>
      <c r="K1786">
        <v>11577</v>
      </c>
      <c r="L1786" t="s">
        <v>78</v>
      </c>
      <c r="M1786" t="s">
        <v>135</v>
      </c>
      <c r="N1786" t="s">
        <v>22</v>
      </c>
    </row>
    <row r="1787" spans="1:14" x14ac:dyDescent="0.25">
      <c r="A1787" t="s">
        <v>5366</v>
      </c>
      <c r="B1787" s="1">
        <v>45760</v>
      </c>
      <c r="C1787" t="s">
        <v>5367</v>
      </c>
      <c r="D1787" t="s">
        <v>5368</v>
      </c>
      <c r="E1787" s="14">
        <v>923137979988</v>
      </c>
      <c r="F1787" t="s">
        <v>92</v>
      </c>
      <c r="G1787" t="s">
        <v>18</v>
      </c>
      <c r="H1787" t="s">
        <v>19</v>
      </c>
      <c r="I1787">
        <v>2</v>
      </c>
      <c r="J1787">
        <v>7552</v>
      </c>
      <c r="K1787">
        <v>15104</v>
      </c>
      <c r="L1787" t="s">
        <v>63</v>
      </c>
      <c r="M1787" t="s">
        <v>34</v>
      </c>
      <c r="N1787" t="s">
        <v>69</v>
      </c>
    </row>
    <row r="1788" spans="1:14" x14ac:dyDescent="0.25">
      <c r="A1788" t="s">
        <v>5369</v>
      </c>
      <c r="B1788" s="1">
        <v>45872</v>
      </c>
      <c r="C1788" t="s">
        <v>5370</v>
      </c>
      <c r="D1788" t="s">
        <v>5371</v>
      </c>
      <c r="E1788" s="14">
        <v>923474371409</v>
      </c>
      <c r="F1788" t="s">
        <v>44</v>
      </c>
      <c r="G1788" t="s">
        <v>18</v>
      </c>
      <c r="H1788" t="s">
        <v>73</v>
      </c>
      <c r="I1788">
        <v>3</v>
      </c>
      <c r="J1788">
        <v>2305</v>
      </c>
      <c r="K1788">
        <v>6915</v>
      </c>
      <c r="L1788" t="s">
        <v>68</v>
      </c>
      <c r="M1788" t="s">
        <v>135</v>
      </c>
      <c r="N1788" t="s">
        <v>69</v>
      </c>
    </row>
    <row r="1789" spans="1:14" x14ac:dyDescent="0.25">
      <c r="A1789" t="s">
        <v>5372</v>
      </c>
      <c r="B1789" s="1">
        <v>45833</v>
      </c>
      <c r="C1789" t="s">
        <v>5373</v>
      </c>
      <c r="D1789" t="s">
        <v>5374</v>
      </c>
      <c r="E1789" s="14">
        <v>923393109509</v>
      </c>
      <c r="F1789" t="s">
        <v>77</v>
      </c>
      <c r="G1789" t="s">
        <v>18</v>
      </c>
      <c r="H1789" t="s">
        <v>19</v>
      </c>
      <c r="I1789">
        <v>4</v>
      </c>
      <c r="J1789">
        <v>10157</v>
      </c>
      <c r="K1789">
        <v>40628</v>
      </c>
      <c r="L1789" t="s">
        <v>40</v>
      </c>
      <c r="M1789" t="s">
        <v>45</v>
      </c>
      <c r="N1789" t="s">
        <v>35</v>
      </c>
    </row>
    <row r="1790" spans="1:14" x14ac:dyDescent="0.25">
      <c r="A1790" t="s">
        <v>5375</v>
      </c>
      <c r="B1790" s="1">
        <v>45976</v>
      </c>
      <c r="C1790" t="s">
        <v>5376</v>
      </c>
      <c r="D1790" t="s">
        <v>5377</v>
      </c>
      <c r="E1790" s="14">
        <v>923002989858</v>
      </c>
      <c r="F1790" t="s">
        <v>92</v>
      </c>
      <c r="G1790" t="s">
        <v>18</v>
      </c>
      <c r="H1790" t="s">
        <v>39</v>
      </c>
      <c r="I1790">
        <v>1</v>
      </c>
      <c r="J1790">
        <v>8651</v>
      </c>
      <c r="K1790">
        <v>8651</v>
      </c>
      <c r="L1790" t="s">
        <v>40</v>
      </c>
      <c r="M1790" t="s">
        <v>21</v>
      </c>
      <c r="N1790" t="s">
        <v>69</v>
      </c>
    </row>
    <row r="1791" spans="1:14" x14ac:dyDescent="0.25">
      <c r="A1791" t="s">
        <v>5378</v>
      </c>
      <c r="B1791" s="1">
        <v>45942</v>
      </c>
      <c r="C1791" t="s">
        <v>5379</v>
      </c>
      <c r="D1791" t="s">
        <v>5380</v>
      </c>
      <c r="E1791" s="14">
        <v>923205107654</v>
      </c>
      <c r="F1791" t="s">
        <v>92</v>
      </c>
      <c r="G1791" t="s">
        <v>18</v>
      </c>
      <c r="H1791" t="s">
        <v>33</v>
      </c>
      <c r="I1791">
        <v>2</v>
      </c>
      <c r="J1791">
        <v>13369</v>
      </c>
      <c r="K1791">
        <v>26738</v>
      </c>
      <c r="L1791" t="s">
        <v>68</v>
      </c>
      <c r="M1791" t="s">
        <v>55</v>
      </c>
      <c r="N1791" t="s">
        <v>22</v>
      </c>
    </row>
    <row r="1792" spans="1:14" x14ac:dyDescent="0.25">
      <c r="A1792" t="s">
        <v>5381</v>
      </c>
      <c r="B1792" s="1">
        <v>45908</v>
      </c>
      <c r="C1792" t="s">
        <v>5382</v>
      </c>
      <c r="D1792" t="s">
        <v>5383</v>
      </c>
      <c r="E1792" s="14">
        <v>923470441134</v>
      </c>
      <c r="F1792" t="s">
        <v>77</v>
      </c>
      <c r="G1792" t="s">
        <v>18</v>
      </c>
      <c r="H1792" t="s">
        <v>73</v>
      </c>
      <c r="I1792">
        <v>3</v>
      </c>
      <c r="J1792">
        <v>13173</v>
      </c>
      <c r="K1792">
        <v>39519</v>
      </c>
      <c r="L1792" t="s">
        <v>68</v>
      </c>
      <c r="M1792" t="s">
        <v>135</v>
      </c>
      <c r="N1792" t="s">
        <v>69</v>
      </c>
    </row>
    <row r="1793" spans="1:14" x14ac:dyDescent="0.25">
      <c r="A1793" t="s">
        <v>5384</v>
      </c>
      <c r="B1793" s="1">
        <v>45790</v>
      </c>
      <c r="C1793" t="s">
        <v>5385</v>
      </c>
      <c r="D1793" t="s">
        <v>5386</v>
      </c>
      <c r="E1793" s="14">
        <v>923236122483</v>
      </c>
      <c r="F1793" t="s">
        <v>54</v>
      </c>
      <c r="G1793" t="s">
        <v>18</v>
      </c>
      <c r="H1793" t="s">
        <v>19</v>
      </c>
      <c r="I1793">
        <v>2</v>
      </c>
      <c r="J1793">
        <v>13039</v>
      </c>
      <c r="K1793">
        <v>26078</v>
      </c>
      <c r="L1793" t="s">
        <v>63</v>
      </c>
      <c r="M1793" t="s">
        <v>82</v>
      </c>
      <c r="N1793" t="s">
        <v>35</v>
      </c>
    </row>
    <row r="1794" spans="1:14" x14ac:dyDescent="0.25">
      <c r="A1794" t="s">
        <v>5387</v>
      </c>
      <c r="B1794" s="1">
        <v>45788</v>
      </c>
      <c r="C1794" t="s">
        <v>5388</v>
      </c>
      <c r="D1794" t="s">
        <v>5389</v>
      </c>
      <c r="E1794" s="14">
        <v>923159027745</v>
      </c>
      <c r="F1794" t="s">
        <v>32</v>
      </c>
      <c r="G1794" t="s">
        <v>18</v>
      </c>
      <c r="H1794" t="s">
        <v>19</v>
      </c>
      <c r="I1794">
        <v>5</v>
      </c>
      <c r="J1794">
        <v>5695</v>
      </c>
      <c r="K1794">
        <v>28475</v>
      </c>
      <c r="L1794" t="s">
        <v>40</v>
      </c>
      <c r="M1794" t="s">
        <v>45</v>
      </c>
      <c r="N1794" t="s">
        <v>28</v>
      </c>
    </row>
    <row r="1795" spans="1:14" x14ac:dyDescent="0.25">
      <c r="A1795" t="s">
        <v>5390</v>
      </c>
      <c r="B1795" s="1">
        <v>46030</v>
      </c>
      <c r="C1795" t="s">
        <v>5391</v>
      </c>
      <c r="D1795" t="s">
        <v>5392</v>
      </c>
      <c r="E1795" s="14">
        <v>923108478658</v>
      </c>
      <c r="F1795" t="s">
        <v>77</v>
      </c>
      <c r="G1795" t="s">
        <v>18</v>
      </c>
      <c r="H1795" t="s">
        <v>73</v>
      </c>
      <c r="I1795">
        <v>3</v>
      </c>
      <c r="J1795">
        <v>5832</v>
      </c>
      <c r="K1795">
        <v>17496</v>
      </c>
      <c r="L1795" t="s">
        <v>68</v>
      </c>
      <c r="M1795" t="s">
        <v>93</v>
      </c>
      <c r="N1795" t="s">
        <v>35</v>
      </c>
    </row>
    <row r="1796" spans="1:14" x14ac:dyDescent="0.25">
      <c r="A1796" t="s">
        <v>5393</v>
      </c>
      <c r="B1796" s="1">
        <v>46006</v>
      </c>
      <c r="C1796" t="s">
        <v>5394</v>
      </c>
      <c r="D1796" t="s">
        <v>5395</v>
      </c>
      <c r="E1796" s="14">
        <v>923198997694</v>
      </c>
      <c r="F1796" t="s">
        <v>77</v>
      </c>
      <c r="G1796" t="s">
        <v>18</v>
      </c>
      <c r="H1796" t="s">
        <v>19</v>
      </c>
      <c r="I1796">
        <v>2</v>
      </c>
      <c r="J1796">
        <v>9894</v>
      </c>
      <c r="K1796">
        <v>19788</v>
      </c>
      <c r="L1796" t="s">
        <v>40</v>
      </c>
      <c r="M1796" t="s">
        <v>21</v>
      </c>
      <c r="N1796" t="s">
        <v>28</v>
      </c>
    </row>
    <row r="1797" spans="1:14" x14ac:dyDescent="0.25">
      <c r="A1797" t="s">
        <v>5396</v>
      </c>
      <c r="B1797" s="1">
        <v>45778</v>
      </c>
      <c r="C1797" t="s">
        <v>5397</v>
      </c>
      <c r="D1797" t="s">
        <v>5398</v>
      </c>
      <c r="E1797" s="14">
        <v>923354484838</v>
      </c>
      <c r="F1797" t="s">
        <v>49</v>
      </c>
      <c r="G1797" t="s">
        <v>18</v>
      </c>
      <c r="H1797" t="s">
        <v>73</v>
      </c>
      <c r="I1797">
        <v>5</v>
      </c>
      <c r="J1797">
        <v>6259</v>
      </c>
      <c r="K1797">
        <v>31295</v>
      </c>
      <c r="L1797" t="s">
        <v>63</v>
      </c>
      <c r="M1797" t="s">
        <v>21</v>
      </c>
      <c r="N1797" t="s">
        <v>28</v>
      </c>
    </row>
    <row r="1798" spans="1:14" x14ac:dyDescent="0.25">
      <c r="A1798" t="s">
        <v>5399</v>
      </c>
      <c r="B1798" s="1">
        <v>45848</v>
      </c>
      <c r="C1798" t="s">
        <v>5400</v>
      </c>
      <c r="D1798" t="s">
        <v>5401</v>
      </c>
      <c r="E1798" s="14">
        <v>923300314752</v>
      </c>
      <c r="F1798" t="s">
        <v>67</v>
      </c>
      <c r="G1798" t="s">
        <v>18</v>
      </c>
      <c r="H1798" t="s">
        <v>39</v>
      </c>
      <c r="I1798">
        <v>3</v>
      </c>
      <c r="J1798">
        <v>8254</v>
      </c>
      <c r="K1798">
        <v>24762</v>
      </c>
      <c r="L1798" t="s">
        <v>68</v>
      </c>
      <c r="M1798" t="s">
        <v>34</v>
      </c>
      <c r="N1798" t="s">
        <v>28</v>
      </c>
    </row>
    <row r="1799" spans="1:14" x14ac:dyDescent="0.25">
      <c r="A1799" t="s">
        <v>5402</v>
      </c>
      <c r="B1799" s="1">
        <v>45850</v>
      </c>
      <c r="C1799" t="s">
        <v>5403</v>
      </c>
      <c r="D1799" t="s">
        <v>5404</v>
      </c>
      <c r="E1799" s="14">
        <v>923256167823</v>
      </c>
      <c r="F1799" t="s">
        <v>67</v>
      </c>
      <c r="G1799" t="s">
        <v>18</v>
      </c>
      <c r="H1799" t="s">
        <v>50</v>
      </c>
      <c r="I1799">
        <v>4</v>
      </c>
      <c r="J1799">
        <v>6941</v>
      </c>
      <c r="K1799">
        <v>27764</v>
      </c>
      <c r="L1799" t="s">
        <v>40</v>
      </c>
      <c r="M1799" t="s">
        <v>55</v>
      </c>
      <c r="N1799" t="s">
        <v>69</v>
      </c>
    </row>
    <row r="1800" spans="1:14" x14ac:dyDescent="0.25">
      <c r="A1800" t="s">
        <v>5405</v>
      </c>
      <c r="B1800" s="1">
        <v>45726</v>
      </c>
      <c r="C1800" t="s">
        <v>5406</v>
      </c>
      <c r="D1800" t="s">
        <v>5407</v>
      </c>
      <c r="E1800" s="14">
        <v>923254420956</v>
      </c>
      <c r="F1800" t="s">
        <v>44</v>
      </c>
      <c r="G1800" t="s">
        <v>18</v>
      </c>
      <c r="H1800" t="s">
        <v>59</v>
      </c>
      <c r="I1800">
        <v>4</v>
      </c>
      <c r="J1800">
        <v>5076</v>
      </c>
      <c r="K1800">
        <v>20304</v>
      </c>
      <c r="L1800" t="s">
        <v>78</v>
      </c>
      <c r="M1800" t="s">
        <v>93</v>
      </c>
      <c r="N1800" t="s">
        <v>28</v>
      </c>
    </row>
    <row r="1801" spans="1:14" x14ac:dyDescent="0.25">
      <c r="A1801" t="s">
        <v>5408</v>
      </c>
      <c r="B1801" s="1">
        <v>45900</v>
      </c>
      <c r="C1801" t="s">
        <v>5409</v>
      </c>
      <c r="D1801" t="s">
        <v>5410</v>
      </c>
      <c r="E1801" s="14">
        <v>923432934062</v>
      </c>
      <c r="F1801" t="s">
        <v>17</v>
      </c>
      <c r="G1801" t="s">
        <v>18</v>
      </c>
      <c r="H1801" t="s">
        <v>39</v>
      </c>
      <c r="I1801">
        <v>4</v>
      </c>
      <c r="J1801">
        <v>13650</v>
      </c>
      <c r="K1801">
        <v>54600</v>
      </c>
      <c r="L1801" t="s">
        <v>78</v>
      </c>
      <c r="M1801" t="s">
        <v>93</v>
      </c>
      <c r="N1801" t="s">
        <v>69</v>
      </c>
    </row>
    <row r="1802" spans="1:14" x14ac:dyDescent="0.25">
      <c r="A1802" t="s">
        <v>5411</v>
      </c>
      <c r="B1802" s="1">
        <v>45968</v>
      </c>
      <c r="C1802" t="s">
        <v>5412</v>
      </c>
      <c r="D1802" t="s">
        <v>5413</v>
      </c>
      <c r="E1802" s="14">
        <v>923467345497</v>
      </c>
      <c r="F1802" t="s">
        <v>49</v>
      </c>
      <c r="G1802" t="s">
        <v>18</v>
      </c>
      <c r="H1802" t="s">
        <v>73</v>
      </c>
      <c r="I1802">
        <v>1</v>
      </c>
      <c r="J1802">
        <v>6166</v>
      </c>
      <c r="K1802">
        <v>6166</v>
      </c>
      <c r="L1802" t="s">
        <v>68</v>
      </c>
      <c r="M1802" t="s">
        <v>55</v>
      </c>
      <c r="N1802" t="s">
        <v>22</v>
      </c>
    </row>
    <row r="1803" spans="1:14" x14ac:dyDescent="0.25">
      <c r="A1803" t="s">
        <v>5414</v>
      </c>
      <c r="B1803" s="1">
        <v>46024</v>
      </c>
      <c r="C1803" t="s">
        <v>5415</v>
      </c>
      <c r="D1803" t="s">
        <v>5416</v>
      </c>
      <c r="E1803" s="14">
        <v>923327499870</v>
      </c>
      <c r="F1803" t="s">
        <v>77</v>
      </c>
      <c r="G1803" t="s">
        <v>18</v>
      </c>
      <c r="H1803" t="s">
        <v>59</v>
      </c>
      <c r="I1803">
        <v>2</v>
      </c>
      <c r="J1803">
        <v>13313</v>
      </c>
      <c r="K1803">
        <v>26626</v>
      </c>
      <c r="L1803" t="s">
        <v>20</v>
      </c>
      <c r="M1803" t="s">
        <v>21</v>
      </c>
      <c r="N1803" t="s">
        <v>22</v>
      </c>
    </row>
    <row r="1804" spans="1:14" x14ac:dyDescent="0.25">
      <c r="A1804" t="s">
        <v>5417</v>
      </c>
      <c r="B1804" s="1">
        <v>45735</v>
      </c>
      <c r="C1804" t="s">
        <v>5418</v>
      </c>
      <c r="D1804" t="s">
        <v>5419</v>
      </c>
      <c r="E1804" s="14">
        <v>923100584085</v>
      </c>
      <c r="F1804" t="s">
        <v>122</v>
      </c>
      <c r="G1804" t="s">
        <v>18</v>
      </c>
      <c r="H1804" t="s">
        <v>33</v>
      </c>
      <c r="I1804">
        <v>2</v>
      </c>
      <c r="J1804">
        <v>2239</v>
      </c>
      <c r="K1804">
        <v>4478</v>
      </c>
      <c r="L1804" t="s">
        <v>40</v>
      </c>
      <c r="M1804" t="s">
        <v>93</v>
      </c>
      <c r="N1804" t="s">
        <v>28</v>
      </c>
    </row>
    <row r="1805" spans="1:14" x14ac:dyDescent="0.25">
      <c r="A1805" t="s">
        <v>5420</v>
      </c>
      <c r="B1805" s="1">
        <v>45902</v>
      </c>
      <c r="C1805" t="s">
        <v>5421</v>
      </c>
      <c r="D1805" t="s">
        <v>5422</v>
      </c>
      <c r="E1805" s="14">
        <v>923036729233</v>
      </c>
      <c r="F1805" t="s">
        <v>92</v>
      </c>
      <c r="G1805" t="s">
        <v>18</v>
      </c>
      <c r="H1805" t="s">
        <v>50</v>
      </c>
      <c r="I1805">
        <v>2</v>
      </c>
      <c r="J1805">
        <v>12004</v>
      </c>
      <c r="K1805">
        <v>24008</v>
      </c>
      <c r="L1805" t="s">
        <v>26</v>
      </c>
      <c r="M1805" t="s">
        <v>135</v>
      </c>
      <c r="N1805" t="s">
        <v>28</v>
      </c>
    </row>
    <row r="1806" spans="1:14" x14ac:dyDescent="0.25">
      <c r="A1806" t="s">
        <v>5423</v>
      </c>
      <c r="B1806" s="1">
        <v>45856</v>
      </c>
      <c r="C1806" t="s">
        <v>5424</v>
      </c>
      <c r="D1806" t="s">
        <v>5425</v>
      </c>
      <c r="E1806" s="14">
        <v>923101771387</v>
      </c>
      <c r="F1806" t="s">
        <v>67</v>
      </c>
      <c r="G1806" t="s">
        <v>18</v>
      </c>
      <c r="H1806" t="s">
        <v>39</v>
      </c>
      <c r="I1806">
        <v>4</v>
      </c>
      <c r="J1806">
        <v>11051</v>
      </c>
      <c r="K1806">
        <v>44204</v>
      </c>
      <c r="L1806" t="s">
        <v>26</v>
      </c>
      <c r="M1806" t="s">
        <v>34</v>
      </c>
      <c r="N1806" t="s">
        <v>35</v>
      </c>
    </row>
    <row r="1807" spans="1:14" x14ac:dyDescent="0.25">
      <c r="A1807" t="s">
        <v>5426</v>
      </c>
      <c r="B1807" s="1">
        <v>45968</v>
      </c>
      <c r="C1807" t="s">
        <v>5427</v>
      </c>
      <c r="D1807" t="s">
        <v>5428</v>
      </c>
      <c r="E1807" s="14">
        <v>923246446320</v>
      </c>
      <c r="F1807" t="s">
        <v>106</v>
      </c>
      <c r="G1807" t="s">
        <v>18</v>
      </c>
      <c r="H1807" t="s">
        <v>19</v>
      </c>
      <c r="I1807">
        <v>5</v>
      </c>
      <c r="J1807">
        <v>7469</v>
      </c>
      <c r="K1807">
        <v>37345</v>
      </c>
      <c r="L1807" t="s">
        <v>63</v>
      </c>
      <c r="M1807" t="s">
        <v>135</v>
      </c>
      <c r="N1807" t="s">
        <v>28</v>
      </c>
    </row>
    <row r="1808" spans="1:14" x14ac:dyDescent="0.25">
      <c r="A1808" t="s">
        <v>5429</v>
      </c>
      <c r="B1808" s="1">
        <v>45922</v>
      </c>
      <c r="C1808" t="s">
        <v>5430</v>
      </c>
      <c r="D1808" t="s">
        <v>5431</v>
      </c>
      <c r="E1808" s="14">
        <v>923432775477</v>
      </c>
      <c r="F1808" t="s">
        <v>44</v>
      </c>
      <c r="G1808" t="s">
        <v>18</v>
      </c>
      <c r="H1808" t="s">
        <v>59</v>
      </c>
      <c r="I1808">
        <v>3</v>
      </c>
      <c r="J1808">
        <v>9880</v>
      </c>
      <c r="K1808">
        <v>29640</v>
      </c>
      <c r="L1808" t="s">
        <v>68</v>
      </c>
      <c r="M1808" t="s">
        <v>45</v>
      </c>
      <c r="N1808" t="s">
        <v>69</v>
      </c>
    </row>
    <row r="1809" spans="1:14" x14ac:dyDescent="0.25">
      <c r="A1809" t="s">
        <v>5432</v>
      </c>
      <c r="B1809" s="1">
        <v>45852</v>
      </c>
      <c r="C1809" t="s">
        <v>5433</v>
      </c>
      <c r="D1809" t="s">
        <v>5434</v>
      </c>
      <c r="E1809" s="14">
        <v>923193288984</v>
      </c>
      <c r="F1809" t="s">
        <v>32</v>
      </c>
      <c r="G1809" t="s">
        <v>18</v>
      </c>
      <c r="H1809" t="s">
        <v>19</v>
      </c>
      <c r="I1809">
        <v>2</v>
      </c>
      <c r="J1809">
        <v>2532</v>
      </c>
      <c r="K1809">
        <v>5064</v>
      </c>
      <c r="L1809" t="s">
        <v>26</v>
      </c>
      <c r="M1809" t="s">
        <v>21</v>
      </c>
      <c r="N1809" t="s">
        <v>28</v>
      </c>
    </row>
    <row r="1810" spans="1:14" x14ac:dyDescent="0.25">
      <c r="A1810" t="s">
        <v>5435</v>
      </c>
      <c r="B1810" s="1">
        <v>45821</v>
      </c>
      <c r="C1810" t="s">
        <v>5436</v>
      </c>
      <c r="D1810" t="s">
        <v>5437</v>
      </c>
      <c r="E1810" s="14">
        <v>923241374137</v>
      </c>
      <c r="F1810" t="s">
        <v>49</v>
      </c>
      <c r="G1810" t="s">
        <v>18</v>
      </c>
      <c r="H1810" t="s">
        <v>73</v>
      </c>
      <c r="I1810">
        <v>1</v>
      </c>
      <c r="J1810">
        <v>11029</v>
      </c>
      <c r="K1810">
        <v>11029</v>
      </c>
      <c r="L1810" t="s">
        <v>26</v>
      </c>
      <c r="M1810" t="s">
        <v>27</v>
      </c>
      <c r="N1810" t="s">
        <v>28</v>
      </c>
    </row>
    <row r="1811" spans="1:14" x14ac:dyDescent="0.25">
      <c r="A1811" t="s">
        <v>5438</v>
      </c>
      <c r="B1811" s="1">
        <v>46048</v>
      </c>
      <c r="C1811" t="s">
        <v>5439</v>
      </c>
      <c r="D1811" t="s">
        <v>5440</v>
      </c>
      <c r="E1811" s="14">
        <v>923440420509</v>
      </c>
      <c r="F1811" t="s">
        <v>92</v>
      </c>
      <c r="G1811" t="s">
        <v>18</v>
      </c>
      <c r="H1811" t="s">
        <v>73</v>
      </c>
      <c r="I1811">
        <v>2</v>
      </c>
      <c r="J1811">
        <v>14942</v>
      </c>
      <c r="K1811">
        <v>29884</v>
      </c>
      <c r="L1811" t="s">
        <v>63</v>
      </c>
      <c r="M1811" t="s">
        <v>93</v>
      </c>
      <c r="N1811" t="s">
        <v>35</v>
      </c>
    </row>
    <row r="1812" spans="1:14" x14ac:dyDescent="0.25">
      <c r="A1812" t="s">
        <v>5441</v>
      </c>
      <c r="B1812" s="1">
        <v>45919</v>
      </c>
      <c r="C1812" t="s">
        <v>5442</v>
      </c>
      <c r="D1812" t="s">
        <v>5443</v>
      </c>
      <c r="E1812" s="14">
        <v>923210752885</v>
      </c>
      <c r="F1812" t="s">
        <v>77</v>
      </c>
      <c r="G1812" t="s">
        <v>18</v>
      </c>
      <c r="H1812" t="s">
        <v>39</v>
      </c>
      <c r="I1812">
        <v>5</v>
      </c>
      <c r="J1812">
        <v>1271</v>
      </c>
      <c r="K1812">
        <v>6355</v>
      </c>
      <c r="L1812" t="s">
        <v>63</v>
      </c>
      <c r="M1812" t="s">
        <v>82</v>
      </c>
      <c r="N1812" t="s">
        <v>22</v>
      </c>
    </row>
    <row r="1813" spans="1:14" x14ac:dyDescent="0.25">
      <c r="A1813" t="s">
        <v>5444</v>
      </c>
      <c r="B1813" s="1">
        <v>45760</v>
      </c>
      <c r="C1813" t="s">
        <v>5445</v>
      </c>
      <c r="D1813" t="s">
        <v>5446</v>
      </c>
      <c r="E1813" s="14">
        <v>923442090223</v>
      </c>
      <c r="F1813" t="s">
        <v>17</v>
      </c>
      <c r="G1813" t="s">
        <v>18</v>
      </c>
      <c r="H1813" t="s">
        <v>33</v>
      </c>
      <c r="I1813">
        <v>2</v>
      </c>
      <c r="J1813">
        <v>11045</v>
      </c>
      <c r="K1813">
        <v>22090</v>
      </c>
      <c r="L1813" t="s">
        <v>26</v>
      </c>
      <c r="M1813" t="s">
        <v>55</v>
      </c>
      <c r="N1813" t="s">
        <v>22</v>
      </c>
    </row>
    <row r="1814" spans="1:14" x14ac:dyDescent="0.25">
      <c r="A1814" t="s">
        <v>5447</v>
      </c>
      <c r="B1814" s="1">
        <v>45803</v>
      </c>
      <c r="C1814" t="s">
        <v>5448</v>
      </c>
      <c r="D1814" t="s">
        <v>5449</v>
      </c>
      <c r="E1814" s="14">
        <v>923180047085</v>
      </c>
      <c r="F1814" t="s">
        <v>106</v>
      </c>
      <c r="G1814" t="s">
        <v>18</v>
      </c>
      <c r="H1814" t="s">
        <v>19</v>
      </c>
      <c r="I1814">
        <v>3</v>
      </c>
      <c r="J1814">
        <v>12576</v>
      </c>
      <c r="K1814">
        <v>37728</v>
      </c>
      <c r="L1814" t="s">
        <v>26</v>
      </c>
      <c r="M1814" t="s">
        <v>135</v>
      </c>
      <c r="N1814" t="s">
        <v>22</v>
      </c>
    </row>
    <row r="1815" spans="1:14" x14ac:dyDescent="0.25">
      <c r="A1815" t="s">
        <v>5450</v>
      </c>
      <c r="B1815" s="1">
        <v>45983</v>
      </c>
      <c r="C1815" t="s">
        <v>5451</v>
      </c>
      <c r="D1815" t="s">
        <v>5452</v>
      </c>
      <c r="E1815" s="14">
        <v>923159838969</v>
      </c>
      <c r="F1815" t="s">
        <v>77</v>
      </c>
      <c r="G1815" t="s">
        <v>18</v>
      </c>
      <c r="H1815" t="s">
        <v>50</v>
      </c>
      <c r="I1815">
        <v>2</v>
      </c>
      <c r="J1815">
        <v>3800</v>
      </c>
      <c r="K1815">
        <v>7600</v>
      </c>
      <c r="L1815" t="s">
        <v>20</v>
      </c>
      <c r="M1815" t="s">
        <v>93</v>
      </c>
      <c r="N1815" t="s">
        <v>22</v>
      </c>
    </row>
    <row r="1816" spans="1:14" x14ac:dyDescent="0.25">
      <c r="A1816" t="s">
        <v>5453</v>
      </c>
      <c r="B1816" s="1">
        <v>45936</v>
      </c>
      <c r="C1816" t="s">
        <v>5454</v>
      </c>
      <c r="D1816" t="s">
        <v>5455</v>
      </c>
      <c r="E1816" s="14">
        <v>923305101044</v>
      </c>
      <c r="F1816" t="s">
        <v>17</v>
      </c>
      <c r="G1816" t="s">
        <v>18</v>
      </c>
      <c r="H1816" t="s">
        <v>33</v>
      </c>
      <c r="I1816">
        <v>3</v>
      </c>
      <c r="J1816">
        <v>2928</v>
      </c>
      <c r="K1816">
        <v>8784</v>
      </c>
      <c r="L1816" t="s">
        <v>68</v>
      </c>
      <c r="M1816" t="s">
        <v>55</v>
      </c>
      <c r="N1816" t="s">
        <v>28</v>
      </c>
    </row>
    <row r="1817" spans="1:14" x14ac:dyDescent="0.25">
      <c r="A1817" t="s">
        <v>5456</v>
      </c>
      <c r="B1817" s="1">
        <v>45949</v>
      </c>
      <c r="C1817" t="s">
        <v>5457</v>
      </c>
      <c r="D1817" t="s">
        <v>5458</v>
      </c>
      <c r="E1817" s="14">
        <v>923465615256</v>
      </c>
      <c r="F1817" t="s">
        <v>54</v>
      </c>
      <c r="G1817" t="s">
        <v>18</v>
      </c>
      <c r="H1817" t="s">
        <v>33</v>
      </c>
      <c r="I1817">
        <v>2</v>
      </c>
      <c r="J1817">
        <v>12882</v>
      </c>
      <c r="K1817">
        <v>25764</v>
      </c>
      <c r="L1817" t="s">
        <v>78</v>
      </c>
      <c r="M1817" t="s">
        <v>82</v>
      </c>
      <c r="N1817" t="s">
        <v>22</v>
      </c>
    </row>
    <row r="1818" spans="1:14" x14ac:dyDescent="0.25">
      <c r="A1818" t="s">
        <v>5459</v>
      </c>
      <c r="B1818" s="1">
        <v>46004</v>
      </c>
      <c r="C1818" t="s">
        <v>5460</v>
      </c>
      <c r="D1818" t="s">
        <v>5461</v>
      </c>
      <c r="E1818" s="14">
        <v>923414377366</v>
      </c>
      <c r="F1818" t="s">
        <v>17</v>
      </c>
      <c r="G1818" t="s">
        <v>18</v>
      </c>
      <c r="H1818" t="s">
        <v>59</v>
      </c>
      <c r="I1818">
        <v>2</v>
      </c>
      <c r="J1818">
        <v>12040</v>
      </c>
      <c r="K1818">
        <v>24080</v>
      </c>
      <c r="L1818" t="s">
        <v>40</v>
      </c>
      <c r="M1818" t="s">
        <v>93</v>
      </c>
      <c r="N1818" t="s">
        <v>28</v>
      </c>
    </row>
    <row r="1819" spans="1:14" x14ac:dyDescent="0.25">
      <c r="A1819" t="s">
        <v>5462</v>
      </c>
      <c r="B1819" s="1">
        <v>45910</v>
      </c>
      <c r="C1819" t="s">
        <v>5463</v>
      </c>
      <c r="D1819" t="s">
        <v>5464</v>
      </c>
      <c r="E1819" s="14">
        <v>923173555370</v>
      </c>
      <c r="F1819" t="s">
        <v>67</v>
      </c>
      <c r="G1819" t="s">
        <v>18</v>
      </c>
      <c r="H1819" t="s">
        <v>50</v>
      </c>
      <c r="I1819">
        <v>4</v>
      </c>
      <c r="J1819">
        <v>9241</v>
      </c>
      <c r="K1819">
        <v>36964</v>
      </c>
      <c r="L1819" t="s">
        <v>26</v>
      </c>
      <c r="M1819" t="s">
        <v>55</v>
      </c>
      <c r="N1819" t="s">
        <v>35</v>
      </c>
    </row>
    <row r="1820" spans="1:14" x14ac:dyDescent="0.25">
      <c r="A1820" t="s">
        <v>5465</v>
      </c>
      <c r="B1820" s="1">
        <v>45739</v>
      </c>
      <c r="C1820" t="s">
        <v>5466</v>
      </c>
      <c r="D1820" t="s">
        <v>5467</v>
      </c>
      <c r="E1820" s="14">
        <v>923024181030</v>
      </c>
      <c r="F1820" t="s">
        <v>122</v>
      </c>
      <c r="G1820" t="s">
        <v>18</v>
      </c>
      <c r="H1820" t="s">
        <v>50</v>
      </c>
      <c r="I1820">
        <v>2</v>
      </c>
      <c r="J1820">
        <v>2926</v>
      </c>
      <c r="K1820">
        <v>5852</v>
      </c>
      <c r="L1820" t="s">
        <v>20</v>
      </c>
      <c r="M1820" t="s">
        <v>27</v>
      </c>
      <c r="N1820" t="s">
        <v>69</v>
      </c>
    </row>
    <row r="1821" spans="1:14" x14ac:dyDescent="0.25">
      <c r="A1821" t="s">
        <v>5468</v>
      </c>
      <c r="B1821" s="1">
        <v>45858</v>
      </c>
      <c r="C1821" t="s">
        <v>5469</v>
      </c>
      <c r="D1821" t="s">
        <v>5470</v>
      </c>
      <c r="E1821" s="14">
        <v>923466504862</v>
      </c>
      <c r="F1821" t="s">
        <v>44</v>
      </c>
      <c r="G1821" t="s">
        <v>18</v>
      </c>
      <c r="H1821" t="s">
        <v>39</v>
      </c>
      <c r="I1821">
        <v>3</v>
      </c>
      <c r="J1821">
        <v>4521</v>
      </c>
      <c r="K1821">
        <v>13563</v>
      </c>
      <c r="L1821" t="s">
        <v>63</v>
      </c>
      <c r="M1821" t="s">
        <v>34</v>
      </c>
      <c r="N1821" t="s">
        <v>69</v>
      </c>
    </row>
    <row r="1822" spans="1:14" x14ac:dyDescent="0.25">
      <c r="A1822" t="s">
        <v>5471</v>
      </c>
      <c r="B1822" s="1">
        <v>45798</v>
      </c>
      <c r="C1822" t="s">
        <v>5472</v>
      </c>
      <c r="D1822" t="s">
        <v>5473</v>
      </c>
      <c r="E1822" s="14">
        <v>923180283842</v>
      </c>
      <c r="F1822" t="s">
        <v>67</v>
      </c>
      <c r="G1822" t="s">
        <v>18</v>
      </c>
      <c r="H1822" t="s">
        <v>19</v>
      </c>
      <c r="I1822">
        <v>2</v>
      </c>
      <c r="J1822">
        <v>9791</v>
      </c>
      <c r="K1822">
        <v>19582</v>
      </c>
      <c r="L1822" t="s">
        <v>40</v>
      </c>
      <c r="M1822" t="s">
        <v>93</v>
      </c>
      <c r="N1822" t="s">
        <v>35</v>
      </c>
    </row>
    <row r="1823" spans="1:14" x14ac:dyDescent="0.25">
      <c r="A1823" t="s">
        <v>5474</v>
      </c>
      <c r="B1823" s="1">
        <v>45778</v>
      </c>
      <c r="C1823" t="s">
        <v>5475</v>
      </c>
      <c r="D1823" t="s">
        <v>5476</v>
      </c>
      <c r="E1823" s="14">
        <v>923365008958</v>
      </c>
      <c r="F1823" t="s">
        <v>54</v>
      </c>
      <c r="G1823" t="s">
        <v>18</v>
      </c>
      <c r="H1823" t="s">
        <v>59</v>
      </c>
      <c r="I1823">
        <v>4</v>
      </c>
      <c r="J1823">
        <v>14995</v>
      </c>
      <c r="K1823">
        <v>59980</v>
      </c>
      <c r="L1823" t="s">
        <v>40</v>
      </c>
      <c r="M1823" t="s">
        <v>21</v>
      </c>
      <c r="N1823" t="s">
        <v>22</v>
      </c>
    </row>
    <row r="1824" spans="1:14" x14ac:dyDescent="0.25">
      <c r="A1824" t="s">
        <v>5477</v>
      </c>
      <c r="B1824" s="1">
        <v>45795</v>
      </c>
      <c r="C1824" t="s">
        <v>5478</v>
      </c>
      <c r="D1824" t="s">
        <v>5479</v>
      </c>
      <c r="E1824" s="14">
        <v>923012789936</v>
      </c>
      <c r="F1824" t="s">
        <v>49</v>
      </c>
      <c r="G1824" t="s">
        <v>18</v>
      </c>
      <c r="H1824" t="s">
        <v>50</v>
      </c>
      <c r="I1824">
        <v>3</v>
      </c>
      <c r="J1824">
        <v>9668</v>
      </c>
      <c r="K1824">
        <v>29004</v>
      </c>
      <c r="L1824" t="s">
        <v>26</v>
      </c>
      <c r="M1824" t="s">
        <v>55</v>
      </c>
      <c r="N1824" t="s">
        <v>22</v>
      </c>
    </row>
    <row r="1825" spans="1:14" x14ac:dyDescent="0.25">
      <c r="A1825" t="s">
        <v>5480</v>
      </c>
      <c r="B1825" s="1">
        <v>45911</v>
      </c>
      <c r="C1825" t="s">
        <v>5481</v>
      </c>
      <c r="D1825" t="s">
        <v>5482</v>
      </c>
      <c r="E1825" s="14">
        <v>923196722585</v>
      </c>
      <c r="F1825" t="s">
        <v>32</v>
      </c>
      <c r="G1825" t="s">
        <v>18</v>
      </c>
      <c r="H1825" t="s">
        <v>33</v>
      </c>
      <c r="I1825">
        <v>2</v>
      </c>
      <c r="J1825">
        <v>5317</v>
      </c>
      <c r="K1825">
        <v>10634</v>
      </c>
      <c r="L1825" t="s">
        <v>26</v>
      </c>
      <c r="M1825" t="s">
        <v>27</v>
      </c>
      <c r="N1825" t="s">
        <v>28</v>
      </c>
    </row>
    <row r="1826" spans="1:14" x14ac:dyDescent="0.25">
      <c r="A1826" t="s">
        <v>5483</v>
      </c>
      <c r="B1826" s="1">
        <v>45756</v>
      </c>
      <c r="C1826" t="s">
        <v>5484</v>
      </c>
      <c r="D1826" t="s">
        <v>5485</v>
      </c>
      <c r="E1826" s="14">
        <v>923428747930</v>
      </c>
      <c r="F1826" t="s">
        <v>92</v>
      </c>
      <c r="G1826" t="s">
        <v>18</v>
      </c>
      <c r="H1826" t="s">
        <v>19</v>
      </c>
      <c r="I1826">
        <v>2</v>
      </c>
      <c r="J1826">
        <v>2710</v>
      </c>
      <c r="K1826">
        <v>5420</v>
      </c>
      <c r="L1826" t="s">
        <v>63</v>
      </c>
      <c r="M1826" t="s">
        <v>21</v>
      </c>
      <c r="N1826" t="s">
        <v>28</v>
      </c>
    </row>
    <row r="1827" spans="1:14" x14ac:dyDescent="0.25">
      <c r="A1827" t="s">
        <v>5486</v>
      </c>
      <c r="B1827" s="1">
        <v>45999</v>
      </c>
      <c r="C1827" t="s">
        <v>5487</v>
      </c>
      <c r="D1827" t="s">
        <v>5488</v>
      </c>
      <c r="E1827" s="14">
        <v>923316777950</v>
      </c>
      <c r="F1827" t="s">
        <v>77</v>
      </c>
      <c r="G1827" t="s">
        <v>18</v>
      </c>
      <c r="H1827" t="s">
        <v>73</v>
      </c>
      <c r="I1827">
        <v>2</v>
      </c>
      <c r="J1827">
        <v>11919</v>
      </c>
      <c r="K1827">
        <v>23838</v>
      </c>
      <c r="L1827" t="s">
        <v>20</v>
      </c>
      <c r="M1827" t="s">
        <v>27</v>
      </c>
      <c r="N1827" t="s">
        <v>22</v>
      </c>
    </row>
    <row r="1828" spans="1:14" x14ac:dyDescent="0.25">
      <c r="A1828" t="s">
        <v>5489</v>
      </c>
      <c r="B1828" s="1">
        <v>45913</v>
      </c>
      <c r="C1828" t="s">
        <v>5490</v>
      </c>
      <c r="D1828" t="s">
        <v>5491</v>
      </c>
      <c r="E1828" s="14">
        <v>923245069770</v>
      </c>
      <c r="F1828" t="s">
        <v>67</v>
      </c>
      <c r="G1828" t="s">
        <v>18</v>
      </c>
      <c r="H1828" t="s">
        <v>73</v>
      </c>
      <c r="I1828">
        <v>3</v>
      </c>
      <c r="J1828">
        <v>6708</v>
      </c>
      <c r="K1828">
        <v>20124</v>
      </c>
      <c r="L1828" t="s">
        <v>63</v>
      </c>
      <c r="M1828" t="s">
        <v>21</v>
      </c>
      <c r="N1828" t="s">
        <v>28</v>
      </c>
    </row>
    <row r="1829" spans="1:14" x14ac:dyDescent="0.25">
      <c r="A1829" t="s">
        <v>5492</v>
      </c>
      <c r="B1829" s="1">
        <v>45865</v>
      </c>
      <c r="C1829" t="s">
        <v>5493</v>
      </c>
      <c r="D1829" t="s">
        <v>5494</v>
      </c>
      <c r="E1829" s="14">
        <v>923458328203</v>
      </c>
      <c r="F1829" t="s">
        <v>44</v>
      </c>
      <c r="G1829" t="s">
        <v>18</v>
      </c>
      <c r="H1829" t="s">
        <v>33</v>
      </c>
      <c r="I1829">
        <v>3</v>
      </c>
      <c r="J1829">
        <v>6412</v>
      </c>
      <c r="K1829">
        <v>19236</v>
      </c>
      <c r="L1829" t="s">
        <v>68</v>
      </c>
      <c r="M1829" t="s">
        <v>82</v>
      </c>
      <c r="N1829" t="s">
        <v>69</v>
      </c>
    </row>
    <row r="1830" spans="1:14" x14ac:dyDescent="0.25">
      <c r="A1830" t="s">
        <v>5495</v>
      </c>
      <c r="B1830" s="1">
        <v>46022</v>
      </c>
      <c r="C1830" t="s">
        <v>5496</v>
      </c>
      <c r="D1830" t="s">
        <v>5497</v>
      </c>
      <c r="E1830" s="14">
        <v>923397372118</v>
      </c>
      <c r="F1830" t="s">
        <v>106</v>
      </c>
      <c r="G1830" t="s">
        <v>18</v>
      </c>
      <c r="H1830" t="s">
        <v>19</v>
      </c>
      <c r="I1830">
        <v>5</v>
      </c>
      <c r="J1830">
        <v>11829</v>
      </c>
      <c r="K1830">
        <v>59145</v>
      </c>
      <c r="L1830" t="s">
        <v>26</v>
      </c>
      <c r="M1830" t="s">
        <v>93</v>
      </c>
      <c r="N1830" t="s">
        <v>35</v>
      </c>
    </row>
    <row r="1831" spans="1:14" x14ac:dyDescent="0.25">
      <c r="A1831" t="s">
        <v>5498</v>
      </c>
      <c r="B1831" s="1">
        <v>45828</v>
      </c>
      <c r="C1831" t="s">
        <v>5499</v>
      </c>
      <c r="D1831" t="s">
        <v>5500</v>
      </c>
      <c r="E1831" s="14">
        <v>923161125528</v>
      </c>
      <c r="F1831" t="s">
        <v>54</v>
      </c>
      <c r="G1831" t="s">
        <v>18</v>
      </c>
      <c r="H1831" t="s">
        <v>39</v>
      </c>
      <c r="I1831">
        <v>3</v>
      </c>
      <c r="J1831">
        <v>1739</v>
      </c>
      <c r="K1831">
        <v>5217</v>
      </c>
      <c r="L1831" t="s">
        <v>68</v>
      </c>
      <c r="M1831" t="s">
        <v>135</v>
      </c>
      <c r="N1831" t="s">
        <v>35</v>
      </c>
    </row>
    <row r="1832" spans="1:14" x14ac:dyDescent="0.25">
      <c r="A1832" t="s">
        <v>5501</v>
      </c>
      <c r="B1832" s="1">
        <v>46048</v>
      </c>
      <c r="C1832" t="s">
        <v>5502</v>
      </c>
      <c r="D1832" t="s">
        <v>5503</v>
      </c>
      <c r="E1832" s="14">
        <v>923277796348</v>
      </c>
      <c r="F1832" t="s">
        <v>54</v>
      </c>
      <c r="G1832" t="s">
        <v>18</v>
      </c>
      <c r="H1832" t="s">
        <v>59</v>
      </c>
      <c r="I1832">
        <v>3</v>
      </c>
      <c r="J1832">
        <v>12269</v>
      </c>
      <c r="K1832">
        <v>36807</v>
      </c>
      <c r="L1832" t="s">
        <v>26</v>
      </c>
      <c r="M1832" t="s">
        <v>27</v>
      </c>
      <c r="N1832" t="s">
        <v>22</v>
      </c>
    </row>
    <row r="1833" spans="1:14" x14ac:dyDescent="0.25">
      <c r="A1833" t="s">
        <v>5504</v>
      </c>
      <c r="B1833" s="1">
        <v>46035</v>
      </c>
      <c r="C1833" t="s">
        <v>5505</v>
      </c>
      <c r="D1833" t="s">
        <v>5506</v>
      </c>
      <c r="E1833" s="14">
        <v>923182870034</v>
      </c>
      <c r="F1833" t="s">
        <v>17</v>
      </c>
      <c r="G1833" t="s">
        <v>18</v>
      </c>
      <c r="H1833" t="s">
        <v>39</v>
      </c>
      <c r="I1833">
        <v>2</v>
      </c>
      <c r="J1833">
        <v>13723</v>
      </c>
      <c r="K1833">
        <v>27446</v>
      </c>
      <c r="L1833" t="s">
        <v>40</v>
      </c>
      <c r="M1833" t="s">
        <v>45</v>
      </c>
      <c r="N1833" t="s">
        <v>22</v>
      </c>
    </row>
    <row r="1834" spans="1:14" x14ac:dyDescent="0.25">
      <c r="A1834" t="s">
        <v>5507</v>
      </c>
      <c r="B1834" s="1">
        <v>45836</v>
      </c>
      <c r="C1834" t="s">
        <v>5508</v>
      </c>
      <c r="D1834" t="s">
        <v>5509</v>
      </c>
      <c r="E1834" s="14">
        <v>923326384698</v>
      </c>
      <c r="F1834" t="s">
        <v>122</v>
      </c>
      <c r="G1834" t="s">
        <v>18</v>
      </c>
      <c r="H1834" t="s">
        <v>73</v>
      </c>
      <c r="I1834">
        <v>5</v>
      </c>
      <c r="J1834">
        <v>1011</v>
      </c>
      <c r="K1834">
        <v>5055</v>
      </c>
      <c r="L1834" t="s">
        <v>68</v>
      </c>
      <c r="M1834" t="s">
        <v>135</v>
      </c>
      <c r="N1834" t="s">
        <v>35</v>
      </c>
    </row>
    <row r="1835" spans="1:14" x14ac:dyDescent="0.25">
      <c r="A1835" t="s">
        <v>5510</v>
      </c>
      <c r="B1835" s="1">
        <v>45711</v>
      </c>
      <c r="C1835" t="s">
        <v>5511</v>
      </c>
      <c r="D1835" t="s">
        <v>5512</v>
      </c>
      <c r="E1835" s="14">
        <v>923166891218</v>
      </c>
      <c r="F1835" t="s">
        <v>54</v>
      </c>
      <c r="G1835" t="s">
        <v>18</v>
      </c>
      <c r="H1835" t="s">
        <v>39</v>
      </c>
      <c r="I1835">
        <v>1</v>
      </c>
      <c r="J1835">
        <v>8546</v>
      </c>
      <c r="K1835">
        <v>8546</v>
      </c>
      <c r="L1835" t="s">
        <v>63</v>
      </c>
      <c r="M1835" t="s">
        <v>45</v>
      </c>
      <c r="N1835" t="s">
        <v>69</v>
      </c>
    </row>
    <row r="1836" spans="1:14" x14ac:dyDescent="0.25">
      <c r="A1836" t="s">
        <v>5513</v>
      </c>
      <c r="B1836" s="1">
        <v>45792</v>
      </c>
      <c r="C1836" t="s">
        <v>5514</v>
      </c>
      <c r="D1836" t="s">
        <v>5515</v>
      </c>
      <c r="E1836" s="14">
        <v>923314242937</v>
      </c>
      <c r="F1836" t="s">
        <v>54</v>
      </c>
      <c r="G1836" t="s">
        <v>18</v>
      </c>
      <c r="H1836" t="s">
        <v>50</v>
      </c>
      <c r="I1836">
        <v>4</v>
      </c>
      <c r="J1836">
        <v>2325</v>
      </c>
      <c r="K1836">
        <v>9300</v>
      </c>
      <c r="L1836" t="s">
        <v>26</v>
      </c>
      <c r="M1836" t="s">
        <v>55</v>
      </c>
      <c r="N1836" t="s">
        <v>35</v>
      </c>
    </row>
    <row r="1837" spans="1:14" x14ac:dyDescent="0.25">
      <c r="A1837" t="s">
        <v>5516</v>
      </c>
      <c r="B1837" s="1">
        <v>45959</v>
      </c>
      <c r="C1837" t="s">
        <v>5517</v>
      </c>
      <c r="D1837" t="s">
        <v>5518</v>
      </c>
      <c r="E1837" s="14">
        <v>923392132480</v>
      </c>
      <c r="F1837" t="s">
        <v>92</v>
      </c>
      <c r="G1837" t="s">
        <v>18</v>
      </c>
      <c r="H1837" t="s">
        <v>19</v>
      </c>
      <c r="I1837">
        <v>4</v>
      </c>
      <c r="J1837">
        <v>9995</v>
      </c>
      <c r="K1837">
        <v>39980</v>
      </c>
      <c r="L1837" t="s">
        <v>68</v>
      </c>
      <c r="M1837" t="s">
        <v>21</v>
      </c>
      <c r="N1837" t="s">
        <v>35</v>
      </c>
    </row>
    <row r="1838" spans="1:14" x14ac:dyDescent="0.25">
      <c r="A1838" t="s">
        <v>5519</v>
      </c>
      <c r="B1838" s="1">
        <v>45752</v>
      </c>
      <c r="C1838" t="s">
        <v>5520</v>
      </c>
      <c r="D1838" t="s">
        <v>5521</v>
      </c>
      <c r="E1838" s="14">
        <v>923125821786</v>
      </c>
      <c r="F1838" t="s">
        <v>122</v>
      </c>
      <c r="G1838" t="s">
        <v>18</v>
      </c>
      <c r="H1838" t="s">
        <v>19</v>
      </c>
      <c r="I1838">
        <v>2</v>
      </c>
      <c r="J1838">
        <v>6872</v>
      </c>
      <c r="K1838">
        <v>13744</v>
      </c>
      <c r="L1838" t="s">
        <v>26</v>
      </c>
      <c r="M1838" t="s">
        <v>135</v>
      </c>
      <c r="N1838" t="s">
        <v>28</v>
      </c>
    </row>
    <row r="1839" spans="1:14" x14ac:dyDescent="0.25">
      <c r="A1839" t="s">
        <v>5522</v>
      </c>
      <c r="B1839" s="1">
        <v>45743</v>
      </c>
      <c r="C1839" t="s">
        <v>5523</v>
      </c>
      <c r="D1839" t="s">
        <v>5524</v>
      </c>
      <c r="E1839" s="14">
        <v>923126131777</v>
      </c>
      <c r="F1839" t="s">
        <v>122</v>
      </c>
      <c r="G1839" t="s">
        <v>18</v>
      </c>
      <c r="H1839" t="s">
        <v>73</v>
      </c>
      <c r="I1839">
        <v>1</v>
      </c>
      <c r="J1839">
        <v>13790</v>
      </c>
      <c r="K1839">
        <v>13790</v>
      </c>
      <c r="L1839" t="s">
        <v>78</v>
      </c>
      <c r="M1839" t="s">
        <v>93</v>
      </c>
      <c r="N1839" t="s">
        <v>28</v>
      </c>
    </row>
    <row r="1840" spans="1:14" x14ac:dyDescent="0.25">
      <c r="A1840" t="s">
        <v>5525</v>
      </c>
      <c r="B1840" s="1">
        <v>45937</v>
      </c>
      <c r="C1840" t="s">
        <v>5526</v>
      </c>
      <c r="D1840" t="s">
        <v>5527</v>
      </c>
      <c r="E1840" s="14">
        <v>923303903057</v>
      </c>
      <c r="F1840" t="s">
        <v>106</v>
      </c>
      <c r="G1840" t="s">
        <v>18</v>
      </c>
      <c r="H1840" t="s">
        <v>19</v>
      </c>
      <c r="I1840">
        <v>5</v>
      </c>
      <c r="J1840">
        <v>7986</v>
      </c>
      <c r="K1840">
        <v>39930</v>
      </c>
      <c r="L1840" t="s">
        <v>26</v>
      </c>
      <c r="M1840" t="s">
        <v>21</v>
      </c>
      <c r="N1840" t="s">
        <v>35</v>
      </c>
    </row>
    <row r="1841" spans="1:14" x14ac:dyDescent="0.25">
      <c r="A1841" t="s">
        <v>5528</v>
      </c>
      <c r="B1841" s="1">
        <v>46055</v>
      </c>
      <c r="C1841" t="s">
        <v>5529</v>
      </c>
      <c r="D1841" t="s">
        <v>5530</v>
      </c>
      <c r="E1841" s="14">
        <v>923112401647</v>
      </c>
      <c r="F1841" t="s">
        <v>54</v>
      </c>
      <c r="G1841" t="s">
        <v>18</v>
      </c>
      <c r="H1841" t="s">
        <v>50</v>
      </c>
      <c r="I1841">
        <v>1</v>
      </c>
      <c r="J1841">
        <v>4841</v>
      </c>
      <c r="K1841">
        <v>4841</v>
      </c>
      <c r="L1841" t="s">
        <v>20</v>
      </c>
      <c r="M1841" t="s">
        <v>82</v>
      </c>
      <c r="N1841" t="s">
        <v>69</v>
      </c>
    </row>
    <row r="1842" spans="1:14" x14ac:dyDescent="0.25">
      <c r="A1842" t="s">
        <v>5531</v>
      </c>
      <c r="B1842" s="1">
        <v>46064</v>
      </c>
      <c r="C1842" t="s">
        <v>5532</v>
      </c>
      <c r="D1842" t="s">
        <v>5533</v>
      </c>
      <c r="E1842" s="14">
        <v>923060476706</v>
      </c>
      <c r="F1842" t="s">
        <v>67</v>
      </c>
      <c r="G1842" t="s">
        <v>18</v>
      </c>
      <c r="H1842" t="s">
        <v>50</v>
      </c>
      <c r="I1842">
        <v>2</v>
      </c>
      <c r="J1842">
        <v>1753</v>
      </c>
      <c r="K1842">
        <v>3506</v>
      </c>
      <c r="L1842" t="s">
        <v>68</v>
      </c>
      <c r="M1842" t="s">
        <v>45</v>
      </c>
      <c r="N1842" t="s">
        <v>69</v>
      </c>
    </row>
    <row r="1843" spans="1:14" x14ac:dyDescent="0.25">
      <c r="A1843" t="s">
        <v>5534</v>
      </c>
      <c r="B1843" s="1">
        <v>45713</v>
      </c>
      <c r="C1843" t="s">
        <v>5535</v>
      </c>
      <c r="D1843" t="s">
        <v>5536</v>
      </c>
      <c r="E1843" s="14">
        <v>923066908045</v>
      </c>
      <c r="F1843" t="s">
        <v>122</v>
      </c>
      <c r="G1843" t="s">
        <v>18</v>
      </c>
      <c r="H1843" t="s">
        <v>73</v>
      </c>
      <c r="I1843">
        <v>5</v>
      </c>
      <c r="J1843">
        <v>12675</v>
      </c>
      <c r="K1843">
        <v>63375</v>
      </c>
      <c r="L1843" t="s">
        <v>78</v>
      </c>
      <c r="M1843" t="s">
        <v>82</v>
      </c>
      <c r="N1843" t="s">
        <v>35</v>
      </c>
    </row>
    <row r="1844" spans="1:14" x14ac:dyDescent="0.25">
      <c r="A1844" t="s">
        <v>5537</v>
      </c>
      <c r="B1844" s="1">
        <v>45850</v>
      </c>
      <c r="C1844" t="s">
        <v>5538</v>
      </c>
      <c r="D1844" t="s">
        <v>5539</v>
      </c>
      <c r="E1844" s="14">
        <v>923084391106</v>
      </c>
      <c r="F1844" t="s">
        <v>44</v>
      </c>
      <c r="G1844" t="s">
        <v>18</v>
      </c>
      <c r="H1844" t="s">
        <v>59</v>
      </c>
      <c r="I1844">
        <v>3</v>
      </c>
      <c r="J1844">
        <v>7808</v>
      </c>
      <c r="K1844">
        <v>23424</v>
      </c>
      <c r="L1844" t="s">
        <v>40</v>
      </c>
      <c r="M1844" t="s">
        <v>45</v>
      </c>
      <c r="N1844" t="s">
        <v>35</v>
      </c>
    </row>
    <row r="1845" spans="1:14" x14ac:dyDescent="0.25">
      <c r="A1845" t="s">
        <v>5540</v>
      </c>
      <c r="B1845" s="1">
        <v>45873</v>
      </c>
      <c r="C1845" t="s">
        <v>5541</v>
      </c>
      <c r="D1845" t="s">
        <v>5542</v>
      </c>
      <c r="E1845" s="14">
        <v>923234514743</v>
      </c>
      <c r="F1845" t="s">
        <v>49</v>
      </c>
      <c r="G1845" t="s">
        <v>18</v>
      </c>
      <c r="H1845" t="s">
        <v>19</v>
      </c>
      <c r="I1845">
        <v>2</v>
      </c>
      <c r="J1845">
        <v>4573</v>
      </c>
      <c r="K1845">
        <v>9146</v>
      </c>
      <c r="L1845" t="s">
        <v>40</v>
      </c>
      <c r="M1845" t="s">
        <v>34</v>
      </c>
      <c r="N1845" t="s">
        <v>22</v>
      </c>
    </row>
    <row r="1846" spans="1:14" x14ac:dyDescent="0.25">
      <c r="A1846" t="s">
        <v>5543</v>
      </c>
      <c r="B1846" s="1">
        <v>45782</v>
      </c>
      <c r="C1846" t="s">
        <v>5544</v>
      </c>
      <c r="D1846" t="s">
        <v>5545</v>
      </c>
      <c r="E1846" s="14">
        <v>923215727798</v>
      </c>
      <c r="F1846" t="s">
        <v>54</v>
      </c>
      <c r="G1846" t="s">
        <v>18</v>
      </c>
      <c r="H1846" t="s">
        <v>19</v>
      </c>
      <c r="I1846">
        <v>3</v>
      </c>
      <c r="J1846">
        <v>13495</v>
      </c>
      <c r="K1846">
        <v>40485</v>
      </c>
      <c r="L1846" t="s">
        <v>68</v>
      </c>
      <c r="M1846" t="s">
        <v>135</v>
      </c>
      <c r="N1846" t="s">
        <v>22</v>
      </c>
    </row>
    <row r="1847" spans="1:14" x14ac:dyDescent="0.25">
      <c r="A1847" t="s">
        <v>5546</v>
      </c>
      <c r="B1847" s="1">
        <v>46070</v>
      </c>
      <c r="C1847" t="s">
        <v>5547</v>
      </c>
      <c r="D1847" t="s">
        <v>5548</v>
      </c>
      <c r="E1847" s="14">
        <v>923451284819</v>
      </c>
      <c r="F1847" t="s">
        <v>54</v>
      </c>
      <c r="G1847" t="s">
        <v>18</v>
      </c>
      <c r="H1847" t="s">
        <v>33</v>
      </c>
      <c r="I1847">
        <v>5</v>
      </c>
      <c r="J1847">
        <v>14337</v>
      </c>
      <c r="K1847">
        <v>71685</v>
      </c>
      <c r="L1847" t="s">
        <v>68</v>
      </c>
      <c r="M1847" t="s">
        <v>45</v>
      </c>
      <c r="N1847" t="s">
        <v>69</v>
      </c>
    </row>
    <row r="1848" spans="1:14" x14ac:dyDescent="0.25">
      <c r="A1848" t="s">
        <v>5549</v>
      </c>
      <c r="B1848" s="1">
        <v>45780</v>
      </c>
      <c r="C1848" t="s">
        <v>5550</v>
      </c>
      <c r="D1848" t="s">
        <v>5551</v>
      </c>
      <c r="E1848" s="14">
        <v>923042837110</v>
      </c>
      <c r="F1848" t="s">
        <v>49</v>
      </c>
      <c r="G1848" t="s">
        <v>18</v>
      </c>
      <c r="H1848" t="s">
        <v>50</v>
      </c>
      <c r="I1848">
        <v>2</v>
      </c>
      <c r="J1848">
        <v>13027</v>
      </c>
      <c r="K1848">
        <v>26054</v>
      </c>
      <c r="L1848" t="s">
        <v>68</v>
      </c>
      <c r="M1848" t="s">
        <v>45</v>
      </c>
      <c r="N1848" t="s">
        <v>35</v>
      </c>
    </row>
    <row r="1849" spans="1:14" x14ac:dyDescent="0.25">
      <c r="A1849" t="s">
        <v>5552</v>
      </c>
      <c r="B1849" s="1">
        <v>45981</v>
      </c>
      <c r="C1849" t="s">
        <v>5553</v>
      </c>
      <c r="D1849" t="s">
        <v>5554</v>
      </c>
      <c r="E1849" s="14">
        <v>923033512318</v>
      </c>
      <c r="F1849" t="s">
        <v>44</v>
      </c>
      <c r="G1849" t="s">
        <v>18</v>
      </c>
      <c r="H1849" t="s">
        <v>50</v>
      </c>
      <c r="I1849">
        <v>5</v>
      </c>
      <c r="J1849">
        <v>13097</v>
      </c>
      <c r="K1849">
        <v>65485</v>
      </c>
      <c r="L1849" t="s">
        <v>26</v>
      </c>
      <c r="M1849" t="s">
        <v>45</v>
      </c>
      <c r="N1849" t="s">
        <v>22</v>
      </c>
    </row>
    <row r="1850" spans="1:14" x14ac:dyDescent="0.25">
      <c r="A1850" t="s">
        <v>5555</v>
      </c>
      <c r="B1850" s="1">
        <v>45887</v>
      </c>
      <c r="C1850" t="s">
        <v>5556</v>
      </c>
      <c r="D1850" t="s">
        <v>5557</v>
      </c>
      <c r="E1850" s="14">
        <v>923373478597</v>
      </c>
      <c r="F1850" t="s">
        <v>106</v>
      </c>
      <c r="G1850" t="s">
        <v>18</v>
      </c>
      <c r="H1850" t="s">
        <v>50</v>
      </c>
      <c r="I1850">
        <v>3</v>
      </c>
      <c r="J1850">
        <v>1247</v>
      </c>
      <c r="K1850">
        <v>3741</v>
      </c>
      <c r="L1850" t="s">
        <v>40</v>
      </c>
      <c r="M1850" t="s">
        <v>93</v>
      </c>
      <c r="N1850" t="s">
        <v>22</v>
      </c>
    </row>
    <row r="1851" spans="1:14" x14ac:dyDescent="0.25">
      <c r="A1851" t="s">
        <v>5558</v>
      </c>
      <c r="B1851" s="1">
        <v>45777</v>
      </c>
      <c r="C1851" t="s">
        <v>5559</v>
      </c>
      <c r="D1851" t="s">
        <v>5560</v>
      </c>
      <c r="E1851" s="14">
        <v>923313603384</v>
      </c>
      <c r="F1851" t="s">
        <v>106</v>
      </c>
      <c r="G1851" t="s">
        <v>18</v>
      </c>
      <c r="H1851" t="s">
        <v>19</v>
      </c>
      <c r="I1851">
        <v>4</v>
      </c>
      <c r="J1851">
        <v>3288</v>
      </c>
      <c r="K1851">
        <v>13152</v>
      </c>
      <c r="L1851" t="s">
        <v>26</v>
      </c>
      <c r="M1851" t="s">
        <v>45</v>
      </c>
      <c r="N1851" t="s">
        <v>28</v>
      </c>
    </row>
    <row r="1852" spans="1:14" x14ac:dyDescent="0.25">
      <c r="A1852" t="s">
        <v>5561</v>
      </c>
      <c r="B1852" s="1">
        <v>45999</v>
      </c>
      <c r="C1852" t="s">
        <v>5562</v>
      </c>
      <c r="D1852" t="s">
        <v>5563</v>
      </c>
      <c r="E1852" s="14">
        <v>923383317255</v>
      </c>
      <c r="F1852" t="s">
        <v>49</v>
      </c>
      <c r="G1852" t="s">
        <v>18</v>
      </c>
      <c r="H1852" t="s">
        <v>59</v>
      </c>
      <c r="I1852">
        <v>4</v>
      </c>
      <c r="J1852">
        <v>8807</v>
      </c>
      <c r="K1852">
        <v>35228</v>
      </c>
      <c r="L1852" t="s">
        <v>40</v>
      </c>
      <c r="M1852" t="s">
        <v>93</v>
      </c>
      <c r="N1852" t="s">
        <v>35</v>
      </c>
    </row>
    <row r="1853" spans="1:14" x14ac:dyDescent="0.25">
      <c r="A1853" t="s">
        <v>5564</v>
      </c>
      <c r="B1853" s="1">
        <v>45831</v>
      </c>
      <c r="C1853" t="s">
        <v>5565</v>
      </c>
      <c r="D1853" t="s">
        <v>5566</v>
      </c>
      <c r="E1853" s="14">
        <v>923270774711</v>
      </c>
      <c r="F1853" t="s">
        <v>32</v>
      </c>
      <c r="G1853" t="s">
        <v>18</v>
      </c>
      <c r="H1853" t="s">
        <v>59</v>
      </c>
      <c r="I1853">
        <v>2</v>
      </c>
      <c r="J1853">
        <v>9453</v>
      </c>
      <c r="K1853">
        <v>18906</v>
      </c>
      <c r="L1853" t="s">
        <v>26</v>
      </c>
      <c r="M1853" t="s">
        <v>82</v>
      </c>
      <c r="N1853" t="s">
        <v>22</v>
      </c>
    </row>
    <row r="1854" spans="1:14" x14ac:dyDescent="0.25">
      <c r="A1854" t="s">
        <v>5567</v>
      </c>
      <c r="B1854" s="1">
        <v>45876</v>
      </c>
      <c r="C1854" t="s">
        <v>5568</v>
      </c>
      <c r="D1854" t="s">
        <v>5569</v>
      </c>
      <c r="E1854" s="14">
        <v>923124645783</v>
      </c>
      <c r="F1854" t="s">
        <v>54</v>
      </c>
      <c r="G1854" t="s">
        <v>18</v>
      </c>
      <c r="H1854" t="s">
        <v>73</v>
      </c>
      <c r="I1854">
        <v>2</v>
      </c>
      <c r="J1854">
        <v>13714</v>
      </c>
      <c r="K1854">
        <v>27428</v>
      </c>
      <c r="L1854" t="s">
        <v>68</v>
      </c>
      <c r="M1854" t="s">
        <v>21</v>
      </c>
      <c r="N1854" t="s">
        <v>28</v>
      </c>
    </row>
    <row r="1855" spans="1:14" x14ac:dyDescent="0.25">
      <c r="A1855" t="s">
        <v>5570</v>
      </c>
      <c r="B1855" s="1">
        <v>45885</v>
      </c>
      <c r="C1855" t="s">
        <v>5571</v>
      </c>
      <c r="D1855" t="s">
        <v>5572</v>
      </c>
      <c r="E1855" s="14">
        <v>923226298043</v>
      </c>
      <c r="F1855" t="s">
        <v>44</v>
      </c>
      <c r="G1855" t="s">
        <v>18</v>
      </c>
      <c r="H1855" t="s">
        <v>39</v>
      </c>
      <c r="I1855">
        <v>2</v>
      </c>
      <c r="J1855">
        <v>13087</v>
      </c>
      <c r="K1855">
        <v>26174</v>
      </c>
      <c r="L1855" t="s">
        <v>68</v>
      </c>
      <c r="M1855" t="s">
        <v>27</v>
      </c>
      <c r="N1855" t="s">
        <v>28</v>
      </c>
    </row>
    <row r="1856" spans="1:14" x14ac:dyDescent="0.25">
      <c r="A1856" t="s">
        <v>5573</v>
      </c>
      <c r="B1856" s="1">
        <v>46017</v>
      </c>
      <c r="C1856" t="s">
        <v>5574</v>
      </c>
      <c r="D1856" t="s">
        <v>5575</v>
      </c>
      <c r="E1856" s="14">
        <v>923099063628</v>
      </c>
      <c r="F1856" t="s">
        <v>44</v>
      </c>
      <c r="G1856" t="s">
        <v>18</v>
      </c>
      <c r="H1856" t="s">
        <v>19</v>
      </c>
      <c r="I1856">
        <v>2</v>
      </c>
      <c r="J1856">
        <v>14211</v>
      </c>
      <c r="K1856">
        <v>28422</v>
      </c>
      <c r="L1856" t="s">
        <v>78</v>
      </c>
      <c r="M1856" t="s">
        <v>55</v>
      </c>
      <c r="N1856" t="s">
        <v>69</v>
      </c>
    </row>
    <row r="1857" spans="1:14" x14ac:dyDescent="0.25">
      <c r="A1857" t="s">
        <v>5576</v>
      </c>
      <c r="B1857" s="1">
        <v>45980</v>
      </c>
      <c r="C1857" t="s">
        <v>5577</v>
      </c>
      <c r="D1857" t="s">
        <v>5578</v>
      </c>
      <c r="E1857" s="14">
        <v>923281923714</v>
      </c>
      <c r="F1857" t="s">
        <v>54</v>
      </c>
      <c r="G1857" t="s">
        <v>18</v>
      </c>
      <c r="H1857" t="s">
        <v>33</v>
      </c>
      <c r="I1857">
        <v>4</v>
      </c>
      <c r="J1857">
        <v>11705</v>
      </c>
      <c r="K1857">
        <v>46820</v>
      </c>
      <c r="L1857" t="s">
        <v>20</v>
      </c>
      <c r="M1857" t="s">
        <v>45</v>
      </c>
      <c r="N1857" t="s">
        <v>35</v>
      </c>
    </row>
    <row r="1858" spans="1:14" x14ac:dyDescent="0.25">
      <c r="A1858" t="s">
        <v>5579</v>
      </c>
      <c r="B1858" s="1">
        <v>45904</v>
      </c>
      <c r="C1858" t="s">
        <v>5580</v>
      </c>
      <c r="D1858" t="s">
        <v>5581</v>
      </c>
      <c r="E1858" s="14">
        <v>923403389913</v>
      </c>
      <c r="F1858" t="s">
        <v>77</v>
      </c>
      <c r="G1858" t="s">
        <v>18</v>
      </c>
      <c r="H1858" t="s">
        <v>73</v>
      </c>
      <c r="I1858">
        <v>2</v>
      </c>
      <c r="J1858">
        <v>5959</v>
      </c>
      <c r="K1858">
        <v>11918</v>
      </c>
      <c r="L1858" t="s">
        <v>40</v>
      </c>
      <c r="M1858" t="s">
        <v>82</v>
      </c>
      <c r="N1858" t="s">
        <v>69</v>
      </c>
    </row>
    <row r="1859" spans="1:14" x14ac:dyDescent="0.25">
      <c r="A1859" t="s">
        <v>5582</v>
      </c>
      <c r="B1859" s="1">
        <v>45975</v>
      </c>
      <c r="C1859" t="s">
        <v>5583</v>
      </c>
      <c r="D1859" t="s">
        <v>5584</v>
      </c>
      <c r="E1859" s="14">
        <v>923144249481</v>
      </c>
      <c r="F1859" t="s">
        <v>67</v>
      </c>
      <c r="G1859" t="s">
        <v>18</v>
      </c>
      <c r="H1859" t="s">
        <v>50</v>
      </c>
      <c r="I1859">
        <v>1</v>
      </c>
      <c r="J1859">
        <v>4605</v>
      </c>
      <c r="K1859">
        <v>4605</v>
      </c>
      <c r="L1859" t="s">
        <v>40</v>
      </c>
      <c r="M1859" t="s">
        <v>55</v>
      </c>
      <c r="N1859" t="s">
        <v>69</v>
      </c>
    </row>
    <row r="1860" spans="1:14" x14ac:dyDescent="0.25">
      <c r="A1860" t="s">
        <v>5585</v>
      </c>
      <c r="B1860" s="1">
        <v>45923</v>
      </c>
      <c r="C1860" t="s">
        <v>5586</v>
      </c>
      <c r="D1860" t="s">
        <v>5587</v>
      </c>
      <c r="E1860" s="14">
        <v>923030917955</v>
      </c>
      <c r="F1860" t="s">
        <v>77</v>
      </c>
      <c r="G1860" t="s">
        <v>18</v>
      </c>
      <c r="H1860" t="s">
        <v>19</v>
      </c>
      <c r="I1860">
        <v>1</v>
      </c>
      <c r="J1860">
        <v>14575</v>
      </c>
      <c r="K1860">
        <v>14575</v>
      </c>
      <c r="L1860" t="s">
        <v>20</v>
      </c>
      <c r="M1860" t="s">
        <v>21</v>
      </c>
      <c r="N1860" t="s">
        <v>28</v>
      </c>
    </row>
    <row r="1861" spans="1:14" x14ac:dyDescent="0.25">
      <c r="A1861" t="s">
        <v>5588</v>
      </c>
      <c r="B1861" s="1">
        <v>45766</v>
      </c>
      <c r="C1861" t="s">
        <v>2827</v>
      </c>
      <c r="D1861" t="s">
        <v>5589</v>
      </c>
      <c r="E1861" s="14">
        <v>923231533350</v>
      </c>
      <c r="F1861" t="s">
        <v>67</v>
      </c>
      <c r="G1861" t="s">
        <v>18</v>
      </c>
      <c r="H1861" t="s">
        <v>19</v>
      </c>
      <c r="I1861">
        <v>5</v>
      </c>
      <c r="J1861">
        <v>2431</v>
      </c>
      <c r="K1861">
        <v>12155</v>
      </c>
      <c r="L1861" t="s">
        <v>68</v>
      </c>
      <c r="M1861" t="s">
        <v>34</v>
      </c>
      <c r="N1861" t="s">
        <v>69</v>
      </c>
    </row>
    <row r="1862" spans="1:14" x14ac:dyDescent="0.25">
      <c r="A1862" t="s">
        <v>5590</v>
      </c>
      <c r="B1862" s="1">
        <v>45842</v>
      </c>
      <c r="C1862" t="s">
        <v>5591</v>
      </c>
      <c r="D1862" t="s">
        <v>5592</v>
      </c>
      <c r="E1862" s="14">
        <v>923311231166</v>
      </c>
      <c r="F1862" t="s">
        <v>92</v>
      </c>
      <c r="G1862" t="s">
        <v>18</v>
      </c>
      <c r="H1862" t="s">
        <v>39</v>
      </c>
      <c r="I1862">
        <v>5</v>
      </c>
      <c r="J1862">
        <v>1716</v>
      </c>
      <c r="K1862">
        <v>8580</v>
      </c>
      <c r="L1862" t="s">
        <v>20</v>
      </c>
      <c r="M1862" t="s">
        <v>27</v>
      </c>
      <c r="N1862" t="s">
        <v>69</v>
      </c>
    </row>
    <row r="1863" spans="1:14" x14ac:dyDescent="0.25">
      <c r="A1863" t="s">
        <v>5593</v>
      </c>
      <c r="B1863" s="1">
        <v>45717</v>
      </c>
      <c r="C1863" t="s">
        <v>5594</v>
      </c>
      <c r="D1863" t="s">
        <v>5595</v>
      </c>
      <c r="E1863" s="14">
        <v>923492707217</v>
      </c>
      <c r="F1863" t="s">
        <v>44</v>
      </c>
      <c r="G1863" t="s">
        <v>18</v>
      </c>
      <c r="H1863" t="s">
        <v>59</v>
      </c>
      <c r="I1863">
        <v>3</v>
      </c>
      <c r="J1863">
        <v>12035</v>
      </c>
      <c r="K1863">
        <v>36105</v>
      </c>
      <c r="L1863" t="s">
        <v>63</v>
      </c>
      <c r="M1863" t="s">
        <v>135</v>
      </c>
      <c r="N1863" t="s">
        <v>69</v>
      </c>
    </row>
    <row r="1864" spans="1:14" x14ac:dyDescent="0.25">
      <c r="A1864" t="s">
        <v>5596</v>
      </c>
      <c r="B1864" s="1">
        <v>45827</v>
      </c>
      <c r="C1864" t="s">
        <v>5597</v>
      </c>
      <c r="D1864" t="s">
        <v>5598</v>
      </c>
      <c r="E1864" s="14">
        <v>923403280603</v>
      </c>
      <c r="F1864" t="s">
        <v>17</v>
      </c>
      <c r="G1864" t="s">
        <v>18</v>
      </c>
      <c r="H1864" t="s">
        <v>59</v>
      </c>
      <c r="I1864">
        <v>2</v>
      </c>
      <c r="J1864">
        <v>5479</v>
      </c>
      <c r="K1864">
        <v>10958</v>
      </c>
      <c r="L1864" t="s">
        <v>40</v>
      </c>
      <c r="M1864" t="s">
        <v>27</v>
      </c>
      <c r="N1864" t="s">
        <v>22</v>
      </c>
    </row>
    <row r="1865" spans="1:14" x14ac:dyDescent="0.25">
      <c r="A1865" t="s">
        <v>5599</v>
      </c>
      <c r="B1865" s="1">
        <v>45873</v>
      </c>
      <c r="C1865" t="s">
        <v>5600</v>
      </c>
      <c r="D1865" t="s">
        <v>5601</v>
      </c>
      <c r="E1865" s="14">
        <v>923265421139</v>
      </c>
      <c r="F1865" t="s">
        <v>32</v>
      </c>
      <c r="G1865" t="s">
        <v>18</v>
      </c>
      <c r="H1865" t="s">
        <v>33</v>
      </c>
      <c r="I1865">
        <v>1</v>
      </c>
      <c r="J1865">
        <v>13683</v>
      </c>
      <c r="K1865">
        <v>13683</v>
      </c>
      <c r="L1865" t="s">
        <v>40</v>
      </c>
      <c r="M1865" t="s">
        <v>93</v>
      </c>
      <c r="N1865" t="s">
        <v>22</v>
      </c>
    </row>
    <row r="1866" spans="1:14" x14ac:dyDescent="0.25">
      <c r="A1866" t="s">
        <v>5602</v>
      </c>
      <c r="B1866" s="1">
        <v>45861</v>
      </c>
      <c r="C1866" t="s">
        <v>5603</v>
      </c>
      <c r="D1866" t="s">
        <v>5604</v>
      </c>
      <c r="E1866" s="14">
        <v>923413580742</v>
      </c>
      <c r="F1866" t="s">
        <v>44</v>
      </c>
      <c r="G1866" t="s">
        <v>18</v>
      </c>
      <c r="H1866" t="s">
        <v>33</v>
      </c>
      <c r="I1866">
        <v>2</v>
      </c>
      <c r="J1866">
        <v>2830</v>
      </c>
      <c r="K1866">
        <v>5660</v>
      </c>
      <c r="L1866" t="s">
        <v>20</v>
      </c>
      <c r="M1866" t="s">
        <v>93</v>
      </c>
      <c r="N1866" t="s">
        <v>35</v>
      </c>
    </row>
    <row r="1867" spans="1:14" x14ac:dyDescent="0.25">
      <c r="A1867" t="s">
        <v>5605</v>
      </c>
      <c r="B1867" s="1">
        <v>45956</v>
      </c>
      <c r="C1867" t="s">
        <v>5606</v>
      </c>
      <c r="D1867" t="s">
        <v>5607</v>
      </c>
      <c r="E1867" s="14">
        <v>923477510639</v>
      </c>
      <c r="F1867" t="s">
        <v>122</v>
      </c>
      <c r="G1867" t="s">
        <v>18</v>
      </c>
      <c r="H1867" t="s">
        <v>39</v>
      </c>
      <c r="I1867">
        <v>2</v>
      </c>
      <c r="J1867">
        <v>4998</v>
      </c>
      <c r="K1867">
        <v>9996</v>
      </c>
      <c r="L1867" t="s">
        <v>26</v>
      </c>
      <c r="M1867" t="s">
        <v>27</v>
      </c>
      <c r="N1867" t="s">
        <v>69</v>
      </c>
    </row>
    <row r="1868" spans="1:14" x14ac:dyDescent="0.25">
      <c r="A1868" t="s">
        <v>5608</v>
      </c>
      <c r="B1868" s="1">
        <v>46030</v>
      </c>
      <c r="C1868" t="s">
        <v>5609</v>
      </c>
      <c r="D1868" t="s">
        <v>5610</v>
      </c>
      <c r="E1868" s="14">
        <v>923171973037</v>
      </c>
      <c r="F1868" t="s">
        <v>106</v>
      </c>
      <c r="G1868" t="s">
        <v>18</v>
      </c>
      <c r="H1868" t="s">
        <v>73</v>
      </c>
      <c r="I1868">
        <v>2</v>
      </c>
      <c r="J1868">
        <v>10032</v>
      </c>
      <c r="K1868">
        <v>20064</v>
      </c>
      <c r="L1868" t="s">
        <v>68</v>
      </c>
      <c r="M1868" t="s">
        <v>93</v>
      </c>
      <c r="N1868" t="s">
        <v>22</v>
      </c>
    </row>
    <row r="1869" spans="1:14" x14ac:dyDescent="0.25">
      <c r="A1869" t="s">
        <v>5611</v>
      </c>
      <c r="B1869" s="1">
        <v>46019</v>
      </c>
      <c r="C1869" t="s">
        <v>5612</v>
      </c>
      <c r="D1869" t="s">
        <v>5613</v>
      </c>
      <c r="E1869" s="14">
        <v>923390672215</v>
      </c>
      <c r="F1869" t="s">
        <v>32</v>
      </c>
      <c r="G1869" t="s">
        <v>18</v>
      </c>
      <c r="H1869" t="s">
        <v>59</v>
      </c>
      <c r="I1869">
        <v>1</v>
      </c>
      <c r="J1869">
        <v>12364</v>
      </c>
      <c r="K1869">
        <v>12364</v>
      </c>
      <c r="L1869" t="s">
        <v>68</v>
      </c>
      <c r="M1869" t="s">
        <v>45</v>
      </c>
      <c r="N1869" t="s">
        <v>22</v>
      </c>
    </row>
    <row r="1870" spans="1:14" x14ac:dyDescent="0.25">
      <c r="A1870" t="s">
        <v>5614</v>
      </c>
      <c r="B1870" s="1">
        <v>45834</v>
      </c>
      <c r="C1870" t="s">
        <v>5615</v>
      </c>
      <c r="D1870" t="s">
        <v>5616</v>
      </c>
      <c r="E1870" s="14">
        <v>923488601940</v>
      </c>
      <c r="F1870" t="s">
        <v>54</v>
      </c>
      <c r="G1870" t="s">
        <v>18</v>
      </c>
      <c r="H1870" t="s">
        <v>33</v>
      </c>
      <c r="I1870">
        <v>1</v>
      </c>
      <c r="J1870">
        <v>10925</v>
      </c>
      <c r="K1870">
        <v>10925</v>
      </c>
      <c r="L1870" t="s">
        <v>26</v>
      </c>
      <c r="M1870" t="s">
        <v>135</v>
      </c>
      <c r="N1870" t="s">
        <v>22</v>
      </c>
    </row>
    <row r="1871" spans="1:14" x14ac:dyDescent="0.25">
      <c r="A1871" t="s">
        <v>5617</v>
      </c>
      <c r="B1871" s="1">
        <v>45741</v>
      </c>
      <c r="C1871" t="s">
        <v>5618</v>
      </c>
      <c r="D1871" t="s">
        <v>5619</v>
      </c>
      <c r="E1871" s="14">
        <v>923488947776</v>
      </c>
      <c r="F1871" t="s">
        <v>32</v>
      </c>
      <c r="G1871" t="s">
        <v>18</v>
      </c>
      <c r="H1871" t="s">
        <v>33</v>
      </c>
      <c r="I1871">
        <v>1</v>
      </c>
      <c r="J1871">
        <v>5265</v>
      </c>
      <c r="K1871">
        <v>5265</v>
      </c>
      <c r="L1871" t="s">
        <v>20</v>
      </c>
      <c r="M1871" t="s">
        <v>93</v>
      </c>
      <c r="N1871" t="s">
        <v>69</v>
      </c>
    </row>
    <row r="1872" spans="1:14" x14ac:dyDescent="0.25">
      <c r="A1872" t="s">
        <v>5620</v>
      </c>
      <c r="B1872" s="1">
        <v>45729</v>
      </c>
      <c r="C1872" t="s">
        <v>5621</v>
      </c>
      <c r="D1872" t="s">
        <v>5622</v>
      </c>
      <c r="E1872" s="14">
        <v>923199742422</v>
      </c>
      <c r="F1872" t="s">
        <v>54</v>
      </c>
      <c r="G1872" t="s">
        <v>18</v>
      </c>
      <c r="H1872" t="s">
        <v>73</v>
      </c>
      <c r="I1872">
        <v>3</v>
      </c>
      <c r="J1872">
        <v>4163</v>
      </c>
      <c r="K1872">
        <v>12489</v>
      </c>
      <c r="L1872" t="s">
        <v>26</v>
      </c>
      <c r="M1872" t="s">
        <v>34</v>
      </c>
      <c r="N1872" t="s">
        <v>69</v>
      </c>
    </row>
    <row r="1873" spans="1:14" x14ac:dyDescent="0.25">
      <c r="A1873" t="s">
        <v>5623</v>
      </c>
      <c r="B1873" s="1">
        <v>46014</v>
      </c>
      <c r="C1873" t="s">
        <v>5624</v>
      </c>
      <c r="D1873" t="s">
        <v>5625</v>
      </c>
      <c r="E1873" s="14">
        <v>923488528047</v>
      </c>
      <c r="F1873" t="s">
        <v>54</v>
      </c>
      <c r="G1873" t="s">
        <v>18</v>
      </c>
      <c r="H1873" t="s">
        <v>33</v>
      </c>
      <c r="I1873">
        <v>5</v>
      </c>
      <c r="J1873">
        <v>2082</v>
      </c>
      <c r="K1873">
        <v>10410</v>
      </c>
      <c r="L1873" t="s">
        <v>78</v>
      </c>
      <c r="M1873" t="s">
        <v>93</v>
      </c>
      <c r="N1873" t="s">
        <v>28</v>
      </c>
    </row>
    <row r="1874" spans="1:14" x14ac:dyDescent="0.25">
      <c r="A1874" t="s">
        <v>5626</v>
      </c>
      <c r="B1874" s="1">
        <v>45977</v>
      </c>
      <c r="C1874" t="s">
        <v>5627</v>
      </c>
      <c r="D1874" t="s">
        <v>5628</v>
      </c>
      <c r="E1874" s="14">
        <v>923271872692</v>
      </c>
      <c r="F1874" t="s">
        <v>32</v>
      </c>
      <c r="G1874" t="s">
        <v>18</v>
      </c>
      <c r="H1874" t="s">
        <v>39</v>
      </c>
      <c r="I1874">
        <v>3</v>
      </c>
      <c r="J1874">
        <v>6985</v>
      </c>
      <c r="K1874">
        <v>20955</v>
      </c>
      <c r="L1874" t="s">
        <v>63</v>
      </c>
      <c r="M1874" t="s">
        <v>135</v>
      </c>
      <c r="N1874" t="s">
        <v>28</v>
      </c>
    </row>
    <row r="1875" spans="1:14" x14ac:dyDescent="0.25">
      <c r="A1875" t="s">
        <v>5629</v>
      </c>
      <c r="B1875" s="1">
        <v>45810</v>
      </c>
      <c r="C1875" t="s">
        <v>5630</v>
      </c>
      <c r="D1875" t="s">
        <v>5631</v>
      </c>
      <c r="E1875" s="14">
        <v>923295588369</v>
      </c>
      <c r="F1875" t="s">
        <v>106</v>
      </c>
      <c r="G1875" t="s">
        <v>18</v>
      </c>
      <c r="H1875" t="s">
        <v>33</v>
      </c>
      <c r="I1875">
        <v>4</v>
      </c>
      <c r="J1875">
        <v>14213</v>
      </c>
      <c r="K1875">
        <v>56852</v>
      </c>
      <c r="L1875" t="s">
        <v>40</v>
      </c>
      <c r="M1875" t="s">
        <v>93</v>
      </c>
      <c r="N1875" t="s">
        <v>22</v>
      </c>
    </row>
    <row r="1876" spans="1:14" x14ac:dyDescent="0.25">
      <c r="A1876" t="s">
        <v>5632</v>
      </c>
      <c r="B1876" s="1">
        <v>45888</v>
      </c>
      <c r="C1876" t="s">
        <v>5633</v>
      </c>
      <c r="D1876" t="s">
        <v>5634</v>
      </c>
      <c r="E1876" s="14">
        <v>923394134703</v>
      </c>
      <c r="F1876" t="s">
        <v>122</v>
      </c>
      <c r="G1876" t="s">
        <v>18</v>
      </c>
      <c r="H1876" t="s">
        <v>39</v>
      </c>
      <c r="I1876">
        <v>2</v>
      </c>
      <c r="J1876">
        <v>7588</v>
      </c>
      <c r="K1876">
        <v>15176</v>
      </c>
      <c r="L1876" t="s">
        <v>78</v>
      </c>
      <c r="M1876" t="s">
        <v>55</v>
      </c>
      <c r="N1876" t="s">
        <v>35</v>
      </c>
    </row>
    <row r="1877" spans="1:14" x14ac:dyDescent="0.25">
      <c r="A1877" t="s">
        <v>5635</v>
      </c>
      <c r="B1877" s="1">
        <v>45820</v>
      </c>
      <c r="C1877" t="s">
        <v>5636</v>
      </c>
      <c r="D1877" t="s">
        <v>2535</v>
      </c>
      <c r="E1877" s="14">
        <v>923429847148</v>
      </c>
      <c r="F1877" t="s">
        <v>49</v>
      </c>
      <c r="G1877" t="s">
        <v>18</v>
      </c>
      <c r="H1877" t="s">
        <v>39</v>
      </c>
      <c r="I1877">
        <v>1</v>
      </c>
      <c r="J1877">
        <v>4981</v>
      </c>
      <c r="K1877">
        <v>4981</v>
      </c>
      <c r="L1877" t="s">
        <v>68</v>
      </c>
      <c r="M1877" t="s">
        <v>27</v>
      </c>
      <c r="N1877" t="s">
        <v>28</v>
      </c>
    </row>
    <row r="1878" spans="1:14" x14ac:dyDescent="0.25">
      <c r="A1878" t="s">
        <v>5637</v>
      </c>
      <c r="B1878" s="1">
        <v>45992</v>
      </c>
      <c r="C1878" t="s">
        <v>5638</v>
      </c>
      <c r="D1878" t="s">
        <v>5639</v>
      </c>
      <c r="E1878" s="14">
        <v>923401658935</v>
      </c>
      <c r="F1878" t="s">
        <v>17</v>
      </c>
      <c r="G1878" t="s">
        <v>18</v>
      </c>
      <c r="H1878" t="s">
        <v>50</v>
      </c>
      <c r="I1878">
        <v>3</v>
      </c>
      <c r="J1878">
        <v>9376</v>
      </c>
      <c r="K1878">
        <v>28128</v>
      </c>
      <c r="L1878" t="s">
        <v>68</v>
      </c>
      <c r="M1878" t="s">
        <v>93</v>
      </c>
      <c r="N1878" t="s">
        <v>69</v>
      </c>
    </row>
    <row r="1879" spans="1:14" x14ac:dyDescent="0.25">
      <c r="A1879" t="s">
        <v>5640</v>
      </c>
      <c r="B1879" s="1">
        <v>45919</v>
      </c>
      <c r="C1879" t="s">
        <v>5641</v>
      </c>
      <c r="D1879" t="s">
        <v>5642</v>
      </c>
      <c r="E1879" s="14">
        <v>923172826581</v>
      </c>
      <c r="F1879" t="s">
        <v>67</v>
      </c>
      <c r="G1879" t="s">
        <v>18</v>
      </c>
      <c r="H1879" t="s">
        <v>73</v>
      </c>
      <c r="I1879">
        <v>5</v>
      </c>
      <c r="J1879">
        <v>5876</v>
      </c>
      <c r="K1879">
        <v>29380</v>
      </c>
      <c r="L1879" t="s">
        <v>68</v>
      </c>
      <c r="M1879" t="s">
        <v>55</v>
      </c>
      <c r="N1879" t="s">
        <v>28</v>
      </c>
    </row>
    <row r="1880" spans="1:14" x14ac:dyDescent="0.25">
      <c r="A1880" t="s">
        <v>5643</v>
      </c>
      <c r="B1880" s="1">
        <v>46002</v>
      </c>
      <c r="C1880" t="s">
        <v>5644</v>
      </c>
      <c r="D1880" t="s">
        <v>5645</v>
      </c>
      <c r="E1880" s="14">
        <v>923017319528</v>
      </c>
      <c r="F1880" t="s">
        <v>106</v>
      </c>
      <c r="G1880" t="s">
        <v>18</v>
      </c>
      <c r="H1880" t="s">
        <v>59</v>
      </c>
      <c r="I1880">
        <v>1</v>
      </c>
      <c r="J1880">
        <v>6928</v>
      </c>
      <c r="K1880">
        <v>6928</v>
      </c>
      <c r="L1880" t="s">
        <v>68</v>
      </c>
      <c r="M1880" t="s">
        <v>82</v>
      </c>
      <c r="N1880" t="s">
        <v>35</v>
      </c>
    </row>
    <row r="1881" spans="1:14" x14ac:dyDescent="0.25">
      <c r="A1881" t="s">
        <v>5646</v>
      </c>
      <c r="B1881" s="1">
        <v>45855</v>
      </c>
      <c r="C1881" t="s">
        <v>5647</v>
      </c>
      <c r="D1881" t="s">
        <v>5648</v>
      </c>
      <c r="E1881" s="14">
        <v>923017346427</v>
      </c>
      <c r="F1881" t="s">
        <v>67</v>
      </c>
      <c r="G1881" t="s">
        <v>18</v>
      </c>
      <c r="H1881" t="s">
        <v>33</v>
      </c>
      <c r="I1881">
        <v>5</v>
      </c>
      <c r="J1881">
        <v>12150</v>
      </c>
      <c r="K1881">
        <v>60750</v>
      </c>
      <c r="L1881" t="s">
        <v>40</v>
      </c>
      <c r="M1881" t="s">
        <v>135</v>
      </c>
      <c r="N1881" t="s">
        <v>28</v>
      </c>
    </row>
    <row r="1882" spans="1:14" x14ac:dyDescent="0.25">
      <c r="A1882" t="s">
        <v>5649</v>
      </c>
      <c r="B1882" s="1">
        <v>45982</v>
      </c>
      <c r="C1882" t="s">
        <v>5650</v>
      </c>
      <c r="D1882" t="s">
        <v>5651</v>
      </c>
      <c r="E1882" s="14">
        <v>923308779719</v>
      </c>
      <c r="F1882" t="s">
        <v>49</v>
      </c>
      <c r="G1882" t="s">
        <v>18</v>
      </c>
      <c r="H1882" t="s">
        <v>19</v>
      </c>
      <c r="I1882">
        <v>3</v>
      </c>
      <c r="J1882">
        <v>4475</v>
      </c>
      <c r="K1882">
        <v>13425</v>
      </c>
      <c r="L1882" t="s">
        <v>20</v>
      </c>
      <c r="M1882" t="s">
        <v>45</v>
      </c>
      <c r="N1882" t="s">
        <v>22</v>
      </c>
    </row>
    <row r="1883" spans="1:14" x14ac:dyDescent="0.25">
      <c r="A1883" t="s">
        <v>5652</v>
      </c>
      <c r="B1883" s="1">
        <v>45785</v>
      </c>
      <c r="C1883" t="s">
        <v>5653</v>
      </c>
      <c r="D1883" t="s">
        <v>5654</v>
      </c>
      <c r="E1883" s="14">
        <v>923236957256</v>
      </c>
      <c r="F1883" t="s">
        <v>92</v>
      </c>
      <c r="G1883" t="s">
        <v>18</v>
      </c>
      <c r="H1883" t="s">
        <v>33</v>
      </c>
      <c r="I1883">
        <v>1</v>
      </c>
      <c r="J1883">
        <v>8965</v>
      </c>
      <c r="K1883">
        <v>8965</v>
      </c>
      <c r="L1883" t="s">
        <v>40</v>
      </c>
      <c r="M1883" t="s">
        <v>135</v>
      </c>
      <c r="N1883" t="s">
        <v>28</v>
      </c>
    </row>
    <row r="1884" spans="1:14" x14ac:dyDescent="0.25">
      <c r="A1884" t="s">
        <v>5655</v>
      </c>
      <c r="B1884" s="1">
        <v>45876</v>
      </c>
      <c r="C1884" t="s">
        <v>5656</v>
      </c>
      <c r="D1884" t="s">
        <v>5657</v>
      </c>
      <c r="E1884" s="14">
        <v>923145062873</v>
      </c>
      <c r="F1884" t="s">
        <v>106</v>
      </c>
      <c r="G1884" t="s">
        <v>18</v>
      </c>
      <c r="H1884" t="s">
        <v>19</v>
      </c>
      <c r="I1884">
        <v>4</v>
      </c>
      <c r="J1884">
        <v>4289</v>
      </c>
      <c r="K1884">
        <v>17156</v>
      </c>
      <c r="L1884" t="s">
        <v>20</v>
      </c>
      <c r="M1884" t="s">
        <v>21</v>
      </c>
      <c r="N1884" t="s">
        <v>69</v>
      </c>
    </row>
    <row r="1885" spans="1:14" x14ac:dyDescent="0.25">
      <c r="A1885" t="s">
        <v>5658</v>
      </c>
      <c r="B1885" s="1">
        <v>45940</v>
      </c>
      <c r="C1885" t="s">
        <v>5659</v>
      </c>
      <c r="D1885" t="s">
        <v>5660</v>
      </c>
      <c r="E1885" s="14">
        <v>923100581338</v>
      </c>
      <c r="F1885" t="s">
        <v>44</v>
      </c>
      <c r="G1885" t="s">
        <v>18</v>
      </c>
      <c r="H1885" t="s">
        <v>59</v>
      </c>
      <c r="I1885">
        <v>1</v>
      </c>
      <c r="J1885">
        <v>5097</v>
      </c>
      <c r="K1885">
        <v>5097</v>
      </c>
      <c r="L1885" t="s">
        <v>63</v>
      </c>
      <c r="M1885" t="s">
        <v>93</v>
      </c>
      <c r="N1885" t="s">
        <v>22</v>
      </c>
    </row>
    <row r="1886" spans="1:14" x14ac:dyDescent="0.25">
      <c r="A1886" t="s">
        <v>5661</v>
      </c>
      <c r="B1886" s="1">
        <v>45800</v>
      </c>
      <c r="C1886" t="s">
        <v>5662</v>
      </c>
      <c r="D1886" t="s">
        <v>5663</v>
      </c>
      <c r="E1886" s="14">
        <v>923090240082</v>
      </c>
      <c r="F1886" t="s">
        <v>122</v>
      </c>
      <c r="G1886" t="s">
        <v>18</v>
      </c>
      <c r="H1886" t="s">
        <v>39</v>
      </c>
      <c r="I1886">
        <v>5</v>
      </c>
      <c r="J1886">
        <v>9055</v>
      </c>
      <c r="K1886">
        <v>45275</v>
      </c>
      <c r="L1886" t="s">
        <v>68</v>
      </c>
      <c r="M1886" t="s">
        <v>21</v>
      </c>
      <c r="N1886" t="s">
        <v>28</v>
      </c>
    </row>
    <row r="1887" spans="1:14" x14ac:dyDescent="0.25">
      <c r="A1887" t="s">
        <v>5664</v>
      </c>
      <c r="B1887" s="1">
        <v>45920</v>
      </c>
      <c r="C1887" t="s">
        <v>5665</v>
      </c>
      <c r="D1887" t="s">
        <v>5666</v>
      </c>
      <c r="E1887" s="14">
        <v>923473820059</v>
      </c>
      <c r="F1887" t="s">
        <v>44</v>
      </c>
      <c r="G1887" t="s">
        <v>18</v>
      </c>
      <c r="H1887" t="s">
        <v>59</v>
      </c>
      <c r="I1887">
        <v>3</v>
      </c>
      <c r="J1887">
        <v>10569</v>
      </c>
      <c r="K1887">
        <v>31707</v>
      </c>
      <c r="L1887" t="s">
        <v>40</v>
      </c>
      <c r="M1887" t="s">
        <v>27</v>
      </c>
      <c r="N1887" t="s">
        <v>28</v>
      </c>
    </row>
    <row r="1888" spans="1:14" x14ac:dyDescent="0.25">
      <c r="A1888" t="s">
        <v>5667</v>
      </c>
      <c r="B1888" s="1">
        <v>45854</v>
      </c>
      <c r="C1888" t="s">
        <v>5668</v>
      </c>
      <c r="D1888" t="s">
        <v>5669</v>
      </c>
      <c r="E1888" s="14">
        <v>923021106789</v>
      </c>
      <c r="F1888" t="s">
        <v>67</v>
      </c>
      <c r="G1888" t="s">
        <v>18</v>
      </c>
      <c r="H1888" t="s">
        <v>33</v>
      </c>
      <c r="I1888">
        <v>3</v>
      </c>
      <c r="J1888">
        <v>4024</v>
      </c>
      <c r="K1888">
        <v>12072</v>
      </c>
      <c r="L1888" t="s">
        <v>68</v>
      </c>
      <c r="M1888" t="s">
        <v>82</v>
      </c>
      <c r="N1888" t="s">
        <v>28</v>
      </c>
    </row>
    <row r="1889" spans="1:14" x14ac:dyDescent="0.25">
      <c r="A1889" t="s">
        <v>5670</v>
      </c>
      <c r="B1889" s="1">
        <v>46010</v>
      </c>
      <c r="C1889" t="s">
        <v>5671</v>
      </c>
      <c r="D1889" t="s">
        <v>5672</v>
      </c>
      <c r="E1889" s="14">
        <v>923392285166</v>
      </c>
      <c r="F1889" t="s">
        <v>122</v>
      </c>
      <c r="G1889" t="s">
        <v>18</v>
      </c>
      <c r="H1889" t="s">
        <v>33</v>
      </c>
      <c r="I1889">
        <v>4</v>
      </c>
      <c r="J1889">
        <v>4053</v>
      </c>
      <c r="K1889">
        <v>16212</v>
      </c>
      <c r="L1889" t="s">
        <v>78</v>
      </c>
      <c r="M1889" t="s">
        <v>21</v>
      </c>
      <c r="N1889" t="s">
        <v>28</v>
      </c>
    </row>
    <row r="1890" spans="1:14" x14ac:dyDescent="0.25">
      <c r="A1890" t="s">
        <v>5673</v>
      </c>
      <c r="B1890" s="1">
        <v>45947</v>
      </c>
      <c r="C1890" t="s">
        <v>5674</v>
      </c>
      <c r="D1890" t="s">
        <v>5675</v>
      </c>
      <c r="E1890" s="14">
        <v>923389353922</v>
      </c>
      <c r="F1890" t="s">
        <v>77</v>
      </c>
      <c r="G1890" t="s">
        <v>18</v>
      </c>
      <c r="H1890" t="s">
        <v>33</v>
      </c>
      <c r="I1890">
        <v>4</v>
      </c>
      <c r="J1890">
        <v>14835</v>
      </c>
      <c r="K1890">
        <v>59340</v>
      </c>
      <c r="L1890" t="s">
        <v>68</v>
      </c>
      <c r="M1890" t="s">
        <v>21</v>
      </c>
      <c r="N1890" t="s">
        <v>69</v>
      </c>
    </row>
    <row r="1891" spans="1:14" x14ac:dyDescent="0.25">
      <c r="A1891" t="s">
        <v>5676</v>
      </c>
      <c r="B1891" s="1">
        <v>45720</v>
      </c>
      <c r="C1891" t="s">
        <v>5677</v>
      </c>
      <c r="D1891" t="s">
        <v>5678</v>
      </c>
      <c r="E1891" s="14">
        <v>923487195828</v>
      </c>
      <c r="F1891" t="s">
        <v>106</v>
      </c>
      <c r="G1891" t="s">
        <v>18</v>
      </c>
      <c r="H1891" t="s">
        <v>59</v>
      </c>
      <c r="I1891">
        <v>1</v>
      </c>
      <c r="J1891">
        <v>11793</v>
      </c>
      <c r="K1891">
        <v>11793</v>
      </c>
      <c r="L1891" t="s">
        <v>78</v>
      </c>
      <c r="M1891" t="s">
        <v>135</v>
      </c>
      <c r="N1891" t="s">
        <v>22</v>
      </c>
    </row>
    <row r="1892" spans="1:14" x14ac:dyDescent="0.25">
      <c r="A1892" t="s">
        <v>5679</v>
      </c>
      <c r="B1892" s="1">
        <v>45730</v>
      </c>
      <c r="C1892" t="s">
        <v>5680</v>
      </c>
      <c r="D1892" t="s">
        <v>5681</v>
      </c>
      <c r="E1892" s="14">
        <v>923265119991</v>
      </c>
      <c r="F1892" t="s">
        <v>54</v>
      </c>
      <c r="G1892" t="s">
        <v>18</v>
      </c>
      <c r="H1892" t="s">
        <v>73</v>
      </c>
      <c r="I1892">
        <v>1</v>
      </c>
      <c r="J1892">
        <v>3577</v>
      </c>
      <c r="K1892">
        <v>3577</v>
      </c>
      <c r="L1892" t="s">
        <v>68</v>
      </c>
      <c r="M1892" t="s">
        <v>34</v>
      </c>
      <c r="N1892" t="s">
        <v>35</v>
      </c>
    </row>
    <row r="1893" spans="1:14" x14ac:dyDescent="0.25">
      <c r="A1893" t="s">
        <v>5682</v>
      </c>
      <c r="B1893" s="1">
        <v>45898</v>
      </c>
      <c r="C1893" t="s">
        <v>5683</v>
      </c>
      <c r="D1893" t="s">
        <v>5684</v>
      </c>
      <c r="E1893" s="14">
        <v>923374649370</v>
      </c>
      <c r="F1893" t="s">
        <v>106</v>
      </c>
      <c r="G1893" t="s">
        <v>18</v>
      </c>
      <c r="H1893" t="s">
        <v>39</v>
      </c>
      <c r="I1893">
        <v>3</v>
      </c>
      <c r="J1893">
        <v>4869</v>
      </c>
      <c r="K1893">
        <v>14607</v>
      </c>
      <c r="L1893" t="s">
        <v>78</v>
      </c>
      <c r="M1893" t="s">
        <v>21</v>
      </c>
      <c r="N1893" t="s">
        <v>35</v>
      </c>
    </row>
    <row r="1894" spans="1:14" x14ac:dyDescent="0.25">
      <c r="A1894" t="s">
        <v>5685</v>
      </c>
      <c r="B1894" s="1">
        <v>46019</v>
      </c>
      <c r="C1894" t="s">
        <v>5686</v>
      </c>
      <c r="D1894" t="s">
        <v>5687</v>
      </c>
      <c r="E1894" s="14">
        <v>923212832305</v>
      </c>
      <c r="F1894" t="s">
        <v>122</v>
      </c>
      <c r="G1894" t="s">
        <v>18</v>
      </c>
      <c r="H1894" t="s">
        <v>39</v>
      </c>
      <c r="I1894">
        <v>2</v>
      </c>
      <c r="J1894">
        <v>10342</v>
      </c>
      <c r="K1894">
        <v>20684</v>
      </c>
      <c r="L1894" t="s">
        <v>78</v>
      </c>
      <c r="M1894" t="s">
        <v>82</v>
      </c>
      <c r="N1894" t="s">
        <v>35</v>
      </c>
    </row>
    <row r="1895" spans="1:14" x14ac:dyDescent="0.25">
      <c r="A1895" t="s">
        <v>5688</v>
      </c>
      <c r="B1895" s="1">
        <v>45824</v>
      </c>
      <c r="C1895" t="s">
        <v>5689</v>
      </c>
      <c r="D1895" t="s">
        <v>5690</v>
      </c>
      <c r="E1895" s="14">
        <v>923368955987</v>
      </c>
      <c r="F1895" t="s">
        <v>54</v>
      </c>
      <c r="G1895" t="s">
        <v>18</v>
      </c>
      <c r="H1895" t="s">
        <v>19</v>
      </c>
      <c r="I1895">
        <v>5</v>
      </c>
      <c r="J1895">
        <v>9143</v>
      </c>
      <c r="K1895">
        <v>45715</v>
      </c>
      <c r="L1895" t="s">
        <v>63</v>
      </c>
      <c r="M1895" t="s">
        <v>55</v>
      </c>
      <c r="N1895" t="s">
        <v>69</v>
      </c>
    </row>
    <row r="1896" spans="1:14" x14ac:dyDescent="0.25">
      <c r="A1896" t="s">
        <v>5691</v>
      </c>
      <c r="B1896" s="1">
        <v>45739</v>
      </c>
      <c r="C1896" t="s">
        <v>5692</v>
      </c>
      <c r="D1896" t="s">
        <v>5693</v>
      </c>
      <c r="E1896" s="14">
        <v>923070051430</v>
      </c>
      <c r="F1896" t="s">
        <v>122</v>
      </c>
      <c r="G1896" t="s">
        <v>18</v>
      </c>
      <c r="H1896" t="s">
        <v>19</v>
      </c>
      <c r="I1896">
        <v>2</v>
      </c>
      <c r="J1896">
        <v>14271</v>
      </c>
      <c r="K1896">
        <v>28542</v>
      </c>
      <c r="L1896" t="s">
        <v>78</v>
      </c>
      <c r="M1896" t="s">
        <v>93</v>
      </c>
      <c r="N1896" t="s">
        <v>35</v>
      </c>
    </row>
    <row r="1897" spans="1:14" x14ac:dyDescent="0.25">
      <c r="A1897" t="s">
        <v>5694</v>
      </c>
      <c r="B1897" s="1">
        <v>45946</v>
      </c>
      <c r="C1897" t="s">
        <v>5695</v>
      </c>
      <c r="D1897" t="s">
        <v>5696</v>
      </c>
      <c r="E1897" s="14">
        <v>923047700764</v>
      </c>
      <c r="F1897" t="s">
        <v>106</v>
      </c>
      <c r="G1897" t="s">
        <v>18</v>
      </c>
      <c r="H1897" t="s">
        <v>39</v>
      </c>
      <c r="I1897">
        <v>3</v>
      </c>
      <c r="J1897">
        <v>8426</v>
      </c>
      <c r="K1897">
        <v>25278</v>
      </c>
      <c r="L1897" t="s">
        <v>40</v>
      </c>
      <c r="M1897" t="s">
        <v>34</v>
      </c>
      <c r="N1897" t="s">
        <v>22</v>
      </c>
    </row>
    <row r="1898" spans="1:14" x14ac:dyDescent="0.25">
      <c r="A1898" t="s">
        <v>5697</v>
      </c>
      <c r="B1898" s="1">
        <v>45795</v>
      </c>
      <c r="C1898" t="s">
        <v>5698</v>
      </c>
      <c r="D1898" t="s">
        <v>5699</v>
      </c>
      <c r="E1898" s="14">
        <v>923461574730</v>
      </c>
      <c r="F1898" t="s">
        <v>67</v>
      </c>
      <c r="G1898" t="s">
        <v>18</v>
      </c>
      <c r="H1898" t="s">
        <v>73</v>
      </c>
      <c r="I1898">
        <v>2</v>
      </c>
      <c r="J1898">
        <v>5318</v>
      </c>
      <c r="K1898">
        <v>10636</v>
      </c>
      <c r="L1898" t="s">
        <v>20</v>
      </c>
      <c r="M1898" t="s">
        <v>27</v>
      </c>
      <c r="N1898" t="s">
        <v>35</v>
      </c>
    </row>
    <row r="1899" spans="1:14" x14ac:dyDescent="0.25">
      <c r="A1899" t="s">
        <v>5700</v>
      </c>
      <c r="B1899" s="1">
        <v>45926</v>
      </c>
      <c r="C1899" t="s">
        <v>5701</v>
      </c>
      <c r="D1899" t="s">
        <v>5702</v>
      </c>
      <c r="E1899" s="14">
        <v>923052431995</v>
      </c>
      <c r="F1899" t="s">
        <v>17</v>
      </c>
      <c r="G1899" t="s">
        <v>18</v>
      </c>
      <c r="H1899" t="s">
        <v>19</v>
      </c>
      <c r="I1899">
        <v>1</v>
      </c>
      <c r="J1899">
        <v>10555</v>
      </c>
      <c r="K1899">
        <v>10555</v>
      </c>
      <c r="L1899" t="s">
        <v>78</v>
      </c>
      <c r="M1899" t="s">
        <v>82</v>
      </c>
      <c r="N1899" t="s">
        <v>22</v>
      </c>
    </row>
    <row r="1900" spans="1:14" x14ac:dyDescent="0.25">
      <c r="A1900" t="s">
        <v>5703</v>
      </c>
      <c r="B1900" s="1">
        <v>45770</v>
      </c>
      <c r="C1900" t="s">
        <v>5704</v>
      </c>
      <c r="D1900" t="s">
        <v>5705</v>
      </c>
      <c r="E1900" s="14">
        <v>923040764810</v>
      </c>
      <c r="F1900" t="s">
        <v>17</v>
      </c>
      <c r="G1900" t="s">
        <v>18</v>
      </c>
      <c r="H1900" t="s">
        <v>39</v>
      </c>
      <c r="I1900">
        <v>5</v>
      </c>
      <c r="J1900">
        <v>10604</v>
      </c>
      <c r="K1900">
        <v>53020</v>
      </c>
      <c r="L1900" t="s">
        <v>40</v>
      </c>
      <c r="M1900" t="s">
        <v>45</v>
      </c>
      <c r="N1900" t="s">
        <v>69</v>
      </c>
    </row>
    <row r="1901" spans="1:14" x14ac:dyDescent="0.25">
      <c r="A1901" t="s">
        <v>5706</v>
      </c>
      <c r="B1901" s="1">
        <v>46070</v>
      </c>
      <c r="C1901" t="s">
        <v>5707</v>
      </c>
      <c r="D1901" t="s">
        <v>5708</v>
      </c>
      <c r="E1901" s="14">
        <v>923334353488</v>
      </c>
      <c r="F1901" t="s">
        <v>54</v>
      </c>
      <c r="G1901" t="s">
        <v>18</v>
      </c>
      <c r="H1901" t="s">
        <v>19</v>
      </c>
      <c r="I1901">
        <v>5</v>
      </c>
      <c r="J1901">
        <v>8502</v>
      </c>
      <c r="K1901">
        <v>42510</v>
      </c>
      <c r="L1901" t="s">
        <v>78</v>
      </c>
      <c r="M1901" t="s">
        <v>27</v>
      </c>
      <c r="N1901" t="s">
        <v>22</v>
      </c>
    </row>
    <row r="1902" spans="1:14" x14ac:dyDescent="0.25">
      <c r="A1902" t="s">
        <v>5709</v>
      </c>
      <c r="B1902" s="1">
        <v>46026</v>
      </c>
      <c r="C1902" t="s">
        <v>5710</v>
      </c>
      <c r="D1902" t="s">
        <v>5711</v>
      </c>
      <c r="E1902" s="14">
        <v>923202953062</v>
      </c>
      <c r="F1902" t="s">
        <v>92</v>
      </c>
      <c r="G1902" t="s">
        <v>18</v>
      </c>
      <c r="H1902" t="s">
        <v>19</v>
      </c>
      <c r="I1902">
        <v>4</v>
      </c>
      <c r="J1902">
        <v>6063</v>
      </c>
      <c r="K1902">
        <v>24252</v>
      </c>
      <c r="L1902" t="s">
        <v>26</v>
      </c>
      <c r="M1902" t="s">
        <v>21</v>
      </c>
      <c r="N1902" t="s">
        <v>28</v>
      </c>
    </row>
    <row r="1903" spans="1:14" x14ac:dyDescent="0.25">
      <c r="A1903" t="s">
        <v>5712</v>
      </c>
      <c r="B1903" s="1">
        <v>45734</v>
      </c>
      <c r="C1903" t="s">
        <v>5713</v>
      </c>
      <c r="D1903" t="s">
        <v>5714</v>
      </c>
      <c r="E1903" s="14">
        <v>923123292701</v>
      </c>
      <c r="F1903" t="s">
        <v>17</v>
      </c>
      <c r="G1903" t="s">
        <v>18</v>
      </c>
      <c r="H1903" t="s">
        <v>39</v>
      </c>
      <c r="I1903">
        <v>5</v>
      </c>
      <c r="J1903">
        <v>10202</v>
      </c>
      <c r="K1903">
        <v>51010</v>
      </c>
      <c r="L1903" t="s">
        <v>78</v>
      </c>
      <c r="M1903" t="s">
        <v>27</v>
      </c>
      <c r="N1903" t="s">
        <v>69</v>
      </c>
    </row>
    <row r="1904" spans="1:14" x14ac:dyDescent="0.25">
      <c r="A1904" t="s">
        <v>5715</v>
      </c>
      <c r="B1904" s="1">
        <v>45948</v>
      </c>
      <c r="C1904" t="s">
        <v>5716</v>
      </c>
      <c r="D1904" t="s">
        <v>5717</v>
      </c>
      <c r="E1904" s="14">
        <v>923152269944</v>
      </c>
      <c r="F1904" t="s">
        <v>77</v>
      </c>
      <c r="G1904" t="s">
        <v>18</v>
      </c>
      <c r="H1904" t="s">
        <v>33</v>
      </c>
      <c r="I1904">
        <v>2</v>
      </c>
      <c r="J1904">
        <v>6245</v>
      </c>
      <c r="K1904">
        <v>12490</v>
      </c>
      <c r="L1904" t="s">
        <v>26</v>
      </c>
      <c r="M1904" t="s">
        <v>55</v>
      </c>
      <c r="N1904" t="s">
        <v>69</v>
      </c>
    </row>
    <row r="1905" spans="1:14" x14ac:dyDescent="0.25">
      <c r="A1905" t="s">
        <v>5718</v>
      </c>
      <c r="B1905" s="1">
        <v>45918</v>
      </c>
      <c r="C1905" t="s">
        <v>5719</v>
      </c>
      <c r="D1905" t="s">
        <v>5720</v>
      </c>
      <c r="E1905" s="14">
        <v>923184863986</v>
      </c>
      <c r="F1905" t="s">
        <v>54</v>
      </c>
      <c r="G1905" t="s">
        <v>18</v>
      </c>
      <c r="H1905" t="s">
        <v>33</v>
      </c>
      <c r="I1905">
        <v>5</v>
      </c>
      <c r="J1905">
        <v>12896</v>
      </c>
      <c r="K1905">
        <v>64480</v>
      </c>
      <c r="L1905" t="s">
        <v>78</v>
      </c>
      <c r="M1905" t="s">
        <v>135</v>
      </c>
      <c r="N1905" t="s">
        <v>69</v>
      </c>
    </row>
    <row r="1906" spans="1:14" x14ac:dyDescent="0.25">
      <c r="A1906" t="s">
        <v>5721</v>
      </c>
      <c r="B1906" s="1">
        <v>45832</v>
      </c>
      <c r="C1906" t="s">
        <v>5722</v>
      </c>
      <c r="D1906" t="s">
        <v>5723</v>
      </c>
      <c r="E1906" s="14">
        <v>923080880972</v>
      </c>
      <c r="F1906" t="s">
        <v>17</v>
      </c>
      <c r="G1906" t="s">
        <v>18</v>
      </c>
      <c r="H1906" t="s">
        <v>33</v>
      </c>
      <c r="I1906">
        <v>5</v>
      </c>
      <c r="J1906">
        <v>2451</v>
      </c>
      <c r="K1906">
        <v>12255</v>
      </c>
      <c r="L1906" t="s">
        <v>78</v>
      </c>
      <c r="M1906" t="s">
        <v>135</v>
      </c>
      <c r="N1906" t="s">
        <v>22</v>
      </c>
    </row>
    <row r="1907" spans="1:14" x14ac:dyDescent="0.25">
      <c r="A1907" t="s">
        <v>5724</v>
      </c>
      <c r="B1907" s="1">
        <v>45881</v>
      </c>
      <c r="C1907" t="s">
        <v>5725</v>
      </c>
      <c r="D1907" t="s">
        <v>5726</v>
      </c>
      <c r="E1907" s="14">
        <v>923204052562</v>
      </c>
      <c r="F1907" t="s">
        <v>77</v>
      </c>
      <c r="G1907" t="s">
        <v>18</v>
      </c>
      <c r="H1907" t="s">
        <v>39</v>
      </c>
      <c r="I1907">
        <v>1</v>
      </c>
      <c r="J1907">
        <v>1485</v>
      </c>
      <c r="K1907">
        <v>1485</v>
      </c>
      <c r="L1907" t="s">
        <v>78</v>
      </c>
      <c r="M1907" t="s">
        <v>93</v>
      </c>
      <c r="N1907" t="s">
        <v>22</v>
      </c>
    </row>
    <row r="1908" spans="1:14" x14ac:dyDescent="0.25">
      <c r="A1908" t="s">
        <v>5727</v>
      </c>
      <c r="B1908" s="1">
        <v>45836</v>
      </c>
      <c r="C1908" t="s">
        <v>5728</v>
      </c>
      <c r="D1908" t="s">
        <v>5729</v>
      </c>
      <c r="E1908" s="14">
        <v>923246257094</v>
      </c>
      <c r="F1908" t="s">
        <v>92</v>
      </c>
      <c r="G1908" t="s">
        <v>18</v>
      </c>
      <c r="H1908" t="s">
        <v>73</v>
      </c>
      <c r="I1908">
        <v>4</v>
      </c>
      <c r="J1908">
        <v>9020</v>
      </c>
      <c r="K1908">
        <v>36080</v>
      </c>
      <c r="L1908" t="s">
        <v>78</v>
      </c>
      <c r="M1908" t="s">
        <v>82</v>
      </c>
      <c r="N1908" t="s">
        <v>28</v>
      </c>
    </row>
    <row r="1909" spans="1:14" x14ac:dyDescent="0.25">
      <c r="A1909" t="s">
        <v>5730</v>
      </c>
      <c r="B1909" s="1">
        <v>45899</v>
      </c>
      <c r="C1909" t="s">
        <v>5731</v>
      </c>
      <c r="D1909" t="s">
        <v>5732</v>
      </c>
      <c r="E1909" s="14">
        <v>923286030624</v>
      </c>
      <c r="F1909" t="s">
        <v>32</v>
      </c>
      <c r="G1909" t="s">
        <v>18</v>
      </c>
      <c r="H1909" t="s">
        <v>73</v>
      </c>
      <c r="I1909">
        <v>4</v>
      </c>
      <c r="J1909">
        <v>12301</v>
      </c>
      <c r="K1909">
        <v>49204</v>
      </c>
      <c r="L1909" t="s">
        <v>26</v>
      </c>
      <c r="M1909" t="s">
        <v>82</v>
      </c>
      <c r="N1909" t="s">
        <v>28</v>
      </c>
    </row>
    <row r="1910" spans="1:14" x14ac:dyDescent="0.25">
      <c r="A1910" t="s">
        <v>5733</v>
      </c>
      <c r="B1910" s="1">
        <v>45992</v>
      </c>
      <c r="C1910" t="s">
        <v>5734</v>
      </c>
      <c r="D1910" t="s">
        <v>5735</v>
      </c>
      <c r="E1910" s="14">
        <v>923493443053</v>
      </c>
      <c r="F1910" t="s">
        <v>106</v>
      </c>
      <c r="G1910" t="s">
        <v>18</v>
      </c>
      <c r="H1910" t="s">
        <v>39</v>
      </c>
      <c r="I1910">
        <v>4</v>
      </c>
      <c r="J1910">
        <v>7558</v>
      </c>
      <c r="K1910">
        <v>30232</v>
      </c>
      <c r="L1910" t="s">
        <v>26</v>
      </c>
      <c r="M1910" t="s">
        <v>93</v>
      </c>
      <c r="N1910" t="s">
        <v>69</v>
      </c>
    </row>
    <row r="1911" spans="1:14" x14ac:dyDescent="0.25">
      <c r="A1911" t="s">
        <v>5736</v>
      </c>
      <c r="B1911" s="1">
        <v>45816</v>
      </c>
      <c r="C1911" t="s">
        <v>5737</v>
      </c>
      <c r="D1911" t="s">
        <v>5738</v>
      </c>
      <c r="E1911" s="14">
        <v>923301816133</v>
      </c>
      <c r="F1911" t="s">
        <v>49</v>
      </c>
      <c r="G1911" t="s">
        <v>18</v>
      </c>
      <c r="H1911" t="s">
        <v>50</v>
      </c>
      <c r="I1911">
        <v>5</v>
      </c>
      <c r="J1911">
        <v>6851</v>
      </c>
      <c r="K1911">
        <v>34255</v>
      </c>
      <c r="L1911" t="s">
        <v>40</v>
      </c>
      <c r="M1911" t="s">
        <v>27</v>
      </c>
      <c r="N1911" t="s">
        <v>22</v>
      </c>
    </row>
    <row r="1912" spans="1:14" x14ac:dyDescent="0.25">
      <c r="A1912" t="s">
        <v>5739</v>
      </c>
      <c r="B1912" s="1">
        <v>45776</v>
      </c>
      <c r="C1912" t="s">
        <v>5740</v>
      </c>
      <c r="D1912" t="s">
        <v>5741</v>
      </c>
      <c r="E1912" s="14">
        <v>923467801154</v>
      </c>
      <c r="F1912" t="s">
        <v>106</v>
      </c>
      <c r="G1912" t="s">
        <v>18</v>
      </c>
      <c r="H1912" t="s">
        <v>50</v>
      </c>
      <c r="I1912">
        <v>4</v>
      </c>
      <c r="J1912">
        <v>10524</v>
      </c>
      <c r="K1912">
        <v>42096</v>
      </c>
      <c r="L1912" t="s">
        <v>40</v>
      </c>
      <c r="M1912" t="s">
        <v>82</v>
      </c>
      <c r="N1912" t="s">
        <v>35</v>
      </c>
    </row>
    <row r="1913" spans="1:14" x14ac:dyDescent="0.25">
      <c r="A1913" t="s">
        <v>5742</v>
      </c>
      <c r="B1913" s="1">
        <v>45985</v>
      </c>
      <c r="C1913" t="s">
        <v>5743</v>
      </c>
      <c r="D1913" t="s">
        <v>5744</v>
      </c>
      <c r="E1913" s="14">
        <v>923394395829</v>
      </c>
      <c r="F1913" t="s">
        <v>67</v>
      </c>
      <c r="G1913" t="s">
        <v>18</v>
      </c>
      <c r="H1913" t="s">
        <v>33</v>
      </c>
      <c r="I1913">
        <v>1</v>
      </c>
      <c r="J1913">
        <v>6319</v>
      </c>
      <c r="K1913">
        <v>6319</v>
      </c>
      <c r="L1913" t="s">
        <v>26</v>
      </c>
      <c r="M1913" t="s">
        <v>55</v>
      </c>
      <c r="N1913" t="s">
        <v>35</v>
      </c>
    </row>
    <row r="1914" spans="1:14" x14ac:dyDescent="0.25">
      <c r="A1914" t="s">
        <v>5745</v>
      </c>
      <c r="B1914" s="1">
        <v>46000</v>
      </c>
      <c r="C1914" t="s">
        <v>5746</v>
      </c>
      <c r="D1914" t="s">
        <v>5747</v>
      </c>
      <c r="E1914" s="14">
        <v>923159053110</v>
      </c>
      <c r="F1914" t="s">
        <v>44</v>
      </c>
      <c r="G1914" t="s">
        <v>18</v>
      </c>
      <c r="H1914" t="s">
        <v>73</v>
      </c>
      <c r="I1914">
        <v>5</v>
      </c>
      <c r="J1914">
        <v>1045</v>
      </c>
      <c r="K1914">
        <v>5225</v>
      </c>
      <c r="L1914" t="s">
        <v>63</v>
      </c>
      <c r="M1914" t="s">
        <v>82</v>
      </c>
      <c r="N1914" t="s">
        <v>28</v>
      </c>
    </row>
    <row r="1915" spans="1:14" x14ac:dyDescent="0.25">
      <c r="A1915" t="s">
        <v>5748</v>
      </c>
      <c r="B1915" s="1">
        <v>45818</v>
      </c>
      <c r="C1915" t="s">
        <v>5749</v>
      </c>
      <c r="D1915" t="s">
        <v>5750</v>
      </c>
      <c r="E1915" s="14">
        <v>923305241179</v>
      </c>
      <c r="F1915" t="s">
        <v>17</v>
      </c>
      <c r="G1915" t="s">
        <v>18</v>
      </c>
      <c r="H1915" t="s">
        <v>73</v>
      </c>
      <c r="I1915">
        <v>2</v>
      </c>
      <c r="J1915">
        <v>5607</v>
      </c>
      <c r="K1915">
        <v>11214</v>
      </c>
      <c r="L1915" t="s">
        <v>68</v>
      </c>
      <c r="M1915" t="s">
        <v>27</v>
      </c>
      <c r="N1915" t="s">
        <v>22</v>
      </c>
    </row>
    <row r="1916" spans="1:14" x14ac:dyDescent="0.25">
      <c r="A1916" t="s">
        <v>5751</v>
      </c>
      <c r="B1916" s="1">
        <v>45886</v>
      </c>
      <c r="C1916" t="s">
        <v>5752</v>
      </c>
      <c r="D1916" t="s">
        <v>5753</v>
      </c>
      <c r="E1916" s="14">
        <v>923375145806</v>
      </c>
      <c r="F1916" t="s">
        <v>92</v>
      </c>
      <c r="G1916" t="s">
        <v>18</v>
      </c>
      <c r="H1916" t="s">
        <v>73</v>
      </c>
      <c r="I1916">
        <v>3</v>
      </c>
      <c r="J1916">
        <v>7527</v>
      </c>
      <c r="K1916">
        <v>22581</v>
      </c>
      <c r="L1916" t="s">
        <v>26</v>
      </c>
      <c r="M1916" t="s">
        <v>93</v>
      </c>
      <c r="N1916" t="s">
        <v>28</v>
      </c>
    </row>
    <row r="1917" spans="1:14" x14ac:dyDescent="0.25">
      <c r="A1917" t="s">
        <v>5754</v>
      </c>
      <c r="B1917" s="1">
        <v>45968</v>
      </c>
      <c r="C1917" t="s">
        <v>5755</v>
      </c>
      <c r="D1917" t="s">
        <v>5756</v>
      </c>
      <c r="E1917" s="14">
        <v>923099837125</v>
      </c>
      <c r="F1917" t="s">
        <v>122</v>
      </c>
      <c r="G1917" t="s">
        <v>18</v>
      </c>
      <c r="H1917" t="s">
        <v>19</v>
      </c>
      <c r="I1917">
        <v>3</v>
      </c>
      <c r="J1917">
        <v>7934</v>
      </c>
      <c r="K1917">
        <v>23802</v>
      </c>
      <c r="L1917" t="s">
        <v>68</v>
      </c>
      <c r="M1917" t="s">
        <v>21</v>
      </c>
      <c r="N1917" t="s">
        <v>22</v>
      </c>
    </row>
    <row r="1918" spans="1:14" x14ac:dyDescent="0.25">
      <c r="A1918" t="s">
        <v>5757</v>
      </c>
      <c r="B1918" s="1">
        <v>46036</v>
      </c>
      <c r="C1918" t="s">
        <v>5758</v>
      </c>
      <c r="D1918" t="s">
        <v>5759</v>
      </c>
      <c r="E1918" s="14">
        <v>923379290520</v>
      </c>
      <c r="F1918" t="s">
        <v>32</v>
      </c>
      <c r="G1918" t="s">
        <v>18</v>
      </c>
      <c r="H1918" t="s">
        <v>39</v>
      </c>
      <c r="I1918">
        <v>1</v>
      </c>
      <c r="J1918">
        <v>1924</v>
      </c>
      <c r="K1918">
        <v>1924</v>
      </c>
      <c r="L1918" t="s">
        <v>26</v>
      </c>
      <c r="M1918" t="s">
        <v>21</v>
      </c>
      <c r="N1918" t="s">
        <v>28</v>
      </c>
    </row>
    <row r="1919" spans="1:14" x14ac:dyDescent="0.25">
      <c r="A1919" t="s">
        <v>5760</v>
      </c>
      <c r="B1919" s="1">
        <v>45862</v>
      </c>
      <c r="C1919" t="s">
        <v>5761</v>
      </c>
      <c r="D1919" t="s">
        <v>5762</v>
      </c>
      <c r="E1919" s="14">
        <v>923410112221</v>
      </c>
      <c r="F1919" t="s">
        <v>106</v>
      </c>
      <c r="G1919" t="s">
        <v>18</v>
      </c>
      <c r="H1919" t="s">
        <v>39</v>
      </c>
      <c r="I1919">
        <v>5</v>
      </c>
      <c r="J1919">
        <v>10382</v>
      </c>
      <c r="K1919">
        <v>51910</v>
      </c>
      <c r="L1919" t="s">
        <v>40</v>
      </c>
      <c r="M1919" t="s">
        <v>21</v>
      </c>
      <c r="N1919" t="s">
        <v>35</v>
      </c>
    </row>
    <row r="1920" spans="1:14" x14ac:dyDescent="0.25">
      <c r="A1920" t="s">
        <v>5763</v>
      </c>
      <c r="B1920" s="1">
        <v>46026</v>
      </c>
      <c r="C1920" t="s">
        <v>5764</v>
      </c>
      <c r="D1920" t="s">
        <v>5765</v>
      </c>
      <c r="E1920" s="14">
        <v>923083170757</v>
      </c>
      <c r="F1920" t="s">
        <v>17</v>
      </c>
      <c r="G1920" t="s">
        <v>18</v>
      </c>
      <c r="H1920" t="s">
        <v>50</v>
      </c>
      <c r="I1920">
        <v>1</v>
      </c>
      <c r="J1920">
        <v>4457</v>
      </c>
      <c r="K1920">
        <v>4457</v>
      </c>
      <c r="L1920" t="s">
        <v>63</v>
      </c>
      <c r="M1920" t="s">
        <v>45</v>
      </c>
      <c r="N1920" t="s">
        <v>69</v>
      </c>
    </row>
    <row r="1921" spans="1:14" x14ac:dyDescent="0.25">
      <c r="A1921" t="s">
        <v>5766</v>
      </c>
      <c r="B1921" s="1">
        <v>45907</v>
      </c>
      <c r="C1921" t="s">
        <v>5767</v>
      </c>
      <c r="D1921" t="s">
        <v>5768</v>
      </c>
      <c r="E1921" s="14">
        <v>923336837876</v>
      </c>
      <c r="F1921" t="s">
        <v>77</v>
      </c>
      <c r="G1921" t="s">
        <v>18</v>
      </c>
      <c r="H1921" t="s">
        <v>73</v>
      </c>
      <c r="I1921">
        <v>5</v>
      </c>
      <c r="J1921">
        <v>13708</v>
      </c>
      <c r="K1921">
        <v>68540</v>
      </c>
      <c r="L1921" t="s">
        <v>63</v>
      </c>
      <c r="M1921" t="s">
        <v>45</v>
      </c>
      <c r="N1921" t="s">
        <v>35</v>
      </c>
    </row>
    <row r="1922" spans="1:14" x14ac:dyDescent="0.25">
      <c r="A1922" t="s">
        <v>5769</v>
      </c>
      <c r="B1922" s="1">
        <v>45782</v>
      </c>
      <c r="C1922" t="s">
        <v>5770</v>
      </c>
      <c r="D1922" t="s">
        <v>5771</v>
      </c>
      <c r="E1922" s="14">
        <v>923434830351</v>
      </c>
      <c r="F1922" t="s">
        <v>54</v>
      </c>
      <c r="G1922" t="s">
        <v>18</v>
      </c>
      <c r="H1922" t="s">
        <v>39</v>
      </c>
      <c r="I1922">
        <v>5</v>
      </c>
      <c r="J1922">
        <v>1261</v>
      </c>
      <c r="K1922">
        <v>6305</v>
      </c>
      <c r="L1922" t="s">
        <v>68</v>
      </c>
      <c r="M1922" t="s">
        <v>55</v>
      </c>
      <c r="N1922" t="s">
        <v>69</v>
      </c>
    </row>
    <row r="1923" spans="1:14" x14ac:dyDescent="0.25">
      <c r="A1923" t="s">
        <v>5772</v>
      </c>
      <c r="B1923" s="1">
        <v>45824</v>
      </c>
      <c r="C1923" t="s">
        <v>5773</v>
      </c>
      <c r="D1923" t="s">
        <v>5774</v>
      </c>
      <c r="E1923" s="14">
        <v>923493254512</v>
      </c>
      <c r="F1923" t="s">
        <v>17</v>
      </c>
      <c r="G1923" t="s">
        <v>18</v>
      </c>
      <c r="H1923" t="s">
        <v>19</v>
      </c>
      <c r="I1923">
        <v>2</v>
      </c>
      <c r="J1923">
        <v>6713</v>
      </c>
      <c r="K1923">
        <v>13426</v>
      </c>
      <c r="L1923" t="s">
        <v>68</v>
      </c>
      <c r="M1923" t="s">
        <v>27</v>
      </c>
      <c r="N1923" t="s">
        <v>35</v>
      </c>
    </row>
    <row r="1924" spans="1:14" x14ac:dyDescent="0.25">
      <c r="A1924" t="s">
        <v>5775</v>
      </c>
      <c r="B1924" s="1">
        <v>45761</v>
      </c>
      <c r="C1924" t="s">
        <v>5776</v>
      </c>
      <c r="D1924" t="s">
        <v>5777</v>
      </c>
      <c r="E1924" s="14">
        <v>923296621155</v>
      </c>
      <c r="F1924" t="s">
        <v>67</v>
      </c>
      <c r="G1924" t="s">
        <v>18</v>
      </c>
      <c r="H1924" t="s">
        <v>73</v>
      </c>
      <c r="I1924">
        <v>4</v>
      </c>
      <c r="J1924">
        <v>7996</v>
      </c>
      <c r="K1924">
        <v>31984</v>
      </c>
      <c r="L1924" t="s">
        <v>78</v>
      </c>
      <c r="M1924" t="s">
        <v>55</v>
      </c>
      <c r="N1924" t="s">
        <v>69</v>
      </c>
    </row>
    <row r="1925" spans="1:14" x14ac:dyDescent="0.25">
      <c r="A1925" t="s">
        <v>5778</v>
      </c>
      <c r="B1925" s="1">
        <v>45836</v>
      </c>
      <c r="C1925" t="s">
        <v>5779</v>
      </c>
      <c r="D1925" t="s">
        <v>5780</v>
      </c>
      <c r="E1925" s="14">
        <v>923441245512</v>
      </c>
      <c r="F1925" t="s">
        <v>122</v>
      </c>
      <c r="G1925" t="s">
        <v>18</v>
      </c>
      <c r="H1925" t="s">
        <v>73</v>
      </c>
      <c r="I1925">
        <v>3</v>
      </c>
      <c r="J1925">
        <v>14943</v>
      </c>
      <c r="K1925">
        <v>44829</v>
      </c>
      <c r="L1925" t="s">
        <v>78</v>
      </c>
      <c r="M1925" t="s">
        <v>93</v>
      </c>
      <c r="N1925" t="s">
        <v>35</v>
      </c>
    </row>
    <row r="1926" spans="1:14" x14ac:dyDescent="0.25">
      <c r="A1926" t="s">
        <v>5781</v>
      </c>
      <c r="B1926" s="1">
        <v>45806</v>
      </c>
      <c r="C1926" t="s">
        <v>5737</v>
      </c>
      <c r="D1926" t="s">
        <v>5782</v>
      </c>
      <c r="E1926" s="14">
        <v>923482924678</v>
      </c>
      <c r="F1926" t="s">
        <v>49</v>
      </c>
      <c r="G1926" t="s">
        <v>18</v>
      </c>
      <c r="H1926" t="s">
        <v>39</v>
      </c>
      <c r="I1926">
        <v>4</v>
      </c>
      <c r="J1926">
        <v>3954</v>
      </c>
      <c r="K1926">
        <v>15816</v>
      </c>
      <c r="L1926" t="s">
        <v>26</v>
      </c>
      <c r="M1926" t="s">
        <v>27</v>
      </c>
      <c r="N1926" t="s">
        <v>28</v>
      </c>
    </row>
    <row r="1927" spans="1:14" x14ac:dyDescent="0.25">
      <c r="A1927" t="s">
        <v>5783</v>
      </c>
      <c r="B1927" s="1">
        <v>46038</v>
      </c>
      <c r="C1927" t="s">
        <v>5784</v>
      </c>
      <c r="D1927" t="s">
        <v>5785</v>
      </c>
      <c r="E1927" s="14">
        <v>923047104533</v>
      </c>
      <c r="F1927" t="s">
        <v>44</v>
      </c>
      <c r="G1927" t="s">
        <v>18</v>
      </c>
      <c r="H1927" t="s">
        <v>33</v>
      </c>
      <c r="I1927">
        <v>5</v>
      </c>
      <c r="J1927">
        <v>10632</v>
      </c>
      <c r="K1927">
        <v>53160</v>
      </c>
      <c r="L1927" t="s">
        <v>20</v>
      </c>
      <c r="M1927" t="s">
        <v>55</v>
      </c>
      <c r="N1927" t="s">
        <v>35</v>
      </c>
    </row>
    <row r="1928" spans="1:14" x14ac:dyDescent="0.25">
      <c r="A1928" t="s">
        <v>5786</v>
      </c>
      <c r="B1928" s="1">
        <v>46023</v>
      </c>
      <c r="C1928" t="s">
        <v>5787</v>
      </c>
      <c r="D1928" t="s">
        <v>5788</v>
      </c>
      <c r="E1928" s="14">
        <v>923291209504</v>
      </c>
      <c r="F1928" t="s">
        <v>17</v>
      </c>
      <c r="G1928" t="s">
        <v>18</v>
      </c>
      <c r="H1928" t="s">
        <v>19</v>
      </c>
      <c r="I1928">
        <v>1</v>
      </c>
      <c r="J1928">
        <v>3149</v>
      </c>
      <c r="K1928">
        <v>3149</v>
      </c>
      <c r="L1928" t="s">
        <v>78</v>
      </c>
      <c r="M1928" t="s">
        <v>34</v>
      </c>
      <c r="N1928" t="s">
        <v>69</v>
      </c>
    </row>
    <row r="1929" spans="1:14" x14ac:dyDescent="0.25">
      <c r="A1929" t="s">
        <v>5789</v>
      </c>
      <c r="B1929" s="1">
        <v>45816</v>
      </c>
      <c r="C1929" t="s">
        <v>5790</v>
      </c>
      <c r="D1929" t="s">
        <v>5791</v>
      </c>
      <c r="E1929" s="14">
        <v>923463336793</v>
      </c>
      <c r="F1929" t="s">
        <v>54</v>
      </c>
      <c r="G1929" t="s">
        <v>18</v>
      </c>
      <c r="H1929" t="s">
        <v>33</v>
      </c>
      <c r="I1929">
        <v>3</v>
      </c>
      <c r="J1929">
        <v>1002</v>
      </c>
      <c r="K1929">
        <v>3006</v>
      </c>
      <c r="L1929" t="s">
        <v>20</v>
      </c>
      <c r="M1929" t="s">
        <v>34</v>
      </c>
      <c r="N1929" t="s">
        <v>28</v>
      </c>
    </row>
    <row r="1930" spans="1:14" x14ac:dyDescent="0.25">
      <c r="A1930" t="s">
        <v>5792</v>
      </c>
      <c r="B1930" s="1">
        <v>45722</v>
      </c>
      <c r="C1930" t="s">
        <v>5793</v>
      </c>
      <c r="D1930" t="s">
        <v>5794</v>
      </c>
      <c r="E1930" s="14">
        <v>923347757306</v>
      </c>
      <c r="F1930" t="s">
        <v>44</v>
      </c>
      <c r="G1930" t="s">
        <v>18</v>
      </c>
      <c r="H1930" t="s">
        <v>39</v>
      </c>
      <c r="I1930">
        <v>3</v>
      </c>
      <c r="J1930">
        <v>2360</v>
      </c>
      <c r="K1930">
        <v>7080</v>
      </c>
      <c r="L1930" t="s">
        <v>63</v>
      </c>
      <c r="M1930" t="s">
        <v>34</v>
      </c>
      <c r="N1930" t="s">
        <v>35</v>
      </c>
    </row>
    <row r="1931" spans="1:14" x14ac:dyDescent="0.25">
      <c r="A1931" t="s">
        <v>5795</v>
      </c>
      <c r="B1931" s="1">
        <v>45968</v>
      </c>
      <c r="C1931" t="s">
        <v>5796</v>
      </c>
      <c r="D1931" t="s">
        <v>5797</v>
      </c>
      <c r="E1931" s="14">
        <v>923460011623</v>
      </c>
      <c r="F1931" t="s">
        <v>32</v>
      </c>
      <c r="G1931" t="s">
        <v>18</v>
      </c>
      <c r="H1931" t="s">
        <v>33</v>
      </c>
      <c r="I1931">
        <v>5</v>
      </c>
      <c r="J1931">
        <v>2422</v>
      </c>
      <c r="K1931">
        <v>12110</v>
      </c>
      <c r="L1931" t="s">
        <v>26</v>
      </c>
      <c r="M1931" t="s">
        <v>55</v>
      </c>
      <c r="N1931" t="s">
        <v>69</v>
      </c>
    </row>
    <row r="1932" spans="1:14" x14ac:dyDescent="0.25">
      <c r="A1932" t="s">
        <v>5798</v>
      </c>
      <c r="B1932" s="1">
        <v>45888</v>
      </c>
      <c r="C1932" t="s">
        <v>5799</v>
      </c>
      <c r="D1932" t="s">
        <v>5800</v>
      </c>
      <c r="E1932" s="14">
        <v>923138297417</v>
      </c>
      <c r="F1932" t="s">
        <v>54</v>
      </c>
      <c r="G1932" t="s">
        <v>18</v>
      </c>
      <c r="H1932" t="s">
        <v>33</v>
      </c>
      <c r="I1932">
        <v>4</v>
      </c>
      <c r="J1932">
        <v>12422</v>
      </c>
      <c r="K1932">
        <v>49688</v>
      </c>
      <c r="L1932" t="s">
        <v>68</v>
      </c>
      <c r="M1932" t="s">
        <v>55</v>
      </c>
      <c r="N1932" t="s">
        <v>35</v>
      </c>
    </row>
    <row r="1933" spans="1:14" x14ac:dyDescent="0.25">
      <c r="A1933" t="s">
        <v>5801</v>
      </c>
      <c r="B1933" s="1">
        <v>45927</v>
      </c>
      <c r="C1933" t="s">
        <v>5802</v>
      </c>
      <c r="D1933" t="s">
        <v>5803</v>
      </c>
      <c r="E1933" s="14">
        <v>923326767468</v>
      </c>
      <c r="F1933" t="s">
        <v>17</v>
      </c>
      <c r="G1933" t="s">
        <v>18</v>
      </c>
      <c r="H1933" t="s">
        <v>73</v>
      </c>
      <c r="I1933">
        <v>4</v>
      </c>
      <c r="J1933">
        <v>1030</v>
      </c>
      <c r="K1933">
        <v>4120</v>
      </c>
      <c r="L1933" t="s">
        <v>40</v>
      </c>
      <c r="M1933" t="s">
        <v>93</v>
      </c>
      <c r="N1933" t="s">
        <v>22</v>
      </c>
    </row>
    <row r="1934" spans="1:14" x14ac:dyDescent="0.25">
      <c r="A1934" t="s">
        <v>5804</v>
      </c>
      <c r="B1934" s="1">
        <v>45725</v>
      </c>
      <c r="C1934" t="s">
        <v>5805</v>
      </c>
      <c r="D1934" t="s">
        <v>5806</v>
      </c>
      <c r="E1934" s="14">
        <v>923462146691</v>
      </c>
      <c r="F1934" t="s">
        <v>32</v>
      </c>
      <c r="G1934" t="s">
        <v>18</v>
      </c>
      <c r="H1934" t="s">
        <v>33</v>
      </c>
      <c r="I1934">
        <v>2</v>
      </c>
      <c r="J1934">
        <v>14514</v>
      </c>
      <c r="K1934">
        <v>29028</v>
      </c>
      <c r="L1934" t="s">
        <v>63</v>
      </c>
      <c r="M1934" t="s">
        <v>34</v>
      </c>
      <c r="N1934" t="s">
        <v>22</v>
      </c>
    </row>
    <row r="1935" spans="1:14" x14ac:dyDescent="0.25">
      <c r="A1935" t="s">
        <v>5807</v>
      </c>
      <c r="B1935" s="1">
        <v>45777</v>
      </c>
      <c r="C1935" t="s">
        <v>5808</v>
      </c>
      <c r="D1935" t="s">
        <v>5809</v>
      </c>
      <c r="E1935" s="14">
        <v>923080611519</v>
      </c>
      <c r="F1935" t="s">
        <v>32</v>
      </c>
      <c r="G1935" t="s">
        <v>18</v>
      </c>
      <c r="H1935" t="s">
        <v>33</v>
      </c>
      <c r="I1935">
        <v>5</v>
      </c>
      <c r="J1935">
        <v>14326</v>
      </c>
      <c r="K1935">
        <v>71630</v>
      </c>
      <c r="L1935" t="s">
        <v>68</v>
      </c>
      <c r="M1935" t="s">
        <v>21</v>
      </c>
      <c r="N1935" t="s">
        <v>35</v>
      </c>
    </row>
    <row r="1936" spans="1:14" x14ac:dyDescent="0.25">
      <c r="A1936" t="s">
        <v>5810</v>
      </c>
      <c r="B1936" s="1">
        <v>45760</v>
      </c>
      <c r="C1936" t="s">
        <v>5811</v>
      </c>
      <c r="D1936" t="s">
        <v>5812</v>
      </c>
      <c r="E1936" s="14">
        <v>923200231945</v>
      </c>
      <c r="F1936" t="s">
        <v>122</v>
      </c>
      <c r="G1936" t="s">
        <v>18</v>
      </c>
      <c r="H1936" t="s">
        <v>73</v>
      </c>
      <c r="I1936">
        <v>2</v>
      </c>
      <c r="J1936">
        <v>8530</v>
      </c>
      <c r="K1936">
        <v>17060</v>
      </c>
      <c r="L1936" t="s">
        <v>26</v>
      </c>
      <c r="M1936" t="s">
        <v>135</v>
      </c>
      <c r="N1936" t="s">
        <v>35</v>
      </c>
    </row>
    <row r="1937" spans="1:14" x14ac:dyDescent="0.25">
      <c r="A1937" t="s">
        <v>5813</v>
      </c>
      <c r="B1937" s="1">
        <v>45717</v>
      </c>
      <c r="C1937" t="s">
        <v>5814</v>
      </c>
      <c r="D1937" t="s">
        <v>5815</v>
      </c>
      <c r="E1937" s="14">
        <v>923104980789</v>
      </c>
      <c r="F1937" t="s">
        <v>54</v>
      </c>
      <c r="G1937" t="s">
        <v>18</v>
      </c>
      <c r="H1937" t="s">
        <v>73</v>
      </c>
      <c r="I1937">
        <v>3</v>
      </c>
      <c r="J1937">
        <v>12792</v>
      </c>
      <c r="K1937">
        <v>38376</v>
      </c>
      <c r="L1937" t="s">
        <v>63</v>
      </c>
      <c r="M1937" t="s">
        <v>21</v>
      </c>
      <c r="N1937" t="s">
        <v>35</v>
      </c>
    </row>
    <row r="1938" spans="1:14" x14ac:dyDescent="0.25">
      <c r="A1938" t="s">
        <v>5816</v>
      </c>
      <c r="B1938" s="1">
        <v>45868</v>
      </c>
      <c r="C1938" t="s">
        <v>5817</v>
      </c>
      <c r="D1938" t="s">
        <v>5818</v>
      </c>
      <c r="E1938" s="14">
        <v>923404056358</v>
      </c>
      <c r="F1938" t="s">
        <v>106</v>
      </c>
      <c r="G1938" t="s">
        <v>18</v>
      </c>
      <c r="H1938" t="s">
        <v>73</v>
      </c>
      <c r="I1938">
        <v>1</v>
      </c>
      <c r="J1938">
        <v>4515</v>
      </c>
      <c r="K1938">
        <v>4515</v>
      </c>
      <c r="L1938" t="s">
        <v>26</v>
      </c>
      <c r="M1938" t="s">
        <v>45</v>
      </c>
      <c r="N1938" t="s">
        <v>28</v>
      </c>
    </row>
    <row r="1939" spans="1:14" x14ac:dyDescent="0.25">
      <c r="A1939" t="s">
        <v>5819</v>
      </c>
      <c r="B1939" s="1">
        <v>45824</v>
      </c>
      <c r="C1939" t="s">
        <v>5820</v>
      </c>
      <c r="D1939" t="s">
        <v>5821</v>
      </c>
      <c r="E1939" s="14">
        <v>923489785329</v>
      </c>
      <c r="F1939" t="s">
        <v>106</v>
      </c>
      <c r="G1939" t="s">
        <v>18</v>
      </c>
      <c r="H1939" t="s">
        <v>59</v>
      </c>
      <c r="I1939">
        <v>1</v>
      </c>
      <c r="J1939">
        <v>3552</v>
      </c>
      <c r="K1939">
        <v>3552</v>
      </c>
      <c r="L1939" t="s">
        <v>20</v>
      </c>
      <c r="M1939" t="s">
        <v>135</v>
      </c>
      <c r="N1939" t="s">
        <v>22</v>
      </c>
    </row>
    <row r="1940" spans="1:14" x14ac:dyDescent="0.25">
      <c r="A1940" t="s">
        <v>5822</v>
      </c>
      <c r="B1940" s="1">
        <v>45907</v>
      </c>
      <c r="C1940" t="s">
        <v>5823</v>
      </c>
      <c r="D1940" t="s">
        <v>5824</v>
      </c>
      <c r="E1940" s="14">
        <v>923146331458</v>
      </c>
      <c r="F1940" t="s">
        <v>54</v>
      </c>
      <c r="G1940" t="s">
        <v>18</v>
      </c>
      <c r="H1940" t="s">
        <v>39</v>
      </c>
      <c r="I1940">
        <v>4</v>
      </c>
      <c r="J1940">
        <v>12767</v>
      </c>
      <c r="K1940">
        <v>51068</v>
      </c>
      <c r="L1940" t="s">
        <v>68</v>
      </c>
      <c r="M1940" t="s">
        <v>27</v>
      </c>
      <c r="N1940" t="s">
        <v>28</v>
      </c>
    </row>
    <row r="1941" spans="1:14" x14ac:dyDescent="0.25">
      <c r="A1941" t="s">
        <v>5825</v>
      </c>
      <c r="B1941" s="1">
        <v>45784</v>
      </c>
      <c r="C1941" t="s">
        <v>5826</v>
      </c>
      <c r="D1941" t="s">
        <v>5827</v>
      </c>
      <c r="E1941" s="14">
        <v>923361498544</v>
      </c>
      <c r="F1941" t="s">
        <v>44</v>
      </c>
      <c r="G1941" t="s">
        <v>18</v>
      </c>
      <c r="H1941" t="s">
        <v>19</v>
      </c>
      <c r="I1941">
        <v>2</v>
      </c>
      <c r="J1941">
        <v>1024</v>
      </c>
      <c r="K1941">
        <v>2048</v>
      </c>
      <c r="L1941" t="s">
        <v>26</v>
      </c>
      <c r="M1941" t="s">
        <v>34</v>
      </c>
      <c r="N1941" t="s">
        <v>28</v>
      </c>
    </row>
    <row r="1942" spans="1:14" x14ac:dyDescent="0.25">
      <c r="A1942" t="s">
        <v>5828</v>
      </c>
      <c r="B1942" s="1">
        <v>45881</v>
      </c>
      <c r="C1942" t="s">
        <v>5829</v>
      </c>
      <c r="D1942" t="s">
        <v>5830</v>
      </c>
      <c r="E1942" s="14">
        <v>923199611042</v>
      </c>
      <c r="F1942" t="s">
        <v>122</v>
      </c>
      <c r="G1942" t="s">
        <v>18</v>
      </c>
      <c r="H1942" t="s">
        <v>33</v>
      </c>
      <c r="I1942">
        <v>4</v>
      </c>
      <c r="J1942">
        <v>10289</v>
      </c>
      <c r="K1942">
        <v>41156</v>
      </c>
      <c r="L1942" t="s">
        <v>40</v>
      </c>
      <c r="M1942" t="s">
        <v>34</v>
      </c>
      <c r="N1942" t="s">
        <v>22</v>
      </c>
    </row>
    <row r="1943" spans="1:14" x14ac:dyDescent="0.25">
      <c r="A1943" t="s">
        <v>5831</v>
      </c>
      <c r="B1943" s="1">
        <v>46020</v>
      </c>
      <c r="C1943" t="s">
        <v>5832</v>
      </c>
      <c r="D1943" t="s">
        <v>5833</v>
      </c>
      <c r="E1943" s="14">
        <v>923012423948</v>
      </c>
      <c r="F1943" t="s">
        <v>54</v>
      </c>
      <c r="G1943" t="s">
        <v>18</v>
      </c>
      <c r="H1943" t="s">
        <v>73</v>
      </c>
      <c r="I1943">
        <v>5</v>
      </c>
      <c r="J1943">
        <v>12462</v>
      </c>
      <c r="K1943">
        <v>62310</v>
      </c>
      <c r="L1943" t="s">
        <v>20</v>
      </c>
      <c r="M1943" t="s">
        <v>82</v>
      </c>
      <c r="N1943" t="s">
        <v>69</v>
      </c>
    </row>
    <row r="1944" spans="1:14" x14ac:dyDescent="0.25">
      <c r="A1944" t="s">
        <v>5834</v>
      </c>
      <c r="B1944" s="1">
        <v>45898</v>
      </c>
      <c r="C1944" t="s">
        <v>5835</v>
      </c>
      <c r="D1944" t="s">
        <v>5836</v>
      </c>
      <c r="E1944" s="14">
        <v>923079835186</v>
      </c>
      <c r="F1944" t="s">
        <v>92</v>
      </c>
      <c r="G1944" t="s">
        <v>18</v>
      </c>
      <c r="H1944" t="s">
        <v>39</v>
      </c>
      <c r="I1944">
        <v>4</v>
      </c>
      <c r="J1944">
        <v>10694</v>
      </c>
      <c r="K1944">
        <v>42776</v>
      </c>
      <c r="L1944" t="s">
        <v>78</v>
      </c>
      <c r="M1944" t="s">
        <v>21</v>
      </c>
      <c r="N1944" t="s">
        <v>35</v>
      </c>
    </row>
    <row r="1945" spans="1:14" x14ac:dyDescent="0.25">
      <c r="A1945" t="s">
        <v>5837</v>
      </c>
      <c r="B1945" s="1">
        <v>45715</v>
      </c>
      <c r="C1945" t="s">
        <v>5838</v>
      </c>
      <c r="D1945" t="s">
        <v>5839</v>
      </c>
      <c r="E1945" s="14">
        <v>923077025390</v>
      </c>
      <c r="F1945" t="s">
        <v>92</v>
      </c>
      <c r="G1945" t="s">
        <v>18</v>
      </c>
      <c r="H1945" t="s">
        <v>50</v>
      </c>
      <c r="I1945">
        <v>3</v>
      </c>
      <c r="J1945">
        <v>6555</v>
      </c>
      <c r="K1945">
        <v>19665</v>
      </c>
      <c r="L1945" t="s">
        <v>26</v>
      </c>
      <c r="M1945" t="s">
        <v>82</v>
      </c>
      <c r="N1945" t="s">
        <v>35</v>
      </c>
    </row>
    <row r="1946" spans="1:14" x14ac:dyDescent="0.25">
      <c r="A1946" t="s">
        <v>5840</v>
      </c>
      <c r="B1946" s="1">
        <v>45994</v>
      </c>
      <c r="C1946" t="s">
        <v>5841</v>
      </c>
      <c r="D1946" t="s">
        <v>5842</v>
      </c>
      <c r="E1946" s="14">
        <v>923306365372</v>
      </c>
      <c r="F1946" t="s">
        <v>32</v>
      </c>
      <c r="G1946" t="s">
        <v>18</v>
      </c>
      <c r="H1946" t="s">
        <v>73</v>
      </c>
      <c r="I1946">
        <v>2</v>
      </c>
      <c r="J1946">
        <v>1876</v>
      </c>
      <c r="K1946">
        <v>3752</v>
      </c>
      <c r="L1946" t="s">
        <v>26</v>
      </c>
      <c r="M1946" t="s">
        <v>135</v>
      </c>
      <c r="N1946" t="s">
        <v>69</v>
      </c>
    </row>
    <row r="1947" spans="1:14" x14ac:dyDescent="0.25">
      <c r="A1947" t="s">
        <v>5843</v>
      </c>
      <c r="B1947" s="1">
        <v>45911</v>
      </c>
      <c r="C1947" t="s">
        <v>5844</v>
      </c>
      <c r="D1947" t="s">
        <v>5845</v>
      </c>
      <c r="E1947" s="14">
        <v>923312432880</v>
      </c>
      <c r="F1947" t="s">
        <v>44</v>
      </c>
      <c r="G1947" t="s">
        <v>18</v>
      </c>
      <c r="H1947" t="s">
        <v>50</v>
      </c>
      <c r="I1947">
        <v>5</v>
      </c>
      <c r="J1947">
        <v>2325</v>
      </c>
      <c r="K1947">
        <v>11625</v>
      </c>
      <c r="L1947" t="s">
        <v>40</v>
      </c>
      <c r="M1947" t="s">
        <v>55</v>
      </c>
      <c r="N1947" t="s">
        <v>69</v>
      </c>
    </row>
    <row r="1948" spans="1:14" x14ac:dyDescent="0.25">
      <c r="A1948" t="s">
        <v>5846</v>
      </c>
      <c r="B1948" s="1">
        <v>46000</v>
      </c>
      <c r="C1948" t="s">
        <v>5847</v>
      </c>
      <c r="D1948" t="s">
        <v>5848</v>
      </c>
      <c r="E1948" s="14">
        <v>923109229502</v>
      </c>
      <c r="F1948" t="s">
        <v>92</v>
      </c>
      <c r="G1948" t="s">
        <v>18</v>
      </c>
      <c r="H1948" t="s">
        <v>50</v>
      </c>
      <c r="I1948">
        <v>2</v>
      </c>
      <c r="J1948">
        <v>13940</v>
      </c>
      <c r="K1948">
        <v>27880</v>
      </c>
      <c r="L1948" t="s">
        <v>40</v>
      </c>
      <c r="M1948" t="s">
        <v>27</v>
      </c>
      <c r="N1948" t="s">
        <v>22</v>
      </c>
    </row>
    <row r="1949" spans="1:14" x14ac:dyDescent="0.25">
      <c r="A1949" t="s">
        <v>5849</v>
      </c>
      <c r="B1949" s="1">
        <v>45844</v>
      </c>
      <c r="C1949" t="s">
        <v>5850</v>
      </c>
      <c r="D1949" t="s">
        <v>5851</v>
      </c>
      <c r="E1949" s="14">
        <v>923215676655</v>
      </c>
      <c r="F1949" t="s">
        <v>17</v>
      </c>
      <c r="G1949" t="s">
        <v>18</v>
      </c>
      <c r="H1949" t="s">
        <v>39</v>
      </c>
      <c r="I1949">
        <v>1</v>
      </c>
      <c r="J1949">
        <v>10934</v>
      </c>
      <c r="K1949">
        <v>10934</v>
      </c>
      <c r="L1949" t="s">
        <v>78</v>
      </c>
      <c r="M1949" t="s">
        <v>55</v>
      </c>
      <c r="N1949" t="s">
        <v>35</v>
      </c>
    </row>
    <row r="1950" spans="1:14" x14ac:dyDescent="0.25">
      <c r="A1950" t="s">
        <v>5852</v>
      </c>
      <c r="B1950" s="1">
        <v>45707</v>
      </c>
      <c r="C1950" t="s">
        <v>5853</v>
      </c>
      <c r="D1950" t="s">
        <v>5854</v>
      </c>
      <c r="E1950" s="14">
        <v>923118554609</v>
      </c>
      <c r="F1950" t="s">
        <v>92</v>
      </c>
      <c r="G1950" t="s">
        <v>18</v>
      </c>
      <c r="H1950" t="s">
        <v>50</v>
      </c>
      <c r="I1950">
        <v>2</v>
      </c>
      <c r="J1950">
        <v>9062</v>
      </c>
      <c r="K1950">
        <v>18124</v>
      </c>
      <c r="L1950" t="s">
        <v>20</v>
      </c>
      <c r="M1950" t="s">
        <v>82</v>
      </c>
      <c r="N1950" t="s">
        <v>28</v>
      </c>
    </row>
    <row r="1951" spans="1:14" x14ac:dyDescent="0.25">
      <c r="A1951" t="s">
        <v>5855</v>
      </c>
      <c r="B1951" s="1">
        <v>45907</v>
      </c>
      <c r="C1951" t="s">
        <v>5856</v>
      </c>
      <c r="D1951" t="s">
        <v>5857</v>
      </c>
      <c r="E1951" s="14">
        <v>923355554895</v>
      </c>
      <c r="F1951" t="s">
        <v>122</v>
      </c>
      <c r="G1951" t="s">
        <v>18</v>
      </c>
      <c r="H1951" t="s">
        <v>59</v>
      </c>
      <c r="I1951">
        <v>4</v>
      </c>
      <c r="J1951">
        <v>7528</v>
      </c>
      <c r="K1951">
        <v>30112</v>
      </c>
      <c r="L1951" t="s">
        <v>63</v>
      </c>
      <c r="M1951" t="s">
        <v>135</v>
      </c>
      <c r="N1951" t="s">
        <v>69</v>
      </c>
    </row>
    <row r="1952" spans="1:14" x14ac:dyDescent="0.25">
      <c r="A1952" t="s">
        <v>5858</v>
      </c>
      <c r="B1952" s="1">
        <v>45848</v>
      </c>
      <c r="C1952" t="s">
        <v>5859</v>
      </c>
      <c r="D1952" t="s">
        <v>5860</v>
      </c>
      <c r="E1952" s="14">
        <v>923090563123</v>
      </c>
      <c r="F1952" t="s">
        <v>17</v>
      </c>
      <c r="G1952" t="s">
        <v>18</v>
      </c>
      <c r="H1952" t="s">
        <v>39</v>
      </c>
      <c r="I1952">
        <v>1</v>
      </c>
      <c r="J1952">
        <v>12540</v>
      </c>
      <c r="K1952">
        <v>12540</v>
      </c>
      <c r="L1952" t="s">
        <v>40</v>
      </c>
      <c r="M1952" t="s">
        <v>55</v>
      </c>
      <c r="N1952" t="s">
        <v>35</v>
      </c>
    </row>
    <row r="1953" spans="1:14" x14ac:dyDescent="0.25">
      <c r="A1953" t="s">
        <v>5861</v>
      </c>
      <c r="B1953" s="1">
        <v>45818</v>
      </c>
      <c r="C1953" t="s">
        <v>5862</v>
      </c>
      <c r="D1953" t="s">
        <v>5863</v>
      </c>
      <c r="E1953" s="14">
        <v>923410065370</v>
      </c>
      <c r="F1953" t="s">
        <v>77</v>
      </c>
      <c r="G1953" t="s">
        <v>18</v>
      </c>
      <c r="H1953" t="s">
        <v>39</v>
      </c>
      <c r="I1953">
        <v>1</v>
      </c>
      <c r="J1953">
        <v>12611</v>
      </c>
      <c r="K1953">
        <v>12611</v>
      </c>
      <c r="L1953" t="s">
        <v>78</v>
      </c>
      <c r="M1953" t="s">
        <v>34</v>
      </c>
      <c r="N1953" t="s">
        <v>22</v>
      </c>
    </row>
    <row r="1954" spans="1:14" x14ac:dyDescent="0.25">
      <c r="A1954" t="s">
        <v>5864</v>
      </c>
      <c r="B1954" s="1">
        <v>45960</v>
      </c>
      <c r="C1954" t="s">
        <v>5865</v>
      </c>
      <c r="D1954" t="s">
        <v>5866</v>
      </c>
      <c r="E1954" s="14">
        <v>923408651301</v>
      </c>
      <c r="F1954" t="s">
        <v>44</v>
      </c>
      <c r="G1954" t="s">
        <v>18</v>
      </c>
      <c r="H1954" t="s">
        <v>39</v>
      </c>
      <c r="I1954">
        <v>4</v>
      </c>
      <c r="J1954">
        <v>12823</v>
      </c>
      <c r="K1954">
        <v>51292</v>
      </c>
      <c r="L1954" t="s">
        <v>20</v>
      </c>
      <c r="M1954" t="s">
        <v>21</v>
      </c>
      <c r="N1954" t="s">
        <v>35</v>
      </c>
    </row>
    <row r="1955" spans="1:14" x14ac:dyDescent="0.25">
      <c r="A1955" t="s">
        <v>5867</v>
      </c>
      <c r="B1955" s="1">
        <v>46036</v>
      </c>
      <c r="C1955" t="s">
        <v>5868</v>
      </c>
      <c r="D1955" t="s">
        <v>5869</v>
      </c>
      <c r="E1955" s="14">
        <v>923207179065</v>
      </c>
      <c r="F1955" t="s">
        <v>32</v>
      </c>
      <c r="G1955" t="s">
        <v>18</v>
      </c>
      <c r="H1955" t="s">
        <v>59</v>
      </c>
      <c r="I1955">
        <v>2</v>
      </c>
      <c r="J1955">
        <v>5952</v>
      </c>
      <c r="K1955">
        <v>11904</v>
      </c>
      <c r="L1955" t="s">
        <v>20</v>
      </c>
      <c r="M1955" t="s">
        <v>45</v>
      </c>
      <c r="N1955" t="s">
        <v>69</v>
      </c>
    </row>
    <row r="1956" spans="1:14" x14ac:dyDescent="0.25">
      <c r="A1956" t="s">
        <v>5870</v>
      </c>
      <c r="B1956" s="1">
        <v>45912</v>
      </c>
      <c r="C1956" t="s">
        <v>5871</v>
      </c>
      <c r="D1956" t="s">
        <v>5872</v>
      </c>
      <c r="E1956" s="14">
        <v>923224604585</v>
      </c>
      <c r="F1956" t="s">
        <v>92</v>
      </c>
      <c r="G1956" t="s">
        <v>18</v>
      </c>
      <c r="H1956" t="s">
        <v>73</v>
      </c>
      <c r="I1956">
        <v>5</v>
      </c>
      <c r="J1956">
        <v>5155</v>
      </c>
      <c r="K1956">
        <v>25775</v>
      </c>
      <c r="L1956" t="s">
        <v>63</v>
      </c>
      <c r="M1956" t="s">
        <v>34</v>
      </c>
      <c r="N1956" t="s">
        <v>22</v>
      </c>
    </row>
    <row r="1957" spans="1:14" x14ac:dyDescent="0.25">
      <c r="A1957" t="s">
        <v>5873</v>
      </c>
      <c r="B1957" s="1">
        <v>45963</v>
      </c>
      <c r="C1957" t="s">
        <v>5874</v>
      </c>
      <c r="D1957" t="s">
        <v>5875</v>
      </c>
      <c r="E1957" s="14">
        <v>923030292405</v>
      </c>
      <c r="F1957" t="s">
        <v>49</v>
      </c>
      <c r="G1957" t="s">
        <v>18</v>
      </c>
      <c r="H1957" t="s">
        <v>33</v>
      </c>
      <c r="I1957">
        <v>3</v>
      </c>
      <c r="J1957">
        <v>13617</v>
      </c>
      <c r="K1957">
        <v>40851</v>
      </c>
      <c r="L1957" t="s">
        <v>40</v>
      </c>
      <c r="M1957" t="s">
        <v>34</v>
      </c>
      <c r="N1957" t="s">
        <v>35</v>
      </c>
    </row>
    <row r="1958" spans="1:14" x14ac:dyDescent="0.25">
      <c r="A1958" t="s">
        <v>5876</v>
      </c>
      <c r="B1958" s="1">
        <v>45902</v>
      </c>
      <c r="C1958" t="s">
        <v>5877</v>
      </c>
      <c r="D1958" t="s">
        <v>5878</v>
      </c>
      <c r="E1958" s="14">
        <v>923121074716</v>
      </c>
      <c r="F1958" t="s">
        <v>32</v>
      </c>
      <c r="G1958" t="s">
        <v>18</v>
      </c>
      <c r="H1958" t="s">
        <v>59</v>
      </c>
      <c r="I1958">
        <v>2</v>
      </c>
      <c r="J1958">
        <v>8989</v>
      </c>
      <c r="K1958">
        <v>17978</v>
      </c>
      <c r="L1958" t="s">
        <v>20</v>
      </c>
      <c r="M1958" t="s">
        <v>93</v>
      </c>
      <c r="N1958" t="s">
        <v>69</v>
      </c>
    </row>
    <row r="1959" spans="1:14" x14ac:dyDescent="0.25">
      <c r="A1959" t="s">
        <v>5879</v>
      </c>
      <c r="B1959" s="1">
        <v>45994</v>
      </c>
      <c r="C1959" t="s">
        <v>5880</v>
      </c>
      <c r="D1959" t="s">
        <v>5881</v>
      </c>
      <c r="E1959" s="14">
        <v>923347262344</v>
      </c>
      <c r="F1959" t="s">
        <v>77</v>
      </c>
      <c r="G1959" t="s">
        <v>18</v>
      </c>
      <c r="H1959" t="s">
        <v>33</v>
      </c>
      <c r="I1959">
        <v>5</v>
      </c>
      <c r="J1959">
        <v>11107</v>
      </c>
      <c r="K1959">
        <v>55535</v>
      </c>
      <c r="L1959" t="s">
        <v>20</v>
      </c>
      <c r="M1959" t="s">
        <v>93</v>
      </c>
      <c r="N1959" t="s">
        <v>22</v>
      </c>
    </row>
    <row r="1960" spans="1:14" x14ac:dyDescent="0.25">
      <c r="A1960" t="s">
        <v>5882</v>
      </c>
      <c r="B1960" s="1">
        <v>46066</v>
      </c>
      <c r="C1960" t="s">
        <v>5883</v>
      </c>
      <c r="D1960" t="s">
        <v>5884</v>
      </c>
      <c r="E1960" s="14">
        <v>923111273935</v>
      </c>
      <c r="F1960" t="s">
        <v>92</v>
      </c>
      <c r="G1960" t="s">
        <v>18</v>
      </c>
      <c r="H1960" t="s">
        <v>59</v>
      </c>
      <c r="I1960">
        <v>5</v>
      </c>
      <c r="J1960">
        <v>3809</v>
      </c>
      <c r="K1960">
        <v>19045</v>
      </c>
      <c r="L1960" t="s">
        <v>78</v>
      </c>
      <c r="M1960" t="s">
        <v>27</v>
      </c>
      <c r="N1960" t="s">
        <v>28</v>
      </c>
    </row>
    <row r="1961" spans="1:14" x14ac:dyDescent="0.25">
      <c r="A1961" t="s">
        <v>5885</v>
      </c>
      <c r="B1961" s="1">
        <v>46030</v>
      </c>
      <c r="C1961" t="s">
        <v>5886</v>
      </c>
      <c r="D1961" t="s">
        <v>5887</v>
      </c>
      <c r="E1961" s="14">
        <v>923478773083</v>
      </c>
      <c r="F1961" t="s">
        <v>44</v>
      </c>
      <c r="G1961" t="s">
        <v>18</v>
      </c>
      <c r="H1961" t="s">
        <v>33</v>
      </c>
      <c r="I1961">
        <v>5</v>
      </c>
      <c r="J1961">
        <v>3183</v>
      </c>
      <c r="K1961">
        <v>15915</v>
      </c>
      <c r="L1961" t="s">
        <v>40</v>
      </c>
      <c r="M1961" t="s">
        <v>45</v>
      </c>
      <c r="N1961" t="s">
        <v>69</v>
      </c>
    </row>
    <row r="1962" spans="1:14" x14ac:dyDescent="0.25">
      <c r="A1962" t="s">
        <v>5888</v>
      </c>
      <c r="B1962" s="1">
        <v>45974</v>
      </c>
      <c r="C1962" t="s">
        <v>5889</v>
      </c>
      <c r="D1962" t="s">
        <v>5890</v>
      </c>
      <c r="E1962" s="14">
        <v>923366907457</v>
      </c>
      <c r="F1962" t="s">
        <v>44</v>
      </c>
      <c r="G1962" t="s">
        <v>18</v>
      </c>
      <c r="H1962" t="s">
        <v>19</v>
      </c>
      <c r="I1962">
        <v>2</v>
      </c>
      <c r="J1962">
        <v>11959</v>
      </c>
      <c r="K1962">
        <v>23918</v>
      </c>
      <c r="L1962" t="s">
        <v>68</v>
      </c>
      <c r="M1962" t="s">
        <v>45</v>
      </c>
      <c r="N1962" t="s">
        <v>28</v>
      </c>
    </row>
    <row r="1963" spans="1:14" x14ac:dyDescent="0.25">
      <c r="A1963" t="s">
        <v>5891</v>
      </c>
      <c r="B1963" s="1">
        <v>45910</v>
      </c>
      <c r="C1963" t="s">
        <v>5892</v>
      </c>
      <c r="D1963" t="s">
        <v>5893</v>
      </c>
      <c r="E1963" s="14">
        <v>923284629904</v>
      </c>
      <c r="F1963" t="s">
        <v>17</v>
      </c>
      <c r="G1963" t="s">
        <v>18</v>
      </c>
      <c r="H1963" t="s">
        <v>33</v>
      </c>
      <c r="I1963">
        <v>2</v>
      </c>
      <c r="J1963">
        <v>9335</v>
      </c>
      <c r="K1963">
        <v>18670</v>
      </c>
      <c r="L1963" t="s">
        <v>26</v>
      </c>
      <c r="M1963" t="s">
        <v>21</v>
      </c>
      <c r="N1963" t="s">
        <v>35</v>
      </c>
    </row>
    <row r="1964" spans="1:14" x14ac:dyDescent="0.25">
      <c r="A1964" t="s">
        <v>5894</v>
      </c>
      <c r="B1964" s="1">
        <v>45957</v>
      </c>
      <c r="C1964" t="s">
        <v>5895</v>
      </c>
      <c r="D1964" t="s">
        <v>5896</v>
      </c>
      <c r="E1964" s="14">
        <v>923392913721</v>
      </c>
      <c r="F1964" t="s">
        <v>32</v>
      </c>
      <c r="G1964" t="s">
        <v>18</v>
      </c>
      <c r="H1964" t="s">
        <v>33</v>
      </c>
      <c r="I1964">
        <v>5</v>
      </c>
      <c r="J1964">
        <v>6707</v>
      </c>
      <c r="K1964">
        <v>33535</v>
      </c>
      <c r="L1964" t="s">
        <v>26</v>
      </c>
      <c r="M1964" t="s">
        <v>34</v>
      </c>
      <c r="N1964" t="s">
        <v>69</v>
      </c>
    </row>
    <row r="1965" spans="1:14" x14ac:dyDescent="0.25">
      <c r="A1965" t="s">
        <v>5897</v>
      </c>
      <c r="B1965" s="1">
        <v>45902</v>
      </c>
      <c r="C1965" t="s">
        <v>5898</v>
      </c>
      <c r="D1965" t="s">
        <v>5899</v>
      </c>
      <c r="E1965" s="14">
        <v>923319983388</v>
      </c>
      <c r="F1965" t="s">
        <v>92</v>
      </c>
      <c r="G1965" t="s">
        <v>18</v>
      </c>
      <c r="H1965" t="s">
        <v>50</v>
      </c>
      <c r="I1965">
        <v>1</v>
      </c>
      <c r="J1965">
        <v>6088</v>
      </c>
      <c r="K1965">
        <v>6088</v>
      </c>
      <c r="L1965" t="s">
        <v>26</v>
      </c>
      <c r="M1965" t="s">
        <v>34</v>
      </c>
      <c r="N1965" t="s">
        <v>69</v>
      </c>
    </row>
    <row r="1966" spans="1:14" x14ac:dyDescent="0.25">
      <c r="A1966" t="s">
        <v>5900</v>
      </c>
      <c r="B1966" s="1">
        <v>45954</v>
      </c>
      <c r="C1966" t="s">
        <v>5901</v>
      </c>
      <c r="D1966" t="s">
        <v>5902</v>
      </c>
      <c r="E1966" s="14">
        <v>923192818568</v>
      </c>
      <c r="F1966" t="s">
        <v>92</v>
      </c>
      <c r="G1966" t="s">
        <v>18</v>
      </c>
      <c r="H1966" t="s">
        <v>59</v>
      </c>
      <c r="I1966">
        <v>2</v>
      </c>
      <c r="J1966">
        <v>12229</v>
      </c>
      <c r="K1966">
        <v>24458</v>
      </c>
      <c r="L1966" t="s">
        <v>63</v>
      </c>
      <c r="M1966" t="s">
        <v>45</v>
      </c>
      <c r="N1966" t="s">
        <v>28</v>
      </c>
    </row>
    <row r="1967" spans="1:14" x14ac:dyDescent="0.25">
      <c r="A1967" t="s">
        <v>5903</v>
      </c>
      <c r="B1967" s="1">
        <v>46013</v>
      </c>
      <c r="C1967" t="s">
        <v>5904</v>
      </c>
      <c r="D1967" t="s">
        <v>5905</v>
      </c>
      <c r="E1967" s="14">
        <v>923248005247</v>
      </c>
      <c r="F1967" t="s">
        <v>17</v>
      </c>
      <c r="G1967" t="s">
        <v>18</v>
      </c>
      <c r="H1967" t="s">
        <v>50</v>
      </c>
      <c r="I1967">
        <v>2</v>
      </c>
      <c r="J1967">
        <v>8405</v>
      </c>
      <c r="K1967">
        <v>16810</v>
      </c>
      <c r="L1967" t="s">
        <v>20</v>
      </c>
      <c r="M1967" t="s">
        <v>82</v>
      </c>
      <c r="N1967" t="s">
        <v>35</v>
      </c>
    </row>
    <row r="1968" spans="1:14" x14ac:dyDescent="0.25">
      <c r="A1968" t="s">
        <v>5906</v>
      </c>
      <c r="B1968" s="1">
        <v>46066</v>
      </c>
      <c r="C1968" t="s">
        <v>5907</v>
      </c>
      <c r="D1968" t="s">
        <v>5908</v>
      </c>
      <c r="E1968" s="14">
        <v>923093768493</v>
      </c>
      <c r="F1968" t="s">
        <v>17</v>
      </c>
      <c r="G1968" t="s">
        <v>18</v>
      </c>
      <c r="H1968" t="s">
        <v>39</v>
      </c>
      <c r="I1968">
        <v>1</v>
      </c>
      <c r="J1968">
        <v>12685</v>
      </c>
      <c r="K1968">
        <v>12685</v>
      </c>
      <c r="L1968" t="s">
        <v>20</v>
      </c>
      <c r="M1968" t="s">
        <v>45</v>
      </c>
      <c r="N1968" t="s">
        <v>69</v>
      </c>
    </row>
    <row r="1969" spans="1:14" x14ac:dyDescent="0.25">
      <c r="A1969" t="s">
        <v>5909</v>
      </c>
      <c r="B1969" s="1">
        <v>46067</v>
      </c>
      <c r="C1969" t="s">
        <v>5910</v>
      </c>
      <c r="D1969" t="s">
        <v>5911</v>
      </c>
      <c r="E1969" s="14">
        <v>923444805877</v>
      </c>
      <c r="F1969" t="s">
        <v>17</v>
      </c>
      <c r="G1969" t="s">
        <v>18</v>
      </c>
      <c r="H1969" t="s">
        <v>39</v>
      </c>
      <c r="I1969">
        <v>1</v>
      </c>
      <c r="J1969">
        <v>11571</v>
      </c>
      <c r="K1969">
        <v>11571</v>
      </c>
      <c r="L1969" t="s">
        <v>40</v>
      </c>
      <c r="M1969" t="s">
        <v>21</v>
      </c>
      <c r="N1969" t="s">
        <v>35</v>
      </c>
    </row>
    <row r="1970" spans="1:14" x14ac:dyDescent="0.25">
      <c r="A1970" t="s">
        <v>5912</v>
      </c>
      <c r="B1970" s="1">
        <v>45920</v>
      </c>
      <c r="C1970" t="s">
        <v>5913</v>
      </c>
      <c r="D1970" t="s">
        <v>5914</v>
      </c>
      <c r="E1970" s="14">
        <v>923048361401</v>
      </c>
      <c r="F1970" t="s">
        <v>77</v>
      </c>
      <c r="G1970" t="s">
        <v>18</v>
      </c>
      <c r="H1970" t="s">
        <v>33</v>
      </c>
      <c r="I1970">
        <v>4</v>
      </c>
      <c r="J1970">
        <v>3878</v>
      </c>
      <c r="K1970">
        <v>15512</v>
      </c>
      <c r="L1970" t="s">
        <v>68</v>
      </c>
      <c r="M1970" t="s">
        <v>55</v>
      </c>
      <c r="N1970" t="s">
        <v>35</v>
      </c>
    </row>
    <row r="1971" spans="1:14" x14ac:dyDescent="0.25">
      <c r="A1971" t="s">
        <v>5915</v>
      </c>
      <c r="B1971" s="1">
        <v>45969</v>
      </c>
      <c r="C1971" t="s">
        <v>5916</v>
      </c>
      <c r="D1971" t="s">
        <v>5917</v>
      </c>
      <c r="E1971" s="14">
        <v>923248686747</v>
      </c>
      <c r="F1971" t="s">
        <v>67</v>
      </c>
      <c r="G1971" t="s">
        <v>18</v>
      </c>
      <c r="H1971" t="s">
        <v>50</v>
      </c>
      <c r="I1971">
        <v>3</v>
      </c>
      <c r="J1971">
        <v>8254</v>
      </c>
      <c r="K1971">
        <v>24762</v>
      </c>
      <c r="L1971" t="s">
        <v>68</v>
      </c>
      <c r="M1971" t="s">
        <v>27</v>
      </c>
      <c r="N1971" t="s">
        <v>69</v>
      </c>
    </row>
    <row r="1972" spans="1:14" x14ac:dyDescent="0.25">
      <c r="A1972" t="s">
        <v>5918</v>
      </c>
      <c r="B1972" s="1">
        <v>45969</v>
      </c>
      <c r="C1972" t="s">
        <v>5919</v>
      </c>
      <c r="D1972" t="s">
        <v>5920</v>
      </c>
      <c r="E1972" s="14">
        <v>923430781050</v>
      </c>
      <c r="F1972" t="s">
        <v>54</v>
      </c>
      <c r="G1972" t="s">
        <v>18</v>
      </c>
      <c r="H1972" t="s">
        <v>19</v>
      </c>
      <c r="I1972">
        <v>5</v>
      </c>
      <c r="J1972">
        <v>13053</v>
      </c>
      <c r="K1972">
        <v>65265</v>
      </c>
      <c r="L1972" t="s">
        <v>20</v>
      </c>
      <c r="M1972" t="s">
        <v>27</v>
      </c>
      <c r="N1972" t="s">
        <v>35</v>
      </c>
    </row>
    <row r="1973" spans="1:14" x14ac:dyDescent="0.25">
      <c r="A1973" t="s">
        <v>5921</v>
      </c>
      <c r="B1973" s="1">
        <v>45978</v>
      </c>
      <c r="C1973" t="s">
        <v>5922</v>
      </c>
      <c r="D1973" t="s">
        <v>5923</v>
      </c>
      <c r="E1973" s="14">
        <v>923106253399</v>
      </c>
      <c r="F1973" t="s">
        <v>67</v>
      </c>
      <c r="G1973" t="s">
        <v>18</v>
      </c>
      <c r="H1973" t="s">
        <v>73</v>
      </c>
      <c r="I1973">
        <v>1</v>
      </c>
      <c r="J1973">
        <v>11252</v>
      </c>
      <c r="K1973">
        <v>11252</v>
      </c>
      <c r="L1973" t="s">
        <v>40</v>
      </c>
      <c r="M1973" t="s">
        <v>82</v>
      </c>
      <c r="N1973" t="s">
        <v>69</v>
      </c>
    </row>
    <row r="1974" spans="1:14" x14ac:dyDescent="0.25">
      <c r="A1974" t="s">
        <v>5924</v>
      </c>
      <c r="B1974" s="1">
        <v>45858</v>
      </c>
      <c r="C1974" t="s">
        <v>5925</v>
      </c>
      <c r="D1974" t="s">
        <v>5926</v>
      </c>
      <c r="E1974" s="14">
        <v>923096848289</v>
      </c>
      <c r="F1974" t="s">
        <v>106</v>
      </c>
      <c r="G1974" t="s">
        <v>18</v>
      </c>
      <c r="H1974" t="s">
        <v>19</v>
      </c>
      <c r="I1974">
        <v>3</v>
      </c>
      <c r="J1974">
        <v>7008</v>
      </c>
      <c r="K1974">
        <v>21024</v>
      </c>
      <c r="L1974" t="s">
        <v>78</v>
      </c>
      <c r="M1974" t="s">
        <v>93</v>
      </c>
      <c r="N1974" t="s">
        <v>22</v>
      </c>
    </row>
    <row r="1975" spans="1:14" x14ac:dyDescent="0.25">
      <c r="A1975" t="s">
        <v>5927</v>
      </c>
      <c r="B1975" s="1">
        <v>45723</v>
      </c>
      <c r="C1975" t="s">
        <v>5928</v>
      </c>
      <c r="D1975" t="s">
        <v>5929</v>
      </c>
      <c r="E1975" s="14">
        <v>923413941939</v>
      </c>
      <c r="F1975" t="s">
        <v>32</v>
      </c>
      <c r="G1975" t="s">
        <v>18</v>
      </c>
      <c r="H1975" t="s">
        <v>50</v>
      </c>
      <c r="I1975">
        <v>4</v>
      </c>
      <c r="J1975">
        <v>7735</v>
      </c>
      <c r="K1975">
        <v>30940</v>
      </c>
      <c r="L1975" t="s">
        <v>63</v>
      </c>
      <c r="M1975" t="s">
        <v>45</v>
      </c>
      <c r="N1975" t="s">
        <v>35</v>
      </c>
    </row>
    <row r="1976" spans="1:14" x14ac:dyDescent="0.25">
      <c r="A1976" t="s">
        <v>5930</v>
      </c>
      <c r="B1976" s="1">
        <v>46020</v>
      </c>
      <c r="C1976" t="s">
        <v>5931</v>
      </c>
      <c r="D1976" t="s">
        <v>5932</v>
      </c>
      <c r="E1976" s="14">
        <v>923066743220</v>
      </c>
      <c r="F1976" t="s">
        <v>54</v>
      </c>
      <c r="G1976" t="s">
        <v>18</v>
      </c>
      <c r="H1976" t="s">
        <v>50</v>
      </c>
      <c r="I1976">
        <v>3</v>
      </c>
      <c r="J1976">
        <v>12788</v>
      </c>
      <c r="K1976">
        <v>38364</v>
      </c>
      <c r="L1976" t="s">
        <v>68</v>
      </c>
      <c r="M1976" t="s">
        <v>27</v>
      </c>
      <c r="N1976" t="s">
        <v>69</v>
      </c>
    </row>
    <row r="1977" spans="1:14" x14ac:dyDescent="0.25">
      <c r="A1977" t="s">
        <v>5933</v>
      </c>
      <c r="B1977" s="1">
        <v>46042</v>
      </c>
      <c r="C1977" t="s">
        <v>5934</v>
      </c>
      <c r="D1977" t="s">
        <v>5935</v>
      </c>
      <c r="E1977" s="14">
        <v>923347480295</v>
      </c>
      <c r="F1977" t="s">
        <v>32</v>
      </c>
      <c r="G1977" t="s">
        <v>18</v>
      </c>
      <c r="H1977" t="s">
        <v>39</v>
      </c>
      <c r="I1977">
        <v>2</v>
      </c>
      <c r="J1977">
        <v>6687</v>
      </c>
      <c r="K1977">
        <v>13374</v>
      </c>
      <c r="L1977" t="s">
        <v>20</v>
      </c>
      <c r="M1977" t="s">
        <v>21</v>
      </c>
      <c r="N1977" t="s">
        <v>69</v>
      </c>
    </row>
    <row r="1978" spans="1:14" x14ac:dyDescent="0.25">
      <c r="A1978" t="s">
        <v>5936</v>
      </c>
      <c r="B1978" s="1">
        <v>45913</v>
      </c>
      <c r="C1978" t="s">
        <v>5937</v>
      </c>
      <c r="D1978" t="s">
        <v>5938</v>
      </c>
      <c r="E1978" s="14">
        <v>923054824027</v>
      </c>
      <c r="F1978" t="s">
        <v>67</v>
      </c>
      <c r="G1978" t="s">
        <v>18</v>
      </c>
      <c r="H1978" t="s">
        <v>73</v>
      </c>
      <c r="I1978">
        <v>2</v>
      </c>
      <c r="J1978">
        <v>3356</v>
      </c>
      <c r="K1978">
        <v>6712</v>
      </c>
      <c r="L1978" t="s">
        <v>20</v>
      </c>
      <c r="M1978" t="s">
        <v>82</v>
      </c>
      <c r="N1978" t="s">
        <v>28</v>
      </c>
    </row>
    <row r="1979" spans="1:14" x14ac:dyDescent="0.25">
      <c r="A1979" t="s">
        <v>5939</v>
      </c>
      <c r="B1979" s="1">
        <v>45797</v>
      </c>
      <c r="C1979" t="s">
        <v>5940</v>
      </c>
      <c r="D1979" t="s">
        <v>5941</v>
      </c>
      <c r="E1979" s="14">
        <v>923379892648</v>
      </c>
      <c r="F1979" t="s">
        <v>106</v>
      </c>
      <c r="G1979" t="s">
        <v>18</v>
      </c>
      <c r="H1979" t="s">
        <v>19</v>
      </c>
      <c r="I1979">
        <v>2</v>
      </c>
      <c r="J1979">
        <v>8589</v>
      </c>
      <c r="K1979">
        <v>17178</v>
      </c>
      <c r="L1979" t="s">
        <v>63</v>
      </c>
      <c r="M1979" t="s">
        <v>45</v>
      </c>
      <c r="N1979" t="s">
        <v>22</v>
      </c>
    </row>
    <row r="1980" spans="1:14" x14ac:dyDescent="0.25">
      <c r="A1980" t="s">
        <v>5942</v>
      </c>
      <c r="B1980" s="1">
        <v>45759</v>
      </c>
      <c r="C1980" t="s">
        <v>5943</v>
      </c>
      <c r="D1980" t="s">
        <v>5944</v>
      </c>
      <c r="E1980" s="14">
        <v>923260802824</v>
      </c>
      <c r="F1980" t="s">
        <v>49</v>
      </c>
      <c r="G1980" t="s">
        <v>18</v>
      </c>
      <c r="H1980" t="s">
        <v>33</v>
      </c>
      <c r="I1980">
        <v>1</v>
      </c>
      <c r="J1980">
        <v>10711</v>
      </c>
      <c r="K1980">
        <v>10711</v>
      </c>
      <c r="L1980" t="s">
        <v>78</v>
      </c>
      <c r="M1980" t="s">
        <v>93</v>
      </c>
      <c r="N1980" t="s">
        <v>22</v>
      </c>
    </row>
    <row r="1981" spans="1:14" x14ac:dyDescent="0.25">
      <c r="A1981" t="s">
        <v>5945</v>
      </c>
      <c r="B1981" s="1">
        <v>45718</v>
      </c>
      <c r="C1981" t="s">
        <v>5946</v>
      </c>
      <c r="D1981" t="s">
        <v>5947</v>
      </c>
      <c r="E1981" s="14">
        <v>923163179074</v>
      </c>
      <c r="F1981" t="s">
        <v>122</v>
      </c>
      <c r="G1981" t="s">
        <v>18</v>
      </c>
      <c r="H1981" t="s">
        <v>19</v>
      </c>
      <c r="I1981">
        <v>2</v>
      </c>
      <c r="J1981">
        <v>11021</v>
      </c>
      <c r="K1981">
        <v>22042</v>
      </c>
      <c r="L1981" t="s">
        <v>63</v>
      </c>
      <c r="M1981" t="s">
        <v>27</v>
      </c>
      <c r="N1981" t="s">
        <v>22</v>
      </c>
    </row>
    <row r="1982" spans="1:14" x14ac:dyDescent="0.25">
      <c r="A1982" t="s">
        <v>5948</v>
      </c>
      <c r="B1982" s="1">
        <v>45848</v>
      </c>
      <c r="C1982" t="s">
        <v>5949</v>
      </c>
      <c r="D1982" t="s">
        <v>5950</v>
      </c>
      <c r="E1982" s="14">
        <v>923112909250</v>
      </c>
      <c r="F1982" t="s">
        <v>67</v>
      </c>
      <c r="G1982" t="s">
        <v>18</v>
      </c>
      <c r="H1982" t="s">
        <v>39</v>
      </c>
      <c r="I1982">
        <v>4</v>
      </c>
      <c r="J1982">
        <v>1001</v>
      </c>
      <c r="K1982">
        <v>4004</v>
      </c>
      <c r="L1982" t="s">
        <v>68</v>
      </c>
      <c r="M1982" t="s">
        <v>27</v>
      </c>
      <c r="N1982" t="s">
        <v>69</v>
      </c>
    </row>
    <row r="1983" spans="1:14" x14ac:dyDescent="0.25">
      <c r="A1983" t="s">
        <v>5951</v>
      </c>
      <c r="B1983" s="1">
        <v>46011</v>
      </c>
      <c r="C1983" t="s">
        <v>5952</v>
      </c>
      <c r="D1983" t="s">
        <v>5953</v>
      </c>
      <c r="E1983" s="14">
        <v>923010469897</v>
      </c>
      <c r="F1983" t="s">
        <v>77</v>
      </c>
      <c r="G1983" t="s">
        <v>18</v>
      </c>
      <c r="H1983" t="s">
        <v>73</v>
      </c>
      <c r="I1983">
        <v>3</v>
      </c>
      <c r="J1983">
        <v>7266</v>
      </c>
      <c r="K1983">
        <v>21798</v>
      </c>
      <c r="L1983" t="s">
        <v>20</v>
      </c>
      <c r="M1983" t="s">
        <v>34</v>
      </c>
      <c r="N1983" t="s">
        <v>28</v>
      </c>
    </row>
    <row r="1984" spans="1:14" x14ac:dyDescent="0.25">
      <c r="A1984" t="s">
        <v>5954</v>
      </c>
      <c r="B1984" s="1">
        <v>45892</v>
      </c>
      <c r="C1984" t="s">
        <v>5955</v>
      </c>
      <c r="D1984" t="s">
        <v>5956</v>
      </c>
      <c r="E1984" s="14">
        <v>923294384423</v>
      </c>
      <c r="F1984" t="s">
        <v>54</v>
      </c>
      <c r="G1984" t="s">
        <v>18</v>
      </c>
      <c r="H1984" t="s">
        <v>59</v>
      </c>
      <c r="I1984">
        <v>5</v>
      </c>
      <c r="J1984">
        <v>8084</v>
      </c>
      <c r="K1984">
        <v>40420</v>
      </c>
      <c r="L1984" t="s">
        <v>68</v>
      </c>
      <c r="M1984" t="s">
        <v>21</v>
      </c>
      <c r="N1984" t="s">
        <v>69</v>
      </c>
    </row>
    <row r="1985" spans="1:14" x14ac:dyDescent="0.25">
      <c r="A1985" t="s">
        <v>5957</v>
      </c>
      <c r="B1985" s="1">
        <v>45844</v>
      </c>
      <c r="C1985" t="s">
        <v>5958</v>
      </c>
      <c r="D1985" t="s">
        <v>5959</v>
      </c>
      <c r="E1985" s="14">
        <v>923195953704</v>
      </c>
      <c r="F1985" t="s">
        <v>106</v>
      </c>
      <c r="G1985" t="s">
        <v>18</v>
      </c>
      <c r="H1985" t="s">
        <v>39</v>
      </c>
      <c r="I1985">
        <v>1</v>
      </c>
      <c r="J1985">
        <v>5925</v>
      </c>
      <c r="K1985">
        <v>5925</v>
      </c>
      <c r="L1985" t="s">
        <v>63</v>
      </c>
      <c r="M1985" t="s">
        <v>93</v>
      </c>
      <c r="N1985" t="s">
        <v>35</v>
      </c>
    </row>
    <row r="1986" spans="1:14" x14ac:dyDescent="0.25">
      <c r="A1986" t="s">
        <v>5960</v>
      </c>
      <c r="B1986" s="1">
        <v>46021</v>
      </c>
      <c r="C1986" t="s">
        <v>5961</v>
      </c>
      <c r="D1986" t="s">
        <v>5962</v>
      </c>
      <c r="E1986" s="14">
        <v>923020665700</v>
      </c>
      <c r="F1986" t="s">
        <v>106</v>
      </c>
      <c r="G1986" t="s">
        <v>18</v>
      </c>
      <c r="H1986" t="s">
        <v>59</v>
      </c>
      <c r="I1986">
        <v>3</v>
      </c>
      <c r="J1986">
        <v>7530</v>
      </c>
      <c r="K1986">
        <v>22590</v>
      </c>
      <c r="L1986" t="s">
        <v>78</v>
      </c>
      <c r="M1986" t="s">
        <v>93</v>
      </c>
      <c r="N1986" t="s">
        <v>22</v>
      </c>
    </row>
    <row r="1987" spans="1:14" x14ac:dyDescent="0.25">
      <c r="A1987" t="s">
        <v>5963</v>
      </c>
      <c r="B1987" s="1">
        <v>46033</v>
      </c>
      <c r="C1987" t="s">
        <v>5964</v>
      </c>
      <c r="D1987" t="s">
        <v>5965</v>
      </c>
      <c r="E1987" s="14">
        <v>923129907525</v>
      </c>
      <c r="F1987" t="s">
        <v>44</v>
      </c>
      <c r="G1987" t="s">
        <v>18</v>
      </c>
      <c r="H1987" t="s">
        <v>19</v>
      </c>
      <c r="I1987">
        <v>3</v>
      </c>
      <c r="J1987">
        <v>10614</v>
      </c>
      <c r="K1987">
        <v>31842</v>
      </c>
      <c r="L1987" t="s">
        <v>63</v>
      </c>
      <c r="M1987" t="s">
        <v>27</v>
      </c>
      <c r="N1987" t="s">
        <v>28</v>
      </c>
    </row>
    <row r="1988" spans="1:14" x14ac:dyDescent="0.25">
      <c r="A1988" t="s">
        <v>5966</v>
      </c>
      <c r="B1988" s="1">
        <v>46068</v>
      </c>
      <c r="C1988" t="s">
        <v>5967</v>
      </c>
      <c r="D1988" t="s">
        <v>5968</v>
      </c>
      <c r="E1988" s="14">
        <v>923296690885</v>
      </c>
      <c r="F1988" t="s">
        <v>49</v>
      </c>
      <c r="G1988" t="s">
        <v>18</v>
      </c>
      <c r="H1988" t="s">
        <v>59</v>
      </c>
      <c r="I1988">
        <v>4</v>
      </c>
      <c r="J1988">
        <v>12379</v>
      </c>
      <c r="K1988">
        <v>49516</v>
      </c>
      <c r="L1988" t="s">
        <v>78</v>
      </c>
      <c r="M1988" t="s">
        <v>27</v>
      </c>
      <c r="N1988" t="s">
        <v>22</v>
      </c>
    </row>
    <row r="1989" spans="1:14" x14ac:dyDescent="0.25">
      <c r="A1989" t="s">
        <v>5969</v>
      </c>
      <c r="B1989" s="1">
        <v>45791</v>
      </c>
      <c r="C1989" t="s">
        <v>5970</v>
      </c>
      <c r="D1989" t="s">
        <v>5971</v>
      </c>
      <c r="E1989" s="14">
        <v>923290886665</v>
      </c>
      <c r="F1989" t="s">
        <v>67</v>
      </c>
      <c r="G1989" t="s">
        <v>18</v>
      </c>
      <c r="H1989" t="s">
        <v>33</v>
      </c>
      <c r="I1989">
        <v>4</v>
      </c>
      <c r="J1989">
        <v>9178</v>
      </c>
      <c r="K1989">
        <v>36712</v>
      </c>
      <c r="L1989" t="s">
        <v>20</v>
      </c>
      <c r="M1989" t="s">
        <v>45</v>
      </c>
      <c r="N1989" t="s">
        <v>35</v>
      </c>
    </row>
    <row r="1990" spans="1:14" x14ac:dyDescent="0.25">
      <c r="A1990" t="s">
        <v>5972</v>
      </c>
      <c r="B1990" s="1">
        <v>45910</v>
      </c>
      <c r="C1990" t="s">
        <v>5973</v>
      </c>
      <c r="D1990" t="s">
        <v>5974</v>
      </c>
      <c r="E1990" s="14">
        <v>923282696643</v>
      </c>
      <c r="F1990" t="s">
        <v>106</v>
      </c>
      <c r="G1990" t="s">
        <v>18</v>
      </c>
      <c r="H1990" t="s">
        <v>73</v>
      </c>
      <c r="I1990">
        <v>2</v>
      </c>
      <c r="J1990">
        <v>9810</v>
      </c>
      <c r="K1990">
        <v>19620</v>
      </c>
      <c r="L1990" t="s">
        <v>20</v>
      </c>
      <c r="M1990" t="s">
        <v>21</v>
      </c>
      <c r="N1990" t="s">
        <v>28</v>
      </c>
    </row>
    <row r="1991" spans="1:14" x14ac:dyDescent="0.25">
      <c r="A1991" t="s">
        <v>5975</v>
      </c>
      <c r="B1991" s="1">
        <v>45810</v>
      </c>
      <c r="C1991" t="s">
        <v>5976</v>
      </c>
      <c r="D1991" t="s">
        <v>5977</v>
      </c>
      <c r="E1991" s="14">
        <v>923107666097</v>
      </c>
      <c r="F1991" t="s">
        <v>32</v>
      </c>
      <c r="G1991" t="s">
        <v>18</v>
      </c>
      <c r="H1991" t="s">
        <v>50</v>
      </c>
      <c r="I1991">
        <v>5</v>
      </c>
      <c r="J1991">
        <v>13788</v>
      </c>
      <c r="K1991">
        <v>68940</v>
      </c>
      <c r="L1991" t="s">
        <v>68</v>
      </c>
      <c r="M1991" t="s">
        <v>45</v>
      </c>
      <c r="N1991" t="s">
        <v>69</v>
      </c>
    </row>
    <row r="1992" spans="1:14" x14ac:dyDescent="0.25">
      <c r="A1992" t="s">
        <v>5978</v>
      </c>
      <c r="B1992" s="1">
        <v>45956</v>
      </c>
      <c r="C1992" t="s">
        <v>5979</v>
      </c>
      <c r="D1992" t="s">
        <v>5980</v>
      </c>
      <c r="E1992" s="14">
        <v>923321128688</v>
      </c>
      <c r="F1992" t="s">
        <v>92</v>
      </c>
      <c r="G1992" t="s">
        <v>18</v>
      </c>
      <c r="H1992" t="s">
        <v>33</v>
      </c>
      <c r="I1992">
        <v>4</v>
      </c>
      <c r="J1992">
        <v>1272</v>
      </c>
      <c r="K1992">
        <v>5088</v>
      </c>
      <c r="L1992" t="s">
        <v>78</v>
      </c>
      <c r="M1992" t="s">
        <v>93</v>
      </c>
      <c r="N1992" t="s">
        <v>35</v>
      </c>
    </row>
    <row r="1993" spans="1:14" x14ac:dyDescent="0.25">
      <c r="A1993" t="s">
        <v>5981</v>
      </c>
      <c r="B1993" s="1">
        <v>45774</v>
      </c>
      <c r="C1993" t="s">
        <v>5982</v>
      </c>
      <c r="D1993" t="s">
        <v>5983</v>
      </c>
      <c r="E1993" s="14">
        <v>923483908493</v>
      </c>
      <c r="F1993" t="s">
        <v>32</v>
      </c>
      <c r="G1993" t="s">
        <v>18</v>
      </c>
      <c r="H1993" t="s">
        <v>19</v>
      </c>
      <c r="I1993">
        <v>3</v>
      </c>
      <c r="J1993">
        <v>3497</v>
      </c>
      <c r="K1993">
        <v>10491</v>
      </c>
      <c r="L1993" t="s">
        <v>20</v>
      </c>
      <c r="M1993" t="s">
        <v>93</v>
      </c>
      <c r="N1993" t="s">
        <v>22</v>
      </c>
    </row>
    <row r="1994" spans="1:14" x14ac:dyDescent="0.25">
      <c r="A1994" t="s">
        <v>5984</v>
      </c>
      <c r="B1994" s="1">
        <v>45911</v>
      </c>
      <c r="C1994" t="s">
        <v>5985</v>
      </c>
      <c r="D1994" t="s">
        <v>5986</v>
      </c>
      <c r="E1994" s="14">
        <v>923342934692</v>
      </c>
      <c r="F1994" t="s">
        <v>49</v>
      </c>
      <c r="G1994" t="s">
        <v>18</v>
      </c>
      <c r="H1994" t="s">
        <v>50</v>
      </c>
      <c r="I1994">
        <v>4</v>
      </c>
      <c r="J1994">
        <v>14371</v>
      </c>
      <c r="K1994">
        <v>57484</v>
      </c>
      <c r="L1994" t="s">
        <v>68</v>
      </c>
      <c r="M1994" t="s">
        <v>135</v>
      </c>
      <c r="N1994" t="s">
        <v>35</v>
      </c>
    </row>
    <row r="1995" spans="1:14" x14ac:dyDescent="0.25">
      <c r="A1995" t="s">
        <v>5987</v>
      </c>
      <c r="B1995" s="1">
        <v>46037</v>
      </c>
      <c r="C1995" t="s">
        <v>5988</v>
      </c>
      <c r="D1995" t="s">
        <v>5989</v>
      </c>
      <c r="E1995" s="14">
        <v>923025263916</v>
      </c>
      <c r="F1995" t="s">
        <v>92</v>
      </c>
      <c r="G1995" t="s">
        <v>18</v>
      </c>
      <c r="H1995" t="s">
        <v>19</v>
      </c>
      <c r="I1995">
        <v>3</v>
      </c>
      <c r="J1995">
        <v>12098</v>
      </c>
      <c r="K1995">
        <v>36294</v>
      </c>
      <c r="L1995" t="s">
        <v>26</v>
      </c>
      <c r="M1995" t="s">
        <v>82</v>
      </c>
      <c r="N1995" t="s">
        <v>69</v>
      </c>
    </row>
    <row r="1996" spans="1:14" x14ac:dyDescent="0.25">
      <c r="A1996" t="s">
        <v>5990</v>
      </c>
      <c r="B1996" s="1">
        <v>45708</v>
      </c>
      <c r="C1996" t="s">
        <v>5991</v>
      </c>
      <c r="D1996" t="s">
        <v>5992</v>
      </c>
      <c r="E1996" s="14">
        <v>923249859560</v>
      </c>
      <c r="F1996" t="s">
        <v>106</v>
      </c>
      <c r="G1996" t="s">
        <v>18</v>
      </c>
      <c r="H1996" t="s">
        <v>59</v>
      </c>
      <c r="I1996">
        <v>2</v>
      </c>
      <c r="J1996">
        <v>5651</v>
      </c>
      <c r="K1996">
        <v>11302</v>
      </c>
      <c r="L1996" t="s">
        <v>40</v>
      </c>
      <c r="M1996" t="s">
        <v>82</v>
      </c>
      <c r="N1996" t="s">
        <v>35</v>
      </c>
    </row>
    <row r="1997" spans="1:14" x14ac:dyDescent="0.25">
      <c r="A1997" t="s">
        <v>5993</v>
      </c>
      <c r="B1997" s="1">
        <v>46005</v>
      </c>
      <c r="C1997" t="s">
        <v>5994</v>
      </c>
      <c r="D1997" t="s">
        <v>5995</v>
      </c>
      <c r="E1997" s="14">
        <v>923186038178</v>
      </c>
      <c r="F1997" t="s">
        <v>106</v>
      </c>
      <c r="G1997" t="s">
        <v>18</v>
      </c>
      <c r="H1997" t="s">
        <v>33</v>
      </c>
      <c r="I1997">
        <v>3</v>
      </c>
      <c r="J1997">
        <v>7881</v>
      </c>
      <c r="K1997">
        <v>23643</v>
      </c>
      <c r="L1997" t="s">
        <v>20</v>
      </c>
      <c r="M1997" t="s">
        <v>55</v>
      </c>
      <c r="N1997" t="s">
        <v>28</v>
      </c>
    </row>
    <row r="1998" spans="1:14" x14ac:dyDescent="0.25">
      <c r="A1998" t="s">
        <v>5996</v>
      </c>
      <c r="B1998" s="1">
        <v>45850</v>
      </c>
      <c r="C1998" t="s">
        <v>5997</v>
      </c>
      <c r="D1998" t="s">
        <v>5998</v>
      </c>
      <c r="E1998" s="14">
        <v>923432438228</v>
      </c>
      <c r="F1998" t="s">
        <v>44</v>
      </c>
      <c r="G1998" t="s">
        <v>18</v>
      </c>
      <c r="H1998" t="s">
        <v>19</v>
      </c>
      <c r="I1998">
        <v>2</v>
      </c>
      <c r="J1998">
        <v>3316</v>
      </c>
      <c r="K1998">
        <v>6632</v>
      </c>
      <c r="L1998" t="s">
        <v>63</v>
      </c>
      <c r="M1998" t="s">
        <v>55</v>
      </c>
      <c r="N1998" t="s">
        <v>28</v>
      </c>
    </row>
    <row r="1999" spans="1:14" x14ac:dyDescent="0.25">
      <c r="A1999" t="s">
        <v>5999</v>
      </c>
      <c r="B1999" s="1">
        <v>45971</v>
      </c>
      <c r="C1999" t="s">
        <v>6000</v>
      </c>
      <c r="D1999" t="s">
        <v>6001</v>
      </c>
      <c r="E1999" s="14">
        <v>923141885774</v>
      </c>
      <c r="F1999" t="s">
        <v>67</v>
      </c>
      <c r="G1999" t="s">
        <v>18</v>
      </c>
      <c r="H1999" t="s">
        <v>19</v>
      </c>
      <c r="I1999">
        <v>2</v>
      </c>
      <c r="J1999">
        <v>4189</v>
      </c>
      <c r="K1999">
        <v>8378</v>
      </c>
      <c r="L1999" t="s">
        <v>78</v>
      </c>
      <c r="M1999" t="s">
        <v>93</v>
      </c>
      <c r="N1999" t="s">
        <v>28</v>
      </c>
    </row>
    <row r="2000" spans="1:14" x14ac:dyDescent="0.25">
      <c r="A2000" t="s">
        <v>6002</v>
      </c>
      <c r="B2000" s="1">
        <v>45988</v>
      </c>
      <c r="C2000" t="s">
        <v>6003</v>
      </c>
      <c r="D2000" t="s">
        <v>6004</v>
      </c>
      <c r="E2000" s="14">
        <v>923221155172</v>
      </c>
      <c r="F2000" t="s">
        <v>122</v>
      </c>
      <c r="G2000" t="s">
        <v>18</v>
      </c>
      <c r="H2000" t="s">
        <v>73</v>
      </c>
      <c r="I2000">
        <v>4</v>
      </c>
      <c r="J2000">
        <v>10135</v>
      </c>
      <c r="K2000">
        <v>40540</v>
      </c>
      <c r="L2000" t="s">
        <v>26</v>
      </c>
      <c r="M2000" t="s">
        <v>135</v>
      </c>
      <c r="N2000" t="s">
        <v>28</v>
      </c>
    </row>
    <row r="2001" spans="1:14" x14ac:dyDescent="0.25">
      <c r="A2001" t="s">
        <v>6005</v>
      </c>
      <c r="B2001" s="1">
        <v>45814</v>
      </c>
      <c r="C2001" t="s">
        <v>6006</v>
      </c>
      <c r="D2001" t="s">
        <v>6007</v>
      </c>
      <c r="E2001" s="14">
        <v>923116509637</v>
      </c>
      <c r="F2001" t="s">
        <v>122</v>
      </c>
      <c r="G2001" t="s">
        <v>18</v>
      </c>
      <c r="H2001" t="s">
        <v>33</v>
      </c>
      <c r="I2001">
        <v>5</v>
      </c>
      <c r="J2001">
        <v>13556</v>
      </c>
      <c r="K2001">
        <v>67780</v>
      </c>
      <c r="L2001" t="s">
        <v>63</v>
      </c>
      <c r="M2001" t="s">
        <v>34</v>
      </c>
      <c r="N2001"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A4B4-6757-4897-8CFE-975D084D5CF7}">
  <dimension ref="A3:AI81"/>
  <sheetViews>
    <sheetView topLeftCell="A29" zoomScale="80" zoomScaleNormal="55" workbookViewId="0">
      <selection activeCell="F60" sqref="F60"/>
    </sheetView>
  </sheetViews>
  <sheetFormatPr defaultRowHeight="13.8" x14ac:dyDescent="0.25"/>
  <cols>
    <col min="1" max="1" width="13.59765625" bestFit="1" customWidth="1"/>
    <col min="2" max="2" width="22.59765625" bestFit="1" customWidth="1"/>
    <col min="4" max="4" width="10.8984375" customWidth="1"/>
    <col min="5" max="5" width="13.59765625" bestFit="1" customWidth="1"/>
    <col min="6" max="6" width="8.8984375" bestFit="1" customWidth="1"/>
    <col min="7" max="7" width="17.09765625" bestFit="1" customWidth="1"/>
    <col min="8" max="8" width="15.5" bestFit="1" customWidth="1"/>
    <col min="9" max="9" width="15.3984375" bestFit="1" customWidth="1"/>
    <col min="10" max="10" width="10.09765625" customWidth="1"/>
    <col min="11" max="11" width="9.796875" customWidth="1"/>
    <col min="12" max="12" width="7.296875" customWidth="1"/>
    <col min="13" max="13" width="6.5" customWidth="1"/>
    <col min="14" max="14" width="6.59765625" customWidth="1"/>
    <col min="15" max="15" width="8.8984375" customWidth="1"/>
    <col min="16" max="16" width="13.59765625" bestFit="1" customWidth="1"/>
    <col min="17" max="17" width="15.19921875" bestFit="1" customWidth="1"/>
    <col min="18" max="18" width="10" bestFit="1" customWidth="1"/>
    <col min="19" max="21" width="4.8984375" customWidth="1"/>
    <col min="22" max="22" width="11.09765625" customWidth="1"/>
    <col min="23" max="23" width="10.19921875" customWidth="1"/>
    <col min="24" max="29" width="4.8984375" customWidth="1"/>
    <col min="30" max="30" width="11.5" bestFit="1" customWidth="1"/>
    <col min="31" max="31" width="13.59765625" bestFit="1" customWidth="1"/>
    <col min="32" max="32" width="10" bestFit="1" customWidth="1"/>
    <col min="33" max="33" width="11.69921875" bestFit="1" customWidth="1"/>
    <col min="34" max="34" width="7.59765625" customWidth="1"/>
    <col min="35" max="35" width="10.5" customWidth="1"/>
    <col min="36" max="540" width="4.8984375" customWidth="1"/>
    <col min="541" max="1962" width="5.8984375" customWidth="1"/>
    <col min="1963" max="1963" width="10.5" customWidth="1"/>
  </cols>
  <sheetData>
    <row r="3" spans="1:31" x14ac:dyDescent="0.25">
      <c r="A3" s="4" t="s">
        <v>6016</v>
      </c>
      <c r="B3" t="s">
        <v>6018</v>
      </c>
    </row>
    <row r="4" spans="1:31" x14ac:dyDescent="0.25">
      <c r="A4" s="5" t="s">
        <v>63</v>
      </c>
      <c r="B4" s="7">
        <v>0.16638383899748793</v>
      </c>
    </row>
    <row r="5" spans="1:31" x14ac:dyDescent="0.25">
      <c r="A5" s="5" t="s">
        <v>40</v>
      </c>
      <c r="B5" s="7">
        <v>0.17138630187638371</v>
      </c>
    </row>
    <row r="6" spans="1:31" x14ac:dyDescent="0.25">
      <c r="A6" s="5" t="s">
        <v>20</v>
      </c>
      <c r="B6" s="7">
        <v>0.15616227881469827</v>
      </c>
      <c r="X6" s="6"/>
    </row>
    <row r="7" spans="1:31" x14ac:dyDescent="0.25">
      <c r="A7" s="5" t="s">
        <v>68</v>
      </c>
      <c r="B7" s="7">
        <v>0.17060239995665122</v>
      </c>
      <c r="V7" s="6"/>
      <c r="W7" s="6"/>
      <c r="X7" s="6"/>
      <c r="AD7" s="4" t="s">
        <v>5</v>
      </c>
      <c r="AE7" t="s">
        <v>6019</v>
      </c>
    </row>
    <row r="8" spans="1:31" x14ac:dyDescent="0.25">
      <c r="A8" s="5" t="s">
        <v>26</v>
      </c>
      <c r="B8" s="7">
        <v>0.15489370141153994</v>
      </c>
      <c r="P8" s="4" t="s">
        <v>6016</v>
      </c>
      <c r="Q8" t="s">
        <v>6021</v>
      </c>
      <c r="R8" t="s">
        <v>6020</v>
      </c>
      <c r="V8" s="5"/>
      <c r="AD8" s="5" t="s">
        <v>22</v>
      </c>
      <c r="AE8" s="17">
        <v>1472</v>
      </c>
    </row>
    <row r="9" spans="1:31" x14ac:dyDescent="0.25">
      <c r="A9" s="5" t="s">
        <v>78</v>
      </c>
      <c r="B9" s="7">
        <v>0.18057147894323894</v>
      </c>
      <c r="H9" s="4" t="s">
        <v>6016</v>
      </c>
      <c r="I9" t="s">
        <v>6019</v>
      </c>
      <c r="P9" s="5" t="s">
        <v>32</v>
      </c>
      <c r="Q9" s="17">
        <v>4646977</v>
      </c>
      <c r="R9" s="17">
        <v>618</v>
      </c>
      <c r="V9" s="5"/>
      <c r="AD9" s="5" t="s">
        <v>69</v>
      </c>
      <c r="AE9" s="17">
        <v>1523</v>
      </c>
    </row>
    <row r="10" spans="1:31" x14ac:dyDescent="0.25">
      <c r="A10" s="5" t="s">
        <v>6017</v>
      </c>
      <c r="B10" s="7">
        <v>1</v>
      </c>
      <c r="H10" s="5" t="s">
        <v>45</v>
      </c>
      <c r="I10" s="17">
        <v>768</v>
      </c>
      <c r="P10" s="5" t="s">
        <v>67</v>
      </c>
      <c r="Q10" s="17">
        <v>4233929</v>
      </c>
      <c r="R10" s="17">
        <v>563</v>
      </c>
      <c r="V10" s="5"/>
      <c r="AD10" s="5" t="s">
        <v>28</v>
      </c>
      <c r="AE10" s="17">
        <v>1477</v>
      </c>
    </row>
    <row r="11" spans="1:31" x14ac:dyDescent="0.25">
      <c r="H11" s="5" t="s">
        <v>93</v>
      </c>
      <c r="I11" s="17">
        <v>744</v>
      </c>
      <c r="P11" s="5" t="s">
        <v>17</v>
      </c>
      <c r="Q11" s="17">
        <v>5061297</v>
      </c>
      <c r="R11" s="17">
        <v>659</v>
      </c>
      <c r="V11" s="5"/>
      <c r="AD11" s="5" t="s">
        <v>35</v>
      </c>
      <c r="AE11" s="17">
        <v>1495</v>
      </c>
    </row>
    <row r="12" spans="1:31" x14ac:dyDescent="0.25">
      <c r="H12" s="5" t="s">
        <v>27</v>
      </c>
      <c r="I12" s="17">
        <v>791</v>
      </c>
      <c r="P12" s="5" t="s">
        <v>44</v>
      </c>
      <c r="Q12" s="17">
        <v>4300500</v>
      </c>
      <c r="R12" s="17">
        <v>590</v>
      </c>
      <c r="V12" s="5"/>
      <c r="AD12" s="5" t="s">
        <v>6017</v>
      </c>
      <c r="AE12" s="17">
        <v>5967</v>
      </c>
    </row>
    <row r="13" spans="1:31" x14ac:dyDescent="0.25">
      <c r="H13" s="5" t="s">
        <v>135</v>
      </c>
      <c r="I13" s="17">
        <v>619</v>
      </c>
      <c r="P13" s="5" t="s">
        <v>92</v>
      </c>
      <c r="Q13" s="17">
        <v>4896920</v>
      </c>
      <c r="R13" s="17">
        <v>623</v>
      </c>
      <c r="V13" s="5"/>
    </row>
    <row r="14" spans="1:31" x14ac:dyDescent="0.25">
      <c r="H14" s="5" t="s">
        <v>82</v>
      </c>
      <c r="I14" s="17">
        <v>750</v>
      </c>
      <c r="P14" s="5" t="s">
        <v>106</v>
      </c>
      <c r="Q14" s="17">
        <v>4337094</v>
      </c>
      <c r="R14" s="17">
        <v>584</v>
      </c>
      <c r="V14" s="5"/>
    </row>
    <row r="15" spans="1:31" x14ac:dyDescent="0.25">
      <c r="H15" s="5" t="s">
        <v>34</v>
      </c>
      <c r="I15" s="17">
        <v>725</v>
      </c>
      <c r="P15" s="5" t="s">
        <v>54</v>
      </c>
      <c r="Q15" s="17">
        <v>5081339</v>
      </c>
      <c r="R15" s="17">
        <v>638</v>
      </c>
      <c r="V15" s="5"/>
    </row>
    <row r="16" spans="1:31" x14ac:dyDescent="0.25">
      <c r="H16" s="5" t="s">
        <v>55</v>
      </c>
      <c r="I16" s="17">
        <v>828</v>
      </c>
      <c r="P16" s="5" t="s">
        <v>49</v>
      </c>
      <c r="Q16" s="17">
        <v>4384589</v>
      </c>
      <c r="R16" s="17">
        <v>549</v>
      </c>
      <c r="V16" s="5"/>
      <c r="AD16" s="5" t="s">
        <v>22</v>
      </c>
      <c r="AE16">
        <f>GETPIVOTDATA("Quantity",$AD$7,"Order Status",AD8)</f>
        <v>1472</v>
      </c>
    </row>
    <row r="17" spans="8:35" x14ac:dyDescent="0.25">
      <c r="H17" s="5" t="s">
        <v>21</v>
      </c>
      <c r="I17" s="17">
        <v>742</v>
      </c>
      <c r="P17" s="5" t="s">
        <v>77</v>
      </c>
      <c r="Q17" s="17">
        <v>4244446</v>
      </c>
      <c r="R17" s="17">
        <v>544</v>
      </c>
      <c r="V17" s="5"/>
      <c r="AD17" s="5" t="s">
        <v>69</v>
      </c>
      <c r="AE17">
        <f t="shared" ref="AE17:AE19" si="0">GETPIVOTDATA("Quantity",$AD$7,"Order Status",AD9)</f>
        <v>1523</v>
      </c>
    </row>
    <row r="18" spans="8:35" x14ac:dyDescent="0.25">
      <c r="H18" s="5" t="s">
        <v>6017</v>
      </c>
      <c r="I18" s="17">
        <v>5967</v>
      </c>
      <c r="P18" s="5" t="s">
        <v>122</v>
      </c>
      <c r="Q18" s="17">
        <v>4507401</v>
      </c>
      <c r="R18" s="17">
        <v>599</v>
      </c>
      <c r="V18" s="8"/>
      <c r="W18" s="12"/>
      <c r="X18" s="12"/>
      <c r="AD18" s="5" t="s">
        <v>28</v>
      </c>
      <c r="AE18">
        <f t="shared" si="0"/>
        <v>1477</v>
      </c>
    </row>
    <row r="19" spans="8:35" x14ac:dyDescent="0.25">
      <c r="P19" s="5" t="s">
        <v>6017</v>
      </c>
      <c r="Q19" s="17">
        <v>45694492</v>
      </c>
      <c r="R19" s="17">
        <v>5967</v>
      </c>
      <c r="AD19" s="5" t="s">
        <v>35</v>
      </c>
      <c r="AE19">
        <f t="shared" si="0"/>
        <v>1495</v>
      </c>
    </row>
    <row r="23" spans="8:35" x14ac:dyDescent="0.25">
      <c r="AD23" s="6"/>
      <c r="AE23" s="6"/>
      <c r="AF23" s="6"/>
      <c r="AG23" s="6"/>
      <c r="AH23" s="6"/>
      <c r="AI23" s="6"/>
    </row>
    <row r="24" spans="8:35" x14ac:dyDescent="0.25">
      <c r="AD24" s="5"/>
    </row>
    <row r="25" spans="8:35" x14ac:dyDescent="0.25">
      <c r="I25" s="6"/>
      <c r="J25" s="6"/>
      <c r="K25" s="6"/>
      <c r="L25" s="6"/>
      <c r="M25" s="6"/>
      <c r="N25" s="6"/>
      <c r="O25" s="6"/>
      <c r="R25" s="6"/>
      <c r="S25" s="6"/>
      <c r="T25" s="6"/>
      <c r="AD25" s="5"/>
    </row>
    <row r="26" spans="8:35" x14ac:dyDescent="0.25">
      <c r="I26" s="5"/>
      <c r="J26" s="9"/>
      <c r="K26" s="9"/>
      <c r="L26" s="9"/>
      <c r="M26" s="9"/>
      <c r="N26" s="9"/>
      <c r="O26" s="9"/>
      <c r="AD26" s="5"/>
    </row>
    <row r="27" spans="8:35" x14ac:dyDescent="0.25">
      <c r="I27" s="5"/>
      <c r="AD27" s="5"/>
    </row>
    <row r="28" spans="8:35" x14ac:dyDescent="0.25">
      <c r="I28" s="5"/>
      <c r="AD28" s="5"/>
    </row>
    <row r="29" spans="8:35" ht="9.6" customHeight="1" x14ac:dyDescent="0.25">
      <c r="I29" s="5"/>
      <c r="AD29" s="5"/>
    </row>
    <row r="30" spans="8:35" x14ac:dyDescent="0.25">
      <c r="I30" s="5"/>
      <c r="AD30" s="5"/>
    </row>
    <row r="31" spans="8:35" x14ac:dyDescent="0.25">
      <c r="I31" s="5"/>
      <c r="AD31" s="5"/>
    </row>
    <row r="32" spans="8:35" x14ac:dyDescent="0.25">
      <c r="I32" s="5"/>
      <c r="AD32" s="5"/>
    </row>
    <row r="33" spans="5:30" x14ac:dyDescent="0.25">
      <c r="I33" s="5"/>
      <c r="AD33" s="5"/>
    </row>
    <row r="34" spans="5:30" x14ac:dyDescent="0.25">
      <c r="I34" s="8"/>
      <c r="J34" s="12"/>
      <c r="K34" s="12"/>
      <c r="L34" s="12"/>
      <c r="M34" s="12"/>
      <c r="N34" s="12"/>
      <c r="O34" s="12"/>
      <c r="R34" s="12"/>
      <c r="S34" s="12"/>
      <c r="T34" s="12"/>
      <c r="AD34" s="8"/>
    </row>
    <row r="37" spans="5:30" x14ac:dyDescent="0.25">
      <c r="J37" s="10"/>
      <c r="K37" s="10"/>
      <c r="L37" s="10"/>
      <c r="M37" s="10"/>
      <c r="N37" s="10"/>
      <c r="O37" s="10"/>
    </row>
    <row r="38" spans="5:30" x14ac:dyDescent="0.25">
      <c r="I38" s="10"/>
      <c r="J38" s="10"/>
      <c r="K38" s="10"/>
      <c r="L38" s="10"/>
      <c r="M38" s="10"/>
      <c r="N38" s="10"/>
      <c r="O38" s="10"/>
      <c r="R38" s="10"/>
      <c r="S38" s="10"/>
      <c r="T38" s="10"/>
    </row>
    <row r="39" spans="5:30" x14ac:dyDescent="0.25">
      <c r="I39" s="5"/>
      <c r="K39" s="7"/>
      <c r="L39" s="7"/>
      <c r="M39" s="7"/>
      <c r="N39" s="7"/>
      <c r="O39" s="7"/>
    </row>
    <row r="40" spans="5:30" x14ac:dyDescent="0.25">
      <c r="I40" s="5"/>
      <c r="K40" s="7"/>
      <c r="L40" s="7"/>
      <c r="M40" s="7"/>
      <c r="N40" s="7"/>
      <c r="O40" s="7"/>
    </row>
    <row r="41" spans="5:30" x14ac:dyDescent="0.25">
      <c r="I41" s="5"/>
      <c r="K41" s="7"/>
      <c r="L41" s="7"/>
      <c r="N41" s="7"/>
      <c r="O41" s="7"/>
    </row>
    <row r="42" spans="5:30" x14ac:dyDescent="0.25">
      <c r="I42" s="5"/>
      <c r="K42" s="7"/>
      <c r="L42" s="7"/>
      <c r="N42" s="7"/>
      <c r="O42" s="7"/>
    </row>
    <row r="43" spans="5:30" x14ac:dyDescent="0.25">
      <c r="I43" s="5"/>
      <c r="K43" s="7"/>
      <c r="L43" s="7"/>
      <c r="M43" s="7"/>
      <c r="N43" s="7"/>
      <c r="O43" s="7"/>
    </row>
    <row r="44" spans="5:30" x14ac:dyDescent="0.25">
      <c r="I44" s="5"/>
      <c r="K44" s="7"/>
      <c r="L44" s="7"/>
      <c r="M44" s="7"/>
      <c r="N44" s="7"/>
      <c r="O44" s="7"/>
    </row>
    <row r="45" spans="5:30" x14ac:dyDescent="0.25">
      <c r="I45" s="5"/>
      <c r="K45" s="7"/>
      <c r="L45" s="7"/>
      <c r="M45" s="7"/>
      <c r="N45" s="7"/>
      <c r="O45" s="7"/>
    </row>
    <row r="46" spans="5:30" x14ac:dyDescent="0.25">
      <c r="I46" s="5"/>
      <c r="K46" s="7"/>
      <c r="L46" s="7"/>
      <c r="M46" s="7"/>
      <c r="N46" s="7"/>
      <c r="O46" s="7"/>
    </row>
    <row r="47" spans="5:30" x14ac:dyDescent="0.25">
      <c r="E47" s="4" t="s">
        <v>6016</v>
      </c>
      <c r="F47" t="s">
        <v>6022</v>
      </c>
      <c r="G47" t="s">
        <v>6023</v>
      </c>
      <c r="J47" s="7"/>
      <c r="K47" s="7"/>
      <c r="L47" s="7"/>
      <c r="M47" s="7"/>
      <c r="N47" s="7"/>
      <c r="O47" s="7"/>
    </row>
    <row r="48" spans="5:30" x14ac:dyDescent="0.25">
      <c r="E48" s="5" t="s">
        <v>73</v>
      </c>
      <c r="F48" s="17">
        <v>7951994</v>
      </c>
      <c r="G48" s="17">
        <v>2000</v>
      </c>
      <c r="J48" s="11"/>
      <c r="K48" s="11"/>
      <c r="L48" s="11"/>
      <c r="M48" s="11"/>
      <c r="N48" s="11"/>
      <c r="O48" s="11"/>
    </row>
    <row r="49" spans="2:7" x14ac:dyDescent="0.25">
      <c r="B49" t="str" cm="1">
        <f t="array" ref="B49:C54">E48:F53</f>
        <v>Accessories</v>
      </c>
      <c r="C49">
        <v>7951994</v>
      </c>
      <c r="E49" s="5" t="s">
        <v>19</v>
      </c>
      <c r="F49" s="17">
        <v>7156817</v>
      </c>
    </row>
    <row r="50" spans="2:7" x14ac:dyDescent="0.25">
      <c r="B50" t="str">
        <v>Beauty</v>
      </c>
      <c r="C50">
        <v>7156817</v>
      </c>
      <c r="E50" s="5" t="s">
        <v>50</v>
      </c>
      <c r="F50" s="17">
        <v>7392914</v>
      </c>
    </row>
    <row r="51" spans="2:7" x14ac:dyDescent="0.25">
      <c r="B51" t="str">
        <v>Electronics</v>
      </c>
      <c r="C51">
        <v>7392914</v>
      </c>
      <c r="E51" s="5" t="s">
        <v>59</v>
      </c>
      <c r="F51" s="17">
        <v>7208749</v>
      </c>
    </row>
    <row r="52" spans="2:7" x14ac:dyDescent="0.25">
      <c r="B52" t="str">
        <v>Fashion</v>
      </c>
      <c r="C52">
        <v>7208749</v>
      </c>
      <c r="E52" s="5" t="s">
        <v>33</v>
      </c>
      <c r="F52" s="17">
        <v>8122950</v>
      </c>
    </row>
    <row r="53" spans="2:7" x14ac:dyDescent="0.25">
      <c r="B53" t="str">
        <v>Footwear</v>
      </c>
      <c r="C53">
        <v>8122950</v>
      </c>
      <c r="E53" s="5" t="s">
        <v>39</v>
      </c>
      <c r="F53" s="17">
        <v>7861068</v>
      </c>
    </row>
    <row r="54" spans="2:7" x14ac:dyDescent="0.25">
      <c r="B54" t="str">
        <v>Home Decor</v>
      </c>
      <c r="C54">
        <v>7861068</v>
      </c>
      <c r="E54" s="5" t="s">
        <v>6017</v>
      </c>
      <c r="F54" s="17">
        <v>45694492</v>
      </c>
    </row>
    <row r="56" spans="2:7" x14ac:dyDescent="0.25">
      <c r="F56" t="s">
        <v>6014</v>
      </c>
    </row>
    <row r="57" spans="2:7" ht="14.4" x14ac:dyDescent="0.3">
      <c r="F57" s="16">
        <f>GETPIVOTDATA("Total Sales (PKR)",$E$47)</f>
        <v>45694492</v>
      </c>
      <c r="G57">
        <f>GETPIVOTDATA("Order ID",$G$47)</f>
        <v>2000</v>
      </c>
    </row>
    <row r="60" spans="2:7" x14ac:dyDescent="0.25">
      <c r="F60" s="18">
        <f>F57/G57</f>
        <v>22847.245999999999</v>
      </c>
    </row>
    <row r="64" spans="2:7" x14ac:dyDescent="0.25">
      <c r="D64" t="str">
        <f>_xlfn.XLOOKUP(E64,C49:C54,B49:B54)</f>
        <v>Footwear</v>
      </c>
      <c r="E64">
        <f>MAX(C49:C54)</f>
        <v>8122950</v>
      </c>
      <c r="F64" s="15"/>
    </row>
    <row r="67" spans="31:32" x14ac:dyDescent="0.25">
      <c r="AE67" s="4" t="s">
        <v>6016</v>
      </c>
      <c r="AF67" t="s">
        <v>6020</v>
      </c>
    </row>
    <row r="68" spans="31:32" x14ac:dyDescent="0.25">
      <c r="AE68" s="5" t="s">
        <v>32</v>
      </c>
      <c r="AF68" s="17">
        <v>618</v>
      </c>
    </row>
    <row r="69" spans="31:32" x14ac:dyDescent="0.25">
      <c r="AE69" s="5" t="s">
        <v>67</v>
      </c>
      <c r="AF69" s="17">
        <v>563</v>
      </c>
    </row>
    <row r="70" spans="31:32" x14ac:dyDescent="0.25">
      <c r="AE70" s="5" t="s">
        <v>17</v>
      </c>
      <c r="AF70" s="17">
        <v>659</v>
      </c>
    </row>
    <row r="71" spans="31:32" x14ac:dyDescent="0.25">
      <c r="AE71" s="5" t="s">
        <v>44</v>
      </c>
      <c r="AF71" s="17">
        <v>590</v>
      </c>
    </row>
    <row r="72" spans="31:32" x14ac:dyDescent="0.25">
      <c r="AE72" s="5" t="s">
        <v>92</v>
      </c>
      <c r="AF72" s="17">
        <v>623</v>
      </c>
    </row>
    <row r="73" spans="31:32" x14ac:dyDescent="0.25">
      <c r="AE73" s="5" t="s">
        <v>106</v>
      </c>
      <c r="AF73" s="17">
        <v>584</v>
      </c>
    </row>
    <row r="74" spans="31:32" x14ac:dyDescent="0.25">
      <c r="AE74" s="5" t="s">
        <v>54</v>
      </c>
      <c r="AF74" s="17">
        <v>638</v>
      </c>
    </row>
    <row r="75" spans="31:32" x14ac:dyDescent="0.25">
      <c r="AE75" s="5" t="s">
        <v>49</v>
      </c>
      <c r="AF75" s="17">
        <v>549</v>
      </c>
    </row>
    <row r="76" spans="31:32" x14ac:dyDescent="0.25">
      <c r="AE76" s="5" t="s">
        <v>77</v>
      </c>
      <c r="AF76" s="17">
        <v>544</v>
      </c>
    </row>
    <row r="77" spans="31:32" x14ac:dyDescent="0.25">
      <c r="AE77" s="5" t="s">
        <v>122</v>
      </c>
      <c r="AF77" s="17">
        <v>599</v>
      </c>
    </row>
    <row r="78" spans="31:32" x14ac:dyDescent="0.25">
      <c r="AE78" s="5" t="s">
        <v>6017</v>
      </c>
      <c r="AF78" s="17">
        <v>5967</v>
      </c>
    </row>
    <row r="81" spans="32:32" x14ac:dyDescent="0.25">
      <c r="AF81">
        <f>GETPIVOTDATA("Quantity",$AE$67)</f>
        <v>5967</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0B06-EAFD-4DC5-983F-62459F19F685}">
  <dimension ref="A1"/>
  <sheetViews>
    <sheetView showGridLines="0" tabSelected="1" zoomScale="85" zoomScaleNormal="85" workbookViewId="0">
      <selection activeCell="M49" sqref="M49"/>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Sheet2</vt:lpstr>
      <vt:lpstr>shopify_pakistan_sales_2k-1</vt:lpstr>
      <vt:lpstr>Sheet1</vt:lpstr>
      <vt:lpstr>dashboard</vt:lpstr>
      <vt:lpstr>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DS4REAL</dc:creator>
  <cp:lastModifiedBy>DS4REAL</cp:lastModifiedBy>
  <dcterms:created xsi:type="dcterms:W3CDTF">2026-02-19T15:30:46Z</dcterms:created>
  <dcterms:modified xsi:type="dcterms:W3CDTF">2026-06-05T10:18:35Z</dcterms:modified>
</cp:coreProperties>
</file>